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dataset" sheetId="1" state="visible" r:id="rId3"/>
    <sheet name="cleaned_data" sheetId="2" state="visible" r:id="rId4"/>
    <sheet name="dummy_variables" sheetId="3" state="visible" r:id="rId5"/>
    <sheet name="simple_regression" sheetId="4" state="visible" r:id="rId6"/>
    <sheet name="multiple_regression" sheetId="5" state="visible" r:id="rId7"/>
    <sheet name="prediction_residuals" sheetId="6" state="visible" r:id="rId8"/>
    <sheet name="model_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<sst xmlns="http://schemas.openxmlformats.org/spreadsheetml/2006/main" count="1498" uniqueCount="195">
  <si>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</si>
  <si>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</si>
  <si>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</si>
  <si>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</si>
  <si>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</si>
  <si>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</si>
  <si>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</si>
  <si>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</si>
  <si>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</si>
  <si>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</si>
  <si>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</si>
  <si>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</si>
  <si>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</si>
  <si>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</si>
  <si>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</si>
  <si>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2025-01-01</t>
  </si>
  <si>
    <t xml:space="preserve">East</t>
  </si>
  <si>
    <t xml:space="preserve">Residential</t>
  </si>
  <si>
    <t xml:space="preserve">2025-02-01</t>
  </si>
  <si>
    <t xml:space="preserve">2025-03-01</t>
  </si>
  <si>
    <t xml:space="preserve">2025-04-01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</si>
  <si>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</si>
  <si>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</si>
  <si>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</si>
  <si>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</si>
  <si>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</si>
  <si>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</si>
  <si>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</si>
  <si>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</si>
  <si>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</si>
  <si>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</si>
  <si>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</si>
  <si>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</si>
  <si>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</si>
  <si>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</si>
  <si>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</si>
  <si>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</si>
  <si>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</si>
  <si>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</si>
  <si>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</si>
  <si>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</si>
  <si>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</si>
  <si>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</si>
  <si>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</si>
  <si>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</si>
  <si>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</si>
  <si>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</si>
  <si>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</si>
  <si>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</si>
  <si>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</si>
  <si>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</si>
  <si>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</si>
  <si>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</si>
  <si>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</si>
  <si>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</si>
  <si>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</si>
  <si>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</si>
  <si>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</si>
  <si>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</si>
  <si>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</si>
  <si>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</si>
  <si>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</si>
  <si>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</si>
  <si>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</si>
  <si>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</si>
  <si>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</si>
  <si>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</si>
  <si>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</si>
  <si>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</si>
  <si>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</si>
  <si>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</si>
  <si>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</si>
  <si>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</si>
  <si>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</si>
  <si>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</si>
  <si>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</si>
  <si>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</si>
  <si>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</si>
  <si>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</si>
  <si>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</si>
  <si>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</si>
  <si>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</si>
  <si>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</si>
  <si>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</si>
  <si>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</si>
  <si>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</si>
  <si>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</si>
  <si>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</si>
  <si>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</si>
  <si>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</si>
  <si>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</si>
  <si>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</si>
  <si>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</si>
  <si>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</si>
  <si>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</si>
  <si>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</si>
  <si>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</si>
  <si>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</si>
  <si>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</si>
  <si>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</si>
  <si>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</si>
  <si>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</si>
  <si>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</si>
  <si>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</si>
  <si>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</si>
  <si>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</si>
  <si>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imputed_competitor_distance</t>
  </si>
  <si>
    <t xml:space="preserve">imputed_customer_rating</t>
  </si>
  <si>
    <t xml:space="preserve">Note: competitor_distance_km and customer_rating had missing values (6 and 8 records respectively), imputed using column median. All other fields copied directly from original_dataset.</t>
  </si>
  <si>
    <t xml:space="preserve">region_North</t>
  </si>
  <si>
    <t xml:space="preserve">region_South</t>
  </si>
  <si>
    <t xml:space="preserve">region_West</t>
  </si>
  <si>
    <t xml:space="preserve">store_Airport</t>
  </si>
  <si>
    <t xml:space="preserve">store_Mall</t>
  </si>
  <si>
    <t xml:space="preserve">store_Residential</t>
  </si>
  <si>
    <t xml:space="preserve">Reference categories (dropped to avoid dummy-variable trap): region = East, store_type = High Street. Both are the most frequent category, so all dummy coefficients are interpreted relative to a typical East / High Street store.</t>
  </si>
  <si>
    <t xml:space="preserve">TASK 4: SIMPLE LINEAR REGRESSION MODELS (Dependent variable: monthly_sales)</t>
  </si>
  <si>
    <t xml:space="preserve">Model: monthly_sales ~ footfall</t>
  </si>
  <si>
    <t xml:space="preserve">Intercept (b0)</t>
  </si>
  <si>
    <t xml:space="preserve">Slope / Coefficient (b1)</t>
  </si>
  <si>
    <t xml:space="preserve">R-squared</t>
  </si>
  <si>
    <t xml:space="preserve">Std. Error of slope</t>
  </si>
  <si>
    <t xml:space="preserve">t-statistic</t>
  </si>
  <si>
    <t xml:space="preserve">p-value</t>
  </si>
  <si>
    <t xml:space="preserve">n (observations)</t>
  </si>
  <si>
    <t xml:space="preserve">Statistically significant? (p&lt;0.05)</t>
  </si>
  <si>
    <t xml:space="preserve">Equation</t>
  </si>
  <si>
    <t xml:space="preserve">Business note</t>
  </si>
  <si>
    <t xml:space="preserve">Foot traffic is by far the strongest single driver of sales in this dataset.</t>
  </si>
  <si>
    <t xml:space="preserve">Model: monthly_sales ~ marketing_spend</t>
  </si>
  <si>
    <t xml:space="preserve">Marketing spend shows a real but modest standalone link to sales.</t>
  </si>
  <si>
    <t xml:space="preserve">Model: monthly_sales ~ inventory_availability_pct</t>
  </si>
  <si>
    <t xml:space="preserve">Keeping products in stock is linked to higher sales, though the effect is small in isolation.</t>
  </si>
  <si>
    <t xml:space="preserve">Model: monthly_sales ~ avg_discount_pct</t>
  </si>
  <si>
    <t xml:space="preserve">Discounting alone does not show a statistically reliable link to sales.</t>
  </si>
  <si>
    <t xml:space="preserve">Model: monthly_sales ~ customer_rating</t>
  </si>
  <si>
    <t xml:space="preserve">Customer rating alone shows almost no standalone relationship with monthly sales.</t>
  </si>
  <si>
    <t xml:space="preserve">TASK 5: MULTIPLE REGRESSION MODEL (Final model) — Dependent variable: monthly_sales</t>
  </si>
  <si>
    <t xml:space="preserve">--- Staging data block (live references to dummy_variables sheet; used by LINEST below) ---</t>
  </si>
  <si>
    <t xml:space="preserve">Term</t>
  </si>
  <si>
    <t xml:space="preserve">Coefficient</t>
  </si>
  <si>
    <t xml:space="preserve">Std Error</t>
  </si>
  <si>
    <t xml:space="preserve">t-stat</t>
  </si>
  <si>
    <t xml:space="preserve">Significant (p&lt;0.05)</t>
  </si>
  <si>
    <t xml:space="preserve">Intercept</t>
  </si>
  <si>
    <t xml:space="preserve">Adjusted R-squared</t>
  </si>
  <si>
    <t xml:space="preserve">F-statistic</t>
  </si>
  <si>
    <t xml:space="preserve">df residual</t>
  </si>
  <si>
    <t xml:space="preserve">TASK 7: PREDICTED SALES AND RESIDUALS (using Final Multiple Regression Model)</t>
  </si>
  <si>
    <t xml:space="preserve">monthly_sales (actual)</t>
  </si>
  <si>
    <t xml:space="preserve">predicted_sales</t>
  </si>
  <si>
    <t xml:space="preserve">residual (actual-predicted)</t>
  </si>
  <si>
    <t xml:space="preserve">abs_residual</t>
  </si>
  <si>
    <t xml:space="preserve">TOP 5 LARGEST POSITIVE RESIDUALS (model under-predicts these stores)</t>
  </si>
  <si>
    <t xml:space="preserve">Rank</t>
  </si>
  <si>
    <t xml:space="preserve">actual</t>
  </si>
  <si>
    <t xml:space="preserve">predicted</t>
  </si>
  <si>
    <t xml:space="preserve">residual</t>
  </si>
  <si>
    <t xml:space="preserve">TOP 5 LARGEST NEGATIVE RESIDUALS (model over-predicts these stores)</t>
  </si>
  <si>
    <t xml:space="preserve">TASK 6: MODEL COMPARISON SUMMARY</t>
  </si>
  <si>
    <t xml:space="preserve">Model</t>
  </si>
  <si>
    <t xml:space="preserve">Variables Used</t>
  </si>
  <si>
    <t xml:space="preserve">Significant Variables (p&lt;0.05)</t>
  </si>
  <si>
    <t xml:space="preserve">Business Usefulness</t>
  </si>
  <si>
    <t xml:space="preserve">Limitations</t>
  </si>
  <si>
    <t xml:space="preserve">Simple: monthly_sales ~ footfall</t>
  </si>
  <si>
    <t xml:space="preserve">monthly_sales (DV), footfall (IV)</t>
  </si>
  <si>
    <t xml:space="preserve">footfall (p&lt;0.001)</t>
  </si>
  <si>
    <t xml:space="preserve">Strong single-variable predictor; useful as an early-warning indicator but offers no new lever to pull (footfall itself is what leadership wants to drive).</t>
  </si>
  <si>
    <t xml:space="preserve">Ignores marketing, inventory, store mix and seasonality - large omitted-variable risk.</t>
  </si>
  <si>
    <t xml:space="preserve">Simple: monthly_sales ~ marketing_spend</t>
  </si>
  <si>
    <t xml:space="preserve">monthly_sales (DV), marketing_spend (IV)</t>
  </si>
  <si>
    <t xml:space="preserve">marketing_spend (p&lt;0.001)</t>
  </si>
  <si>
    <t xml:space="preserve">Confirms a real link between spend and sales, but on its own explains only a small share of the variation - not enough to justify spend decisions alone.</t>
  </si>
  <si>
    <t xml:space="preserve">Does not control for footfall or store type; effect could be partly confounded with stores that already get more traffic.</t>
  </si>
  <si>
    <t xml:space="preserve">Simple: monthly_sales ~ inventory_availability_pct</t>
  </si>
  <si>
    <t xml:space="preserve">monthly_sales (DV), inventory_availability_pct (IV)</t>
  </si>
  <si>
    <t xml:space="preserve">inventory_availability_pct (p=0.04, borderline)</t>
  </si>
  <si>
    <t xml:space="preserve">Directionally useful (more stock on shelf, more sales) but weak and borderline significant in isolation.</t>
  </si>
  <si>
    <t xml:space="preserve">Very low explanatory power alone; needs to be read together with other drivers.</t>
  </si>
  <si>
    <t xml:space="preserve">Simple: monthly_sales ~ avg_discount_pct</t>
  </si>
  <si>
    <t xml:space="preserve">monthly_sales (DV), avg_discount_pct (IV)</t>
  </si>
  <si>
    <t xml:space="preserve">None - not significant (p=0.10)</t>
  </si>
  <si>
    <t xml:space="preserve">Cannot be used on its own to justify or reject discounting; the data does not show a reliable standalone effect.</t>
  </si>
  <si>
    <t xml:space="preserve">Small effect size and high p-value; sign is negative as expected but not statistically reliable.</t>
  </si>
  <si>
    <t xml:space="preserve">Simple: monthly_sales ~ customer_rating</t>
  </si>
  <si>
    <t xml:space="preserve">monthly_sales (DV), customer_rating (IV)</t>
  </si>
  <si>
    <t xml:space="preserve">None - not significant (p=0.64)</t>
  </si>
  <si>
    <t xml:space="preserve">Almost no standalone explanatory value for sales in this dataset.</t>
  </si>
  <si>
    <t xml:space="preserve">Near-zero R-squared; customer rating may matter for retention/loyalty even if not for short-term monthly sales.</t>
  </si>
  <si>
    <t xml:space="preserve">Multiple Regression (FINAL MODEL)</t>
  </si>
  <si>
    <t xml:space="preserve">monthly_sales (DV); marketing_spend, footfall, avg_discount_pct, inventory_availability_pct, competitor_distance_km, customer_rating, holiday_flag, region dummies, store_type dummies (IVs)</t>
  </si>
  <si>
    <t xml:space="preserve">marketing_spend, footfall, inventory_availability_pct, competitor_distance_km, holiday_flag, customer_rating, region_South, region_West, store_Airport, store_Mall, store_Residential</t>
  </si>
  <si>
    <t xml:space="preserve">Best-fitting and most business-relevant model: explains the large majority of month-to-month sales variation and isolates the effect of each lever (marketing, inventory, region, store format) while holding others constant.</t>
  </si>
  <si>
    <t xml:space="preserve">avg_discount_pct and region_North are not statistically reliable in this model; correlation/regression shows association, not proof of causation; based on only 4 months of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</si>
</sst>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70389.11</v>
      </c>
      <c r="F2" s="0" t="n">
        <v>8302</v>
      </c>
      <c r="G2" s="0" t="n">
        <v>0.042</v>
      </c>
      <c r="H2" s="0" t="n">
        <v>17</v>
      </c>
      <c r="I2" s="0" t="n">
        <v>75</v>
      </c>
      <c r="J2" s="0" t="n">
        <v>5.28</v>
      </c>
      <c r="K2" s="0" t="n">
        <v>1</v>
      </c>
      <c r="L2" s="0" t="n">
        <v>3.1</v>
      </c>
      <c r="M2" s="0" t="n">
        <v>658832.62</v>
      </c>
      <c r="N2" s="0" t="n">
        <v>84349.93</v>
      </c>
    </row>
    <row r="3" customFormat="false" ht="15" hidden="false" customHeight="false" outlineLevel="0" collapsed="false">
      <c r="A3" s="0" t="s">
        <v>14</v>
      </c>
      <c r="B3" s="0" t="s">
        <v>18</v>
      </c>
      <c r="C3" s="0" t="s">
        <v>16</v>
      </c>
      <c r="D3" s="0" t="s">
        <v>17</v>
      </c>
      <c r="E3" s="0" t="n">
        <v>43827.89</v>
      </c>
      <c r="F3" s="0" t="n">
        <v>8487</v>
      </c>
      <c r="G3" s="0" t="n">
        <v>0.168</v>
      </c>
      <c r="H3" s="0" t="n">
        <v>23</v>
      </c>
      <c r="I3" s="0" t="n">
        <v>84.4</v>
      </c>
      <c r="J3" s="0" t="n">
        <v>4.31</v>
      </c>
      <c r="K3" s="0" t="n">
        <v>0</v>
      </c>
      <c r="L3" s="0" t="n">
        <v>2.8</v>
      </c>
      <c r="M3" s="0" t="n">
        <v>634436</v>
      </c>
      <c r="N3" s="0" t="n">
        <v>106130.54</v>
      </c>
    </row>
    <row r="4" customFormat="false" ht="15" hidden="false" customHeight="false" outlineLevel="0" collapsed="false">
      <c r="A4" s="0" t="s">
        <v>14</v>
      </c>
      <c r="B4" s="0" t="s">
        <v>19</v>
      </c>
      <c r="C4" s="0" t="s">
        <v>16</v>
      </c>
      <c r="D4" s="0" t="s">
        <v>17</v>
      </c>
      <c r="E4" s="0" t="n">
        <v>59921.75</v>
      </c>
      <c r="F4" s="0" t="n">
        <v>9113</v>
      </c>
      <c r="G4" s="0" t="n">
        <v>0.133</v>
      </c>
      <c r="H4" s="0" t="n">
        <v>20</v>
      </c>
      <c r="I4" s="0" t="n">
        <v>88</v>
      </c>
      <c r="J4" s="0" t="n">
        <v>12</v>
      </c>
      <c r="K4" s="0" t="n">
        <v>0</v>
      </c>
      <c r="L4" s="0" t="n">
        <v>3.2</v>
      </c>
      <c r="M4" s="0" t="n">
        <v>678722.06</v>
      </c>
      <c r="N4" s="0" t="n">
        <v>101883.86</v>
      </c>
    </row>
    <row r="5" customFormat="false" ht="15" hidden="false" customHeight="false" outlineLevel="0" collapsed="false">
      <c r="A5" s="0" t="s">
        <v>14</v>
      </c>
      <c r="B5" s="0" t="s">
        <v>20</v>
      </c>
      <c r="C5" s="0" t="s">
        <v>16</v>
      </c>
      <c r="D5" s="0" t="s">
        <v>17</v>
      </c>
      <c r="E5" s="0" t="n">
        <v>56856.63</v>
      </c>
      <c r="F5" s="0" t="n">
        <v>9431</v>
      </c>
      <c r="G5" s="0" t="n">
        <v>0.142</v>
      </c>
      <c r="H5" s="0" t="n">
        <v>23</v>
      </c>
      <c r="I5" s="0" t="n">
        <v>86.9</v>
      </c>
      <c r="J5" s="0" t="n">
        <v>4.97</v>
      </c>
      <c r="K5" s="0" t="n">
        <v>0</v>
      </c>
      <c r="L5" s="0" t="n">
        <v>3.4</v>
      </c>
      <c r="M5" s="0" t="n">
        <v>658920.3</v>
      </c>
      <c r="N5" s="0" t="n">
        <v>97910.37</v>
      </c>
    </row>
    <row r="6" customFormat="false" ht="15" hidden="false" customHeight="false" outlineLevel="0" collapsed="false">
      <c r="A6" s="0" t="s">
        <v>21</v>
      </c>
      <c r="B6" s="0" t="s">
        <v>15</v>
      </c>
      <c r="C6" s="0" t="s">
        <v>16</v>
      </c>
      <c r="D6" s="0" t="s">
        <v>22</v>
      </c>
      <c r="E6" s="0" t="n">
        <v>48412.64</v>
      </c>
      <c r="F6" s="0" t="n">
        <v>9545</v>
      </c>
      <c r="G6" s="0" t="n">
        <v>0.231</v>
      </c>
      <c r="H6" s="0" t="n">
        <v>21</v>
      </c>
      <c r="I6" s="0" t="n">
        <v>97.6</v>
      </c>
      <c r="J6" s="0" t="n">
        <v>6.94</v>
      </c>
      <c r="K6" s="0" t="n">
        <v>1</v>
      </c>
      <c r="L6" s="0" t="n">
        <v>4.2</v>
      </c>
      <c r="M6" s="0" t="n">
        <v>741341.44</v>
      </c>
      <c r="N6" s="0" t="n">
        <v>119208.17</v>
      </c>
    </row>
    <row r="7" customFormat="false" ht="15" hidden="false" customHeight="false" outlineLevel="0" collapsed="false">
      <c r="A7" s="0" t="s">
        <v>21</v>
      </c>
      <c r="B7" s="0" t="s">
        <v>18</v>
      </c>
      <c r="C7" s="0" t="s">
        <v>16</v>
      </c>
      <c r="D7" s="0" t="s">
        <v>22</v>
      </c>
      <c r="E7" s="0" t="n">
        <v>64811.21</v>
      </c>
      <c r="F7" s="0" t="n">
        <v>9792</v>
      </c>
      <c r="G7" s="0" t="n">
        <v>0.112</v>
      </c>
      <c r="H7" s="0" t="n">
        <v>20</v>
      </c>
      <c r="I7" s="0" t="n">
        <v>84.2</v>
      </c>
      <c r="J7" s="0" t="n">
        <v>2.88</v>
      </c>
      <c r="K7" s="0" t="n">
        <v>0</v>
      </c>
      <c r="L7" s="0" t="n">
        <v>4.2</v>
      </c>
      <c r="M7" s="0" t="n">
        <v>761835.34</v>
      </c>
      <c r="N7" s="0" t="n">
        <v>149602.23</v>
      </c>
    </row>
    <row r="8" customFormat="false" ht="15" hidden="false" customHeight="false" outlineLevel="0" collapsed="false">
      <c r="A8" s="0" t="s">
        <v>21</v>
      </c>
      <c r="B8" s="0" t="s">
        <v>19</v>
      </c>
      <c r="C8" s="0" t="s">
        <v>16</v>
      </c>
      <c r="D8" s="0" t="s">
        <v>22</v>
      </c>
      <c r="E8" s="0" t="n">
        <v>46213.45</v>
      </c>
      <c r="F8" s="0" t="n">
        <v>10616</v>
      </c>
      <c r="G8" s="0" t="n">
        <v>0.122</v>
      </c>
      <c r="H8" s="0" t="n">
        <v>22</v>
      </c>
      <c r="I8" s="0" t="n">
        <v>85.2</v>
      </c>
      <c r="J8" s="0" t="n">
        <v>0.2</v>
      </c>
      <c r="K8" s="0" t="n">
        <v>1</v>
      </c>
      <c r="L8" s="0" t="n">
        <v>4.1</v>
      </c>
      <c r="M8" s="0" t="n">
        <v>806615.54</v>
      </c>
      <c r="N8" s="0" t="n">
        <v>131364.62</v>
      </c>
    </row>
    <row r="9" customFormat="false" ht="15" hidden="false" customHeight="false" outlineLevel="0" collapsed="false">
      <c r="A9" s="0" t="s">
        <v>21</v>
      </c>
      <c r="B9" s="0" t="s">
        <v>20</v>
      </c>
      <c r="C9" s="0" t="s">
        <v>16</v>
      </c>
      <c r="D9" s="0" t="s">
        <v>22</v>
      </c>
      <c r="E9" s="0" t="n">
        <v>68148.52</v>
      </c>
      <c r="F9" s="0" t="n">
        <v>8567</v>
      </c>
      <c r="G9" s="0" t="n">
        <v>0.127</v>
      </c>
      <c r="H9" s="0" t="n">
        <v>23</v>
      </c>
      <c r="I9" s="0" t="n">
        <v>95.6</v>
      </c>
      <c r="J9" s="0" t="n">
        <v>0.8</v>
      </c>
      <c r="K9" s="0" t="n">
        <v>0</v>
      </c>
      <c r="L9" s="0" t="n">
        <v>3.9</v>
      </c>
      <c r="M9" s="0" t="n">
        <v>850164.26</v>
      </c>
      <c r="N9" s="0" t="n">
        <v>149262.75</v>
      </c>
    </row>
    <row r="10" customFormat="false" ht="15" hidden="false" customHeight="false" outlineLevel="0" collapsed="false">
      <c r="A10" s="0" t="s">
        <v>23</v>
      </c>
      <c r="B10" s="0" t="s">
        <v>15</v>
      </c>
      <c r="C10" s="0" t="s">
        <v>24</v>
      </c>
      <c r="D10" s="0" t="s">
        <v>25</v>
      </c>
      <c r="E10" s="0" t="n">
        <v>71838.86</v>
      </c>
      <c r="F10" s="0" t="n">
        <v>10979</v>
      </c>
      <c r="G10" s="0" t="n">
        <v>0.215</v>
      </c>
      <c r="H10" s="0" t="n">
        <v>26</v>
      </c>
      <c r="I10" s="0" t="n">
        <v>88.6</v>
      </c>
      <c r="J10" s="0" t="n">
        <v>7.7</v>
      </c>
      <c r="K10" s="0" t="n">
        <v>1</v>
      </c>
      <c r="L10" s="0" t="n">
        <v>3.8</v>
      </c>
      <c r="M10" s="0" t="n">
        <v>930581.7</v>
      </c>
      <c r="N10" s="0" t="n">
        <v>136207.98</v>
      </c>
    </row>
    <row r="11" customFormat="false" ht="15" hidden="false" customHeight="false" outlineLevel="0" collapsed="false">
      <c r="A11" s="0" t="s">
        <v>23</v>
      </c>
      <c r="B11" s="0" t="s">
        <v>18</v>
      </c>
      <c r="C11" s="0" t="s">
        <v>24</v>
      </c>
      <c r="D11" s="0" t="s">
        <v>25</v>
      </c>
      <c r="E11" s="0" t="n">
        <v>68133.44</v>
      </c>
      <c r="F11" s="0" t="n">
        <v>9459</v>
      </c>
      <c r="G11" s="0" t="n">
        <v>0.22</v>
      </c>
      <c r="H11" s="0" t="n">
        <v>21</v>
      </c>
      <c r="I11" s="0" t="n">
        <v>85</v>
      </c>
      <c r="J11" s="0" t="n">
        <v>1.91</v>
      </c>
      <c r="K11" s="0" t="n">
        <v>0</v>
      </c>
      <c r="L11" s="0" t="n">
        <v>4.2</v>
      </c>
      <c r="M11" s="0" t="n">
        <v>779010.94</v>
      </c>
      <c r="N11" s="0" t="n">
        <v>106328.09</v>
      </c>
    </row>
    <row r="12" customFormat="false" ht="15" hidden="false" customHeight="false" outlineLevel="0" collapsed="false">
      <c r="A12" s="0" t="s">
        <v>23</v>
      </c>
      <c r="B12" s="0" t="s">
        <v>19</v>
      </c>
      <c r="C12" s="0" t="s">
        <v>24</v>
      </c>
      <c r="D12" s="0" t="s">
        <v>25</v>
      </c>
      <c r="E12" s="0" t="n">
        <v>34285.21</v>
      </c>
      <c r="F12" s="0" t="n">
        <v>9172</v>
      </c>
      <c r="G12" s="0" t="n">
        <v>0.213</v>
      </c>
      <c r="H12" s="0" t="n">
        <v>22</v>
      </c>
      <c r="I12" s="0" t="n">
        <v>88.3</v>
      </c>
      <c r="J12" s="0" t="n">
        <v>10.46</v>
      </c>
      <c r="K12" s="0" t="n">
        <v>1</v>
      </c>
      <c r="L12" s="0" t="n">
        <v>3.8</v>
      </c>
      <c r="M12" s="0" t="n">
        <v>723060.76</v>
      </c>
      <c r="N12" s="0" t="n">
        <v>123131.24</v>
      </c>
    </row>
    <row r="13" customFormat="false" ht="15" hidden="false" customHeight="false" outlineLevel="0" collapsed="false">
      <c r="A13" s="0" t="s">
        <v>23</v>
      </c>
      <c r="B13" s="0" t="s">
        <v>20</v>
      </c>
      <c r="C13" s="0" t="s">
        <v>24</v>
      </c>
      <c r="D13" s="0" t="s">
        <v>25</v>
      </c>
      <c r="E13" s="0" t="n">
        <v>67979.88</v>
      </c>
      <c r="F13" s="0" t="n">
        <v>11230</v>
      </c>
      <c r="G13" s="0" t="n">
        <v>0.002</v>
      </c>
      <c r="H13" s="0" t="n">
        <v>28</v>
      </c>
      <c r="I13" s="0" t="n">
        <v>85.3</v>
      </c>
      <c r="J13" s="0" t="n">
        <v>7.16</v>
      </c>
      <c r="K13" s="0" t="n">
        <v>0</v>
      </c>
      <c r="L13" s="0" t="n">
        <v>3.8</v>
      </c>
      <c r="M13" s="0" t="n">
        <v>910791.94</v>
      </c>
      <c r="N13" s="0" t="n">
        <v>158891.28</v>
      </c>
    </row>
    <row r="14" customFormat="false" ht="15" hidden="false" customHeight="false" outlineLevel="0" collapsed="false">
      <c r="A14" s="0" t="s">
        <v>26</v>
      </c>
      <c r="B14" s="0" t="s">
        <v>15</v>
      </c>
      <c r="C14" s="0" t="s">
        <v>16</v>
      </c>
      <c r="D14" s="0" t="s">
        <v>17</v>
      </c>
      <c r="E14" s="0" t="n">
        <v>71828.26</v>
      </c>
      <c r="F14" s="0" t="n">
        <v>12775</v>
      </c>
      <c r="G14" s="0" t="n">
        <v>0.116</v>
      </c>
      <c r="H14" s="0" t="n">
        <v>30</v>
      </c>
      <c r="I14" s="0" t="n">
        <v>81.7</v>
      </c>
      <c r="J14" s="0" t="n">
        <v>4.24</v>
      </c>
      <c r="K14" s="0" t="n">
        <v>1</v>
      </c>
      <c r="L14" s="0" t="n">
        <v>4.2</v>
      </c>
      <c r="M14" s="0" t="n">
        <v>922168.6</v>
      </c>
      <c r="N14" s="0" t="n">
        <v>107494.53</v>
      </c>
    </row>
    <row r="15" customFormat="false" ht="15" hidden="false" customHeight="false" outlineLevel="0" collapsed="false">
      <c r="A15" s="0" t="s">
        <v>26</v>
      </c>
      <c r="B15" s="0" t="s">
        <v>18</v>
      </c>
      <c r="C15" s="0" t="s">
        <v>16</v>
      </c>
      <c r="D15" s="0" t="s">
        <v>17</v>
      </c>
      <c r="E15" s="0" t="n">
        <v>55716.82</v>
      </c>
      <c r="F15" s="0" t="n">
        <v>10054</v>
      </c>
      <c r="G15" s="0" t="n">
        <v>0.146</v>
      </c>
      <c r="H15" s="0" t="n">
        <v>24</v>
      </c>
      <c r="I15" s="0" t="n">
        <v>84.9</v>
      </c>
      <c r="J15" s="0" t="n">
        <v>1.06</v>
      </c>
      <c r="K15" s="0" t="n">
        <v>0</v>
      </c>
      <c r="L15" s="0" t="n">
        <v>4.3</v>
      </c>
      <c r="M15" s="0" t="n">
        <v>726606.28</v>
      </c>
      <c r="N15" s="0" t="n">
        <v>122729.29</v>
      </c>
    </row>
    <row r="16" customFormat="false" ht="15" hidden="false" customHeight="false" outlineLevel="0" collapsed="false">
      <c r="A16" s="0" t="s">
        <v>26</v>
      </c>
      <c r="B16" s="0" t="s">
        <v>19</v>
      </c>
      <c r="C16" s="0" t="s">
        <v>16</v>
      </c>
      <c r="D16" s="0" t="s">
        <v>17</v>
      </c>
      <c r="E16" s="0" t="n">
        <v>59909.51</v>
      </c>
      <c r="F16" s="0" t="n">
        <v>8895</v>
      </c>
      <c r="G16" s="0" t="n">
        <v>0.228</v>
      </c>
      <c r="H16" s="0" t="n">
        <v>23</v>
      </c>
      <c r="I16" s="0" t="n">
        <v>88.8</v>
      </c>
      <c r="J16" s="0" t="n">
        <v>0.27</v>
      </c>
      <c r="K16" s="0" t="n">
        <v>0</v>
      </c>
      <c r="L16" s="0" t="n">
        <v>4.3</v>
      </c>
      <c r="M16" s="0" t="n">
        <v>746501.09</v>
      </c>
      <c r="N16" s="0" t="n">
        <v>136816.72</v>
      </c>
    </row>
    <row r="17" customFormat="false" ht="15" hidden="false" customHeight="false" outlineLevel="0" collapsed="false">
      <c r="A17" s="0" t="s">
        <v>26</v>
      </c>
      <c r="B17" s="0" t="s">
        <v>20</v>
      </c>
      <c r="C17" s="0" t="s">
        <v>16</v>
      </c>
      <c r="D17" s="0" t="s">
        <v>17</v>
      </c>
      <c r="E17" s="0" t="n">
        <v>75305.71</v>
      </c>
      <c r="F17" s="0" t="n">
        <v>10940</v>
      </c>
      <c r="G17" s="0" t="n">
        <v>0.006</v>
      </c>
      <c r="H17" s="0" t="n">
        <v>26</v>
      </c>
      <c r="I17" s="0" t="n">
        <v>76.5</v>
      </c>
      <c r="J17" s="0" t="n">
        <v>1.32</v>
      </c>
      <c r="K17" s="0" t="n">
        <v>0</v>
      </c>
      <c r="L17" s="0" t="n">
        <v>4.5</v>
      </c>
      <c r="M17" s="0" t="n">
        <v>834017.02</v>
      </c>
      <c r="N17" s="0" t="n">
        <v>114745.03</v>
      </c>
    </row>
    <row r="18" customFormat="false" ht="15" hidden="false" customHeight="false" outlineLevel="0" collapsed="false">
      <c r="A18" s="0" t="s">
        <v>27</v>
      </c>
      <c r="B18" s="0" t="s">
        <v>15</v>
      </c>
      <c r="C18" s="0" t="s">
        <v>28</v>
      </c>
      <c r="D18" s="0" t="s">
        <v>17</v>
      </c>
      <c r="E18" s="0" t="n">
        <v>48804.22</v>
      </c>
      <c r="F18" s="0" t="n">
        <v>7057</v>
      </c>
      <c r="G18" s="0" t="n">
        <v>0.005</v>
      </c>
      <c r="H18" s="0" t="n">
        <v>15</v>
      </c>
      <c r="I18" s="0" t="n">
        <v>87.7</v>
      </c>
      <c r="J18" s="0" t="n">
        <v>1.22</v>
      </c>
      <c r="K18" s="0" t="n">
        <v>0</v>
      </c>
      <c r="L18" s="0" t="n">
        <v>3.7</v>
      </c>
      <c r="M18" s="0" t="n">
        <v>666152.52</v>
      </c>
      <c r="N18" s="0" t="n">
        <v>107490.58</v>
      </c>
    </row>
    <row r="19" customFormat="false" ht="15" hidden="false" customHeight="false" outlineLevel="0" collapsed="false">
      <c r="A19" s="0" t="s">
        <v>27</v>
      </c>
      <c r="B19" s="0" t="s">
        <v>18</v>
      </c>
      <c r="C19" s="0" t="s">
        <v>28</v>
      </c>
      <c r="D19" s="0" t="s">
        <v>17</v>
      </c>
      <c r="E19" s="0" t="n">
        <v>59117.9</v>
      </c>
      <c r="F19" s="0" t="n">
        <v>4263</v>
      </c>
      <c r="G19" s="0" t="n">
        <v>0.119</v>
      </c>
      <c r="H19" s="0" t="n">
        <v>9</v>
      </c>
      <c r="I19" s="0" t="n">
        <v>87.6</v>
      </c>
      <c r="J19" s="0" t="n">
        <v>4.01</v>
      </c>
      <c r="K19" s="0" t="n">
        <v>0</v>
      </c>
      <c r="L19" s="0" t="n">
        <v>3.6</v>
      </c>
      <c r="M19" s="0" t="n">
        <v>573155.19</v>
      </c>
      <c r="N19" s="0" t="n">
        <v>83680.75</v>
      </c>
    </row>
    <row r="20" customFormat="false" ht="15" hidden="false" customHeight="false" outlineLevel="0" collapsed="false">
      <c r="A20" s="0" t="s">
        <v>27</v>
      </c>
      <c r="B20" s="0" t="s">
        <v>19</v>
      </c>
      <c r="C20" s="0" t="s">
        <v>28</v>
      </c>
      <c r="D20" s="0" t="s">
        <v>17</v>
      </c>
      <c r="E20" s="0" t="n">
        <v>78831.12</v>
      </c>
      <c r="F20" s="0" t="n">
        <v>5538</v>
      </c>
      <c r="G20" s="0" t="n">
        <v>0</v>
      </c>
      <c r="H20" s="0" t="n">
        <v>15</v>
      </c>
      <c r="I20" s="0" t="n">
        <v>94.1</v>
      </c>
      <c r="J20" s="0" t="n">
        <v>0.2</v>
      </c>
      <c r="K20" s="0" t="n">
        <v>0</v>
      </c>
      <c r="L20" s="0" t="n">
        <v>3.9</v>
      </c>
      <c r="M20" s="0" t="n">
        <v>666573.2</v>
      </c>
      <c r="N20" s="0" t="n">
        <v>140641.02</v>
      </c>
    </row>
    <row r="21" customFormat="false" ht="15" hidden="false" customHeight="false" outlineLevel="0" collapsed="false">
      <c r="A21" s="0" t="s">
        <v>27</v>
      </c>
      <c r="B21" s="0" t="s">
        <v>20</v>
      </c>
      <c r="C21" s="0" t="s">
        <v>28</v>
      </c>
      <c r="D21" s="0" t="s">
        <v>17</v>
      </c>
      <c r="E21" s="0" t="n">
        <v>41441.93</v>
      </c>
      <c r="F21" s="0" t="n">
        <v>4865</v>
      </c>
      <c r="G21" s="0" t="n">
        <v>0.158</v>
      </c>
      <c r="H21" s="0" t="n">
        <v>16</v>
      </c>
      <c r="I21" s="0" t="n">
        <v>88.3</v>
      </c>
      <c r="J21" s="0" t="n">
        <v>0.5</v>
      </c>
      <c r="K21" s="0" t="n">
        <v>0</v>
      </c>
      <c r="L21" s="0" t="n">
        <v>4</v>
      </c>
      <c r="M21" s="0" t="n">
        <v>591619.95</v>
      </c>
      <c r="N21" s="0" t="n">
        <v>99521.35</v>
      </c>
    </row>
    <row r="22" customFormat="false" ht="15" hidden="false" customHeight="false" outlineLevel="0" collapsed="false">
      <c r="A22" s="0" t="s">
        <v>29</v>
      </c>
      <c r="B22" s="0" t="s">
        <v>15</v>
      </c>
      <c r="C22" s="0" t="s">
        <v>24</v>
      </c>
      <c r="D22" s="0" t="s">
        <v>17</v>
      </c>
      <c r="E22" s="0" t="n">
        <v>30356.28</v>
      </c>
      <c r="F22" s="0" t="n">
        <v>2822</v>
      </c>
      <c r="G22" s="0" t="n">
        <v>0.231</v>
      </c>
      <c r="H22" s="0" t="n">
        <v>9</v>
      </c>
      <c r="I22" s="0" t="n">
        <v>84.8</v>
      </c>
      <c r="J22" s="0" t="n">
        <v>6.95</v>
      </c>
      <c r="K22" s="0" t="n">
        <v>0</v>
      </c>
      <c r="L22" s="0" t="n">
        <v>5</v>
      </c>
      <c r="M22" s="0" t="n">
        <v>415721.82</v>
      </c>
      <c r="N22" s="0" t="n">
        <v>61179.15</v>
      </c>
    </row>
    <row r="23" customFormat="false" ht="15" hidden="false" customHeight="false" outlineLevel="0" collapsed="false">
      <c r="A23" s="0" t="s">
        <v>29</v>
      </c>
      <c r="B23" s="0" t="s">
        <v>18</v>
      </c>
      <c r="C23" s="0" t="s">
        <v>24</v>
      </c>
      <c r="D23" s="0" t="s">
        <v>17</v>
      </c>
      <c r="E23" s="0" t="n">
        <v>33518.88</v>
      </c>
      <c r="F23" s="0" t="n">
        <v>2121</v>
      </c>
      <c r="G23" s="0" t="n">
        <v>0.176</v>
      </c>
      <c r="H23" s="0" t="n">
        <v>8</v>
      </c>
      <c r="I23" s="0" t="n">
        <v>88.5</v>
      </c>
      <c r="J23" s="0" t="n">
        <v>0.2</v>
      </c>
      <c r="K23" s="0" t="n">
        <v>0</v>
      </c>
      <c r="L23" s="0" t="n">
        <v>5</v>
      </c>
      <c r="M23" s="0" t="n">
        <v>491905.13</v>
      </c>
      <c r="N23" s="0" t="n">
        <v>79212.26</v>
      </c>
    </row>
    <row r="24" customFormat="false" ht="15" hidden="false" customHeight="false" outlineLevel="0" collapsed="false">
      <c r="A24" s="0" t="s">
        <v>29</v>
      </c>
      <c r="B24" s="0" t="s">
        <v>19</v>
      </c>
      <c r="C24" s="0" t="s">
        <v>24</v>
      </c>
      <c r="D24" s="0" t="s">
        <v>17</v>
      </c>
      <c r="E24" s="0" t="n">
        <v>42267.37</v>
      </c>
      <c r="F24" s="0" t="n">
        <v>3364</v>
      </c>
      <c r="G24" s="0" t="n">
        <v>0.16</v>
      </c>
      <c r="H24" s="0" t="n">
        <v>13</v>
      </c>
      <c r="I24" s="0" t="n">
        <v>82</v>
      </c>
      <c r="J24" s="0" t="n">
        <v>1.61</v>
      </c>
      <c r="K24" s="0" t="n">
        <v>1</v>
      </c>
      <c r="L24" s="0" t="n">
        <v>4.6</v>
      </c>
      <c r="M24" s="0" t="n">
        <v>555929.4</v>
      </c>
      <c r="N24" s="0" t="n">
        <v>115201.76</v>
      </c>
    </row>
    <row r="25" customFormat="false" ht="15" hidden="false" customHeight="false" outlineLevel="0" collapsed="false">
      <c r="A25" s="0" t="s">
        <v>29</v>
      </c>
      <c r="B25" s="0" t="s">
        <v>20</v>
      </c>
      <c r="C25" s="0" t="s">
        <v>24</v>
      </c>
      <c r="D25" s="0" t="s">
        <v>17</v>
      </c>
      <c r="E25" s="0" t="n">
        <v>62060.43</v>
      </c>
      <c r="F25" s="0" t="n">
        <v>2613</v>
      </c>
      <c r="G25" s="0" t="n">
        <v>0.216</v>
      </c>
      <c r="H25" s="0" t="n">
        <v>12</v>
      </c>
      <c r="I25" s="0" t="n">
        <v>92.1</v>
      </c>
      <c r="J25" s="0" t="n">
        <v>1.55</v>
      </c>
      <c r="K25" s="0" t="n">
        <v>0</v>
      </c>
      <c r="L25" s="0" t="n">
        <v>4.7</v>
      </c>
      <c r="M25" s="0" t="n">
        <v>565810.99</v>
      </c>
      <c r="N25" s="0" t="n">
        <v>77825.46</v>
      </c>
    </row>
    <row r="26" customFormat="false" ht="15" hidden="false" customHeight="false" outlineLevel="0" collapsed="false">
      <c r="A26" s="0" t="s">
        <v>30</v>
      </c>
      <c r="B26" s="0" t="s">
        <v>15</v>
      </c>
      <c r="C26" s="0" t="s">
        <v>31</v>
      </c>
      <c r="D26" s="0" t="s">
        <v>32</v>
      </c>
      <c r="E26" s="0" t="n">
        <v>57696.69</v>
      </c>
      <c r="F26" s="0" t="n">
        <v>10218</v>
      </c>
      <c r="G26" s="0" t="n">
        <v>0.121</v>
      </c>
      <c r="H26" s="0" t="n">
        <v>25</v>
      </c>
      <c r="I26" s="0" t="n">
        <v>94.8</v>
      </c>
      <c r="J26" s="0" t="n">
        <v>2.99</v>
      </c>
      <c r="K26" s="0" t="n">
        <v>0</v>
      </c>
      <c r="L26" s="0" t="n">
        <v>3.5</v>
      </c>
      <c r="M26" s="0" t="n">
        <v>811771.14</v>
      </c>
      <c r="N26" s="0" t="n">
        <v>148756.24</v>
      </c>
    </row>
    <row r="27" customFormat="false" ht="15" hidden="false" customHeight="false" outlineLevel="0" collapsed="false">
      <c r="A27" s="0" t="s">
        <v>30</v>
      </c>
      <c r="B27" s="0" t="s">
        <v>18</v>
      </c>
      <c r="C27" s="0" t="s">
        <v>31</v>
      </c>
      <c r="D27" s="0" t="s">
        <v>32</v>
      </c>
      <c r="E27" s="0" t="n">
        <v>172415.52</v>
      </c>
      <c r="F27" s="0" t="n">
        <v>8927</v>
      </c>
      <c r="G27" s="0" t="n">
        <v>0.14</v>
      </c>
      <c r="H27" s="0" t="n">
        <v>22</v>
      </c>
      <c r="I27" s="0" t="n">
        <v>86.2</v>
      </c>
      <c r="J27" s="0" t="n">
        <v>7.04</v>
      </c>
      <c r="K27" s="0" t="n">
        <v>0</v>
      </c>
      <c r="L27" s="0" t="n">
        <v>3.9</v>
      </c>
      <c r="M27" s="0" t="n">
        <v>800451.94</v>
      </c>
      <c r="N27" s="0" t="n">
        <v>111572.29</v>
      </c>
    </row>
    <row r="28" customFormat="false" ht="15" hidden="false" customHeight="false" outlineLevel="0" collapsed="false">
      <c r="A28" s="0" t="s">
        <v>30</v>
      </c>
      <c r="B28" s="0" t="s">
        <v>19</v>
      </c>
      <c r="C28" s="0" t="s">
        <v>31</v>
      </c>
      <c r="D28" s="0" t="s">
        <v>32</v>
      </c>
      <c r="E28" s="0" t="n">
        <v>55270.52</v>
      </c>
      <c r="F28" s="0" t="n">
        <v>9315</v>
      </c>
      <c r="G28" s="0" t="n">
        <v>0.169</v>
      </c>
      <c r="H28" s="0" t="n">
        <v>23</v>
      </c>
      <c r="I28" s="0" t="n">
        <v>91.9</v>
      </c>
      <c r="J28" s="0" t="n">
        <v>4.94</v>
      </c>
      <c r="K28" s="0" t="n">
        <v>0</v>
      </c>
      <c r="L28" s="0" t="n">
        <v>4</v>
      </c>
      <c r="M28" s="0" t="n">
        <v>783672.82</v>
      </c>
      <c r="N28" s="0" t="n">
        <v>112577.14</v>
      </c>
    </row>
    <row r="29" customFormat="false" ht="15" hidden="false" customHeight="false" outlineLevel="0" collapsed="false">
      <c r="A29" s="0" t="s">
        <v>30</v>
      </c>
      <c r="B29" s="0" t="s">
        <v>20</v>
      </c>
      <c r="C29" s="0" t="s">
        <v>31</v>
      </c>
      <c r="D29" s="0" t="s">
        <v>32</v>
      </c>
      <c r="E29" s="0" t="n">
        <v>52715.1</v>
      </c>
      <c r="F29" s="0" t="n">
        <v>7223</v>
      </c>
      <c r="G29" s="0" t="n">
        <v>0.122</v>
      </c>
      <c r="H29" s="0" t="n">
        <v>16</v>
      </c>
      <c r="I29" s="0" t="n">
        <v>84.2</v>
      </c>
      <c r="J29" s="0" t="n">
        <v>16.15</v>
      </c>
      <c r="K29" s="0" t="n">
        <v>0</v>
      </c>
      <c r="L29" s="0" t="n">
        <v>3.7</v>
      </c>
      <c r="M29" s="0" t="n">
        <v>701641.97</v>
      </c>
      <c r="N29" s="0" t="n">
        <v>106111.86</v>
      </c>
    </row>
    <row r="30" customFormat="false" ht="15" hidden="false" customHeight="false" outlineLevel="0" collapsed="false">
      <c r="A30" s="0" t="s">
        <v>33</v>
      </c>
      <c r="B30" s="0" t="s">
        <v>15</v>
      </c>
      <c r="C30" s="0" t="s">
        <v>16</v>
      </c>
      <c r="D30" s="0" t="s">
        <v>17</v>
      </c>
      <c r="E30" s="0" t="n">
        <v>68600.62</v>
      </c>
      <c r="F30" s="0" t="n">
        <v>3988</v>
      </c>
      <c r="G30" s="0" t="n">
        <v>0.124</v>
      </c>
      <c r="H30" s="0" t="n">
        <v>11</v>
      </c>
      <c r="I30" s="0" t="n">
        <v>85</v>
      </c>
      <c r="J30" s="0" t="n">
        <v>0.48</v>
      </c>
      <c r="K30" s="0" t="n">
        <v>0</v>
      </c>
      <c r="L30" s="0" t="n">
        <v>3.6</v>
      </c>
      <c r="M30" s="0" t="n">
        <v>511844.41</v>
      </c>
      <c r="N30" s="0" t="n">
        <v>72774.44</v>
      </c>
    </row>
    <row r="31" customFormat="false" ht="15" hidden="false" customHeight="false" outlineLevel="0" collapsed="false">
      <c r="A31" s="0" t="s">
        <v>33</v>
      </c>
      <c r="B31" s="0" t="s">
        <v>18</v>
      </c>
      <c r="C31" s="0" t="s">
        <v>16</v>
      </c>
      <c r="D31" s="0" t="s">
        <v>17</v>
      </c>
      <c r="E31" s="0" t="n">
        <v>63176.73</v>
      </c>
      <c r="F31" s="0" t="n">
        <v>2390</v>
      </c>
      <c r="G31" s="0" t="n">
        <v>0.216</v>
      </c>
      <c r="H31" s="0" t="n">
        <v>9</v>
      </c>
      <c r="I31" s="0" t="n">
        <v>87.5</v>
      </c>
      <c r="J31" s="0" t="n">
        <v>0.31</v>
      </c>
      <c r="K31" s="0" t="n">
        <v>0</v>
      </c>
      <c r="L31" s="0" t="n">
        <v>3.1</v>
      </c>
      <c r="M31" s="0" t="n">
        <v>537383.79</v>
      </c>
      <c r="N31" s="0" t="n">
        <v>63773.27</v>
      </c>
    </row>
    <row r="32" customFormat="false" ht="15" hidden="false" customHeight="false" outlineLevel="0" collapsed="false">
      <c r="A32" s="0" t="s">
        <v>33</v>
      </c>
      <c r="B32" s="0" t="s">
        <v>19</v>
      </c>
      <c r="C32" s="0" t="s">
        <v>16</v>
      </c>
      <c r="D32" s="0" t="s">
        <v>17</v>
      </c>
      <c r="E32" s="0" t="n">
        <v>44970.08</v>
      </c>
      <c r="F32" s="0" t="n">
        <v>2471</v>
      </c>
      <c r="G32" s="0" t="n">
        <v>0.136</v>
      </c>
      <c r="H32" s="0" t="n">
        <v>11</v>
      </c>
      <c r="I32" s="0" t="n">
        <v>87.6</v>
      </c>
      <c r="J32" s="0" t="n">
        <v>3.01</v>
      </c>
      <c r="K32" s="0" t="n">
        <v>1</v>
      </c>
      <c r="L32" s="0" t="n">
        <v>3.7</v>
      </c>
      <c r="M32" s="0" t="n">
        <v>500173.02</v>
      </c>
      <c r="N32" s="0" t="n">
        <v>70982.05</v>
      </c>
    </row>
    <row r="33" customFormat="false" ht="15" hidden="false" customHeight="false" outlineLevel="0" collapsed="false">
      <c r="A33" s="0" t="s">
        <v>33</v>
      </c>
      <c r="B33" s="0" t="s">
        <v>20</v>
      </c>
      <c r="C33" s="0" t="s">
        <v>16</v>
      </c>
      <c r="D33" s="0" t="s">
        <v>17</v>
      </c>
      <c r="E33" s="0" t="n">
        <v>69816.35</v>
      </c>
      <c r="F33" s="0" t="n">
        <v>971</v>
      </c>
      <c r="G33" s="0" t="n">
        <v>0.168</v>
      </c>
      <c r="H33" s="0" t="n">
        <v>5</v>
      </c>
      <c r="I33" s="0" t="n">
        <v>89.9</v>
      </c>
      <c r="J33" s="0" t="n">
        <v>12.15</v>
      </c>
      <c r="K33" s="0" t="n">
        <v>0</v>
      </c>
      <c r="L33" s="0" t="n">
        <v>3.6</v>
      </c>
      <c r="M33" s="0" t="n">
        <v>427917.38</v>
      </c>
      <c r="N33" s="0" t="n">
        <v>81824.31</v>
      </c>
    </row>
    <row r="34" customFormat="false" ht="15" hidden="false" customHeight="false" outlineLevel="0" collapsed="false">
      <c r="A34" s="0" t="s">
        <v>34</v>
      </c>
      <c r="B34" s="0" t="s">
        <v>15</v>
      </c>
      <c r="C34" s="0" t="s">
        <v>24</v>
      </c>
      <c r="D34" s="0" t="s">
        <v>17</v>
      </c>
      <c r="E34" s="0" t="n">
        <v>54597.83</v>
      </c>
      <c r="F34" s="0" t="n">
        <v>9429</v>
      </c>
      <c r="G34" s="0" t="n">
        <v>0.188</v>
      </c>
      <c r="H34" s="0" t="n">
        <v>21</v>
      </c>
      <c r="I34" s="0" t="n">
        <v>83.3</v>
      </c>
      <c r="J34" s="0" t="n">
        <v>11.71</v>
      </c>
      <c r="K34" s="0" t="n">
        <v>0</v>
      </c>
      <c r="L34" s="0" t="n">
        <v>4.2</v>
      </c>
      <c r="M34" s="0" t="n">
        <v>641865.03</v>
      </c>
      <c r="N34" s="0" t="n">
        <v>81342.58</v>
      </c>
    </row>
    <row r="35" customFormat="false" ht="15" hidden="false" customHeight="false" outlineLevel="0" collapsed="false">
      <c r="A35" s="0" t="s">
        <v>34</v>
      </c>
      <c r="B35" s="0" t="s">
        <v>18</v>
      </c>
      <c r="C35" s="0" t="s">
        <v>24</v>
      </c>
      <c r="D35" s="0" t="s">
        <v>17</v>
      </c>
      <c r="E35" s="0" t="n">
        <v>73771.91</v>
      </c>
      <c r="F35" s="0" t="n">
        <v>11695</v>
      </c>
      <c r="G35" s="0" t="n">
        <v>0.07</v>
      </c>
      <c r="H35" s="0" t="n">
        <v>25</v>
      </c>
      <c r="I35" s="0" t="n">
        <v>84.7</v>
      </c>
      <c r="J35" s="0" t="n">
        <v>0.62</v>
      </c>
      <c r="K35" s="0" t="n">
        <v>0</v>
      </c>
      <c r="M35" s="0" t="n">
        <v>799477.76</v>
      </c>
      <c r="N35" s="0" t="n">
        <v>164974.41</v>
      </c>
    </row>
    <row r="36" customFormat="false" ht="15" hidden="false" customHeight="false" outlineLevel="0" collapsed="false">
      <c r="A36" s="0" t="s">
        <v>34</v>
      </c>
      <c r="B36" s="0" t="s">
        <v>19</v>
      </c>
      <c r="C36" s="0" t="s">
        <v>24</v>
      </c>
      <c r="D36" s="0" t="s">
        <v>17</v>
      </c>
      <c r="E36" s="0" t="n">
        <v>74413.88</v>
      </c>
      <c r="F36" s="0" t="n">
        <v>9449</v>
      </c>
      <c r="G36" s="0" t="n">
        <v>0.039</v>
      </c>
      <c r="H36" s="0" t="n">
        <v>23</v>
      </c>
      <c r="I36" s="0" t="n">
        <v>92.1</v>
      </c>
      <c r="J36" s="0" t="n">
        <v>2.12</v>
      </c>
      <c r="K36" s="0" t="n">
        <v>0</v>
      </c>
      <c r="L36" s="0" t="n">
        <v>3.5</v>
      </c>
      <c r="M36" s="0" t="n">
        <v>798952.17</v>
      </c>
      <c r="N36" s="0" t="n">
        <v>161499.04</v>
      </c>
    </row>
    <row r="37" customFormat="false" ht="15" hidden="false" customHeight="false" outlineLevel="0" collapsed="false">
      <c r="A37" s="0" t="s">
        <v>34</v>
      </c>
      <c r="B37" s="0" t="s">
        <v>20</v>
      </c>
      <c r="C37" s="0" t="s">
        <v>24</v>
      </c>
      <c r="D37" s="0" t="s">
        <v>17</v>
      </c>
      <c r="E37" s="0" t="n">
        <v>52483.77</v>
      </c>
      <c r="F37" s="0" t="n">
        <v>10453</v>
      </c>
      <c r="G37" s="0" t="n">
        <v>0.247</v>
      </c>
      <c r="H37" s="0" t="n">
        <v>25</v>
      </c>
      <c r="I37" s="0" t="n">
        <v>99</v>
      </c>
      <c r="J37" s="0" t="n">
        <v>6.31</v>
      </c>
      <c r="K37" s="0" t="n">
        <v>0</v>
      </c>
      <c r="L37" s="0" t="n">
        <v>3.6</v>
      </c>
      <c r="M37" s="0" t="n">
        <v>800979.78</v>
      </c>
      <c r="N37" s="0" t="n">
        <v>149242.27</v>
      </c>
    </row>
    <row r="38" customFormat="false" ht="15" hidden="false" customHeight="false" outlineLevel="0" collapsed="false">
      <c r="A38" s="0" t="s">
        <v>35</v>
      </c>
      <c r="B38" s="0" t="s">
        <v>15</v>
      </c>
      <c r="C38" s="0" t="s">
        <v>24</v>
      </c>
      <c r="D38" s="0" t="s">
        <v>32</v>
      </c>
      <c r="E38" s="0" t="n">
        <v>75269.87</v>
      </c>
      <c r="F38" s="0" t="n">
        <v>8838</v>
      </c>
      <c r="G38" s="0" t="n">
        <v>0.092</v>
      </c>
      <c r="H38" s="0" t="n">
        <v>21</v>
      </c>
      <c r="I38" s="0" t="n">
        <v>83.1</v>
      </c>
      <c r="J38" s="0" t="n">
        <v>9.56</v>
      </c>
      <c r="K38" s="0" t="n">
        <v>1</v>
      </c>
      <c r="L38" s="0" t="n">
        <v>4.2</v>
      </c>
      <c r="M38" s="0" t="n">
        <v>820593.93</v>
      </c>
      <c r="N38" s="0" t="n">
        <v>115860.06</v>
      </c>
    </row>
    <row r="39" customFormat="false" ht="15" hidden="false" customHeight="false" outlineLevel="0" collapsed="false">
      <c r="A39" s="0" t="s">
        <v>35</v>
      </c>
      <c r="B39" s="0" t="s">
        <v>18</v>
      </c>
      <c r="C39" s="0" t="s">
        <v>24</v>
      </c>
      <c r="D39" s="0" t="s">
        <v>32</v>
      </c>
      <c r="E39" s="0" t="n">
        <v>61245.41</v>
      </c>
      <c r="F39" s="0" t="n">
        <v>8156</v>
      </c>
      <c r="G39" s="0" t="n">
        <v>0.156</v>
      </c>
      <c r="H39" s="0" t="n">
        <v>19</v>
      </c>
      <c r="I39" s="0" t="n">
        <v>92.9</v>
      </c>
      <c r="J39" s="0" t="n">
        <v>9.05</v>
      </c>
      <c r="K39" s="0" t="n">
        <v>0</v>
      </c>
      <c r="L39" s="0" t="n">
        <v>3.8</v>
      </c>
      <c r="M39" s="0" t="n">
        <v>718330.53</v>
      </c>
      <c r="N39" s="0" t="n">
        <v>93247.9</v>
      </c>
    </row>
    <row r="40" customFormat="false" ht="15" hidden="false" customHeight="false" outlineLevel="0" collapsed="false">
      <c r="A40" s="0" t="s">
        <v>35</v>
      </c>
      <c r="B40" s="0" t="s">
        <v>19</v>
      </c>
      <c r="C40" s="0" t="s">
        <v>24</v>
      </c>
      <c r="D40" s="0" t="s">
        <v>32</v>
      </c>
      <c r="E40" s="0" t="n">
        <v>93381.26</v>
      </c>
      <c r="F40" s="0" t="n">
        <v>7562</v>
      </c>
      <c r="G40" s="0" t="n">
        <v>0.198</v>
      </c>
      <c r="H40" s="0" t="n">
        <v>19</v>
      </c>
      <c r="I40" s="0" t="n">
        <v>82.9</v>
      </c>
      <c r="J40" s="0" t="n">
        <v>5.05</v>
      </c>
      <c r="K40" s="0" t="n">
        <v>0</v>
      </c>
      <c r="L40" s="0" t="n">
        <v>4</v>
      </c>
      <c r="M40" s="0" t="n">
        <v>736633.4</v>
      </c>
      <c r="N40" s="0" t="n">
        <v>115654.66</v>
      </c>
    </row>
    <row r="41" customFormat="false" ht="15" hidden="false" customHeight="false" outlineLevel="0" collapsed="false">
      <c r="A41" s="0" t="s">
        <v>35</v>
      </c>
      <c r="B41" s="0" t="s">
        <v>20</v>
      </c>
      <c r="C41" s="0" t="s">
        <v>24</v>
      </c>
      <c r="D41" s="0" t="s">
        <v>32</v>
      </c>
      <c r="E41" s="0" t="n">
        <v>65012.19</v>
      </c>
      <c r="F41" s="0" t="n">
        <v>9598</v>
      </c>
      <c r="G41" s="0" t="n">
        <v>0.085</v>
      </c>
      <c r="H41" s="0" t="n">
        <v>24</v>
      </c>
      <c r="I41" s="0" t="n">
        <v>98.3</v>
      </c>
      <c r="J41" s="0" t="n">
        <v>0.89</v>
      </c>
      <c r="K41" s="0" t="n">
        <v>0</v>
      </c>
      <c r="L41" s="0" t="n">
        <v>3.8</v>
      </c>
      <c r="M41" s="0" t="n">
        <v>828623.85</v>
      </c>
      <c r="N41" s="0" t="n">
        <v>167320.52</v>
      </c>
    </row>
    <row r="42" customFormat="false" ht="15" hidden="false" customHeight="false" outlineLevel="0" collapsed="false">
      <c r="A42" s="0" t="s">
        <v>36</v>
      </c>
      <c r="B42" s="0" t="s">
        <v>15</v>
      </c>
      <c r="C42" s="0" t="s">
        <v>16</v>
      </c>
      <c r="D42" s="0" t="s">
        <v>32</v>
      </c>
      <c r="E42" s="0" t="n">
        <v>40462.94</v>
      </c>
      <c r="F42" s="0" t="n">
        <v>3660</v>
      </c>
      <c r="G42" s="0" t="n">
        <v>0.218</v>
      </c>
      <c r="H42" s="0" t="n">
        <v>11</v>
      </c>
      <c r="I42" s="0" t="n">
        <v>95.2</v>
      </c>
      <c r="J42" s="0" t="n">
        <v>5.57</v>
      </c>
      <c r="K42" s="0" t="n">
        <v>0</v>
      </c>
      <c r="L42" s="0" t="n">
        <v>4.4</v>
      </c>
      <c r="M42" s="0" t="n">
        <v>592195.85</v>
      </c>
      <c r="N42" s="0" t="n">
        <v>92291.56</v>
      </c>
    </row>
    <row r="43" customFormat="false" ht="15" hidden="false" customHeight="false" outlineLevel="0" collapsed="false">
      <c r="A43" s="0" t="s">
        <v>36</v>
      </c>
      <c r="B43" s="0" t="s">
        <v>18</v>
      </c>
      <c r="C43" s="0" t="s">
        <v>16</v>
      </c>
      <c r="D43" s="0" t="s">
        <v>32</v>
      </c>
      <c r="E43" s="0" t="n">
        <v>46123.88</v>
      </c>
      <c r="F43" s="0" t="n">
        <v>3227</v>
      </c>
      <c r="G43" s="0" t="n">
        <v>0.143</v>
      </c>
      <c r="H43" s="0" t="n">
        <v>10</v>
      </c>
      <c r="I43" s="0" t="n">
        <v>75.4</v>
      </c>
      <c r="J43" s="0" t="n">
        <v>1.06</v>
      </c>
      <c r="K43" s="0" t="n">
        <v>0</v>
      </c>
      <c r="L43" s="0" t="n">
        <v>4.4</v>
      </c>
      <c r="M43" s="0" t="n">
        <v>532644.46</v>
      </c>
      <c r="N43" s="0" t="n">
        <v>60681.32</v>
      </c>
    </row>
    <row r="44" customFormat="false" ht="15" hidden="false" customHeight="false" outlineLevel="0" collapsed="false">
      <c r="A44" s="0" t="s">
        <v>36</v>
      </c>
      <c r="B44" s="0" t="s">
        <v>19</v>
      </c>
      <c r="C44" s="0" t="s">
        <v>16</v>
      </c>
      <c r="D44" s="0" t="s">
        <v>32</v>
      </c>
      <c r="E44" s="0" t="n">
        <v>68077.54</v>
      </c>
      <c r="F44" s="0" t="n">
        <v>3360</v>
      </c>
      <c r="G44" s="0" t="n">
        <v>0.128</v>
      </c>
      <c r="H44" s="0" t="n">
        <v>14</v>
      </c>
      <c r="I44" s="0" t="n">
        <v>88.2</v>
      </c>
      <c r="J44" s="0" t="n">
        <v>1.24</v>
      </c>
      <c r="K44" s="0" t="n">
        <v>1</v>
      </c>
      <c r="L44" s="0" t="n">
        <v>4</v>
      </c>
      <c r="M44" s="0" t="n">
        <v>657429.18</v>
      </c>
      <c r="N44" s="0" t="n">
        <v>88919.74</v>
      </c>
    </row>
    <row r="45" customFormat="false" ht="15" hidden="false" customHeight="false" outlineLevel="0" collapsed="false">
      <c r="A45" s="0" t="s">
        <v>36</v>
      </c>
      <c r="B45" s="0" t="s">
        <v>20</v>
      </c>
      <c r="C45" s="0" t="s">
        <v>16</v>
      </c>
      <c r="D45" s="0" t="s">
        <v>32</v>
      </c>
      <c r="E45" s="0" t="n">
        <v>64882.14</v>
      </c>
      <c r="F45" s="0" t="n">
        <v>3642</v>
      </c>
      <c r="G45" s="0" t="n">
        <v>0.019</v>
      </c>
      <c r="H45" s="0" t="n">
        <v>13</v>
      </c>
      <c r="I45" s="0" t="n">
        <v>87.8</v>
      </c>
      <c r="J45" s="0" t="n">
        <v>4.52</v>
      </c>
      <c r="K45" s="0" t="n">
        <v>0</v>
      </c>
      <c r="L45" s="0" t="n">
        <v>4.2</v>
      </c>
      <c r="M45" s="0" t="n">
        <v>605178</v>
      </c>
      <c r="N45" s="0" t="n">
        <v>106958.74</v>
      </c>
    </row>
    <row r="46" customFormat="false" ht="15" hidden="false" customHeight="false" outlineLevel="0" collapsed="false">
      <c r="A46" s="0" t="s">
        <v>37</v>
      </c>
      <c r="B46" s="0" t="s">
        <v>15</v>
      </c>
      <c r="C46" s="0" t="s">
        <v>31</v>
      </c>
      <c r="D46" s="0" t="s">
        <v>17</v>
      </c>
      <c r="E46" s="0" t="n">
        <v>138855.51</v>
      </c>
      <c r="F46" s="0" t="n">
        <v>5145</v>
      </c>
      <c r="G46" s="0" t="n">
        <v>0.06</v>
      </c>
      <c r="H46" s="0" t="n">
        <v>17</v>
      </c>
      <c r="I46" s="0" t="n">
        <v>88.2</v>
      </c>
      <c r="J46" s="0" t="n">
        <v>9.58</v>
      </c>
      <c r="K46" s="0" t="n">
        <v>0</v>
      </c>
      <c r="L46" s="0" t="n">
        <v>3.2</v>
      </c>
      <c r="M46" s="0" t="n">
        <v>595467.6</v>
      </c>
      <c r="N46" s="0" t="n">
        <v>104276.46</v>
      </c>
    </row>
    <row r="47" customFormat="false" ht="15" hidden="false" customHeight="false" outlineLevel="0" collapsed="false">
      <c r="A47" s="0" t="s">
        <v>37</v>
      </c>
      <c r="B47" s="0" t="s">
        <v>18</v>
      </c>
      <c r="C47" s="0" t="s">
        <v>31</v>
      </c>
      <c r="D47" s="0" t="s">
        <v>17</v>
      </c>
      <c r="E47" s="0" t="n">
        <v>63630.21</v>
      </c>
      <c r="F47" s="0" t="n">
        <v>4460</v>
      </c>
      <c r="G47" s="0" t="n">
        <v>0.235</v>
      </c>
      <c r="H47" s="0" t="n">
        <v>14</v>
      </c>
      <c r="I47" s="0" t="n">
        <v>98.6</v>
      </c>
      <c r="J47" s="0" t="n">
        <v>5.52</v>
      </c>
      <c r="K47" s="0" t="n">
        <v>0</v>
      </c>
      <c r="L47" s="0" t="n">
        <v>3.5</v>
      </c>
      <c r="M47" s="0" t="n">
        <v>599603.4</v>
      </c>
      <c r="N47" s="0" t="n">
        <v>112685.12</v>
      </c>
    </row>
    <row r="48" customFormat="false" ht="15" hidden="false" customHeight="false" outlineLevel="0" collapsed="false">
      <c r="A48" s="0" t="s">
        <v>37</v>
      </c>
      <c r="B48" s="0" t="s">
        <v>19</v>
      </c>
      <c r="C48" s="0" t="s">
        <v>31</v>
      </c>
      <c r="D48" s="0" t="s">
        <v>17</v>
      </c>
      <c r="E48" s="0" t="n">
        <v>50043.65</v>
      </c>
      <c r="F48" s="0" t="n">
        <v>3804</v>
      </c>
      <c r="G48" s="0" t="n">
        <v>0.113</v>
      </c>
      <c r="H48" s="0" t="n">
        <v>11</v>
      </c>
      <c r="I48" s="0" t="n">
        <v>90.9</v>
      </c>
      <c r="J48" s="0" t="n">
        <v>2.7</v>
      </c>
      <c r="K48" s="0" t="n">
        <v>1</v>
      </c>
      <c r="L48" s="0" t="n">
        <v>3.2</v>
      </c>
      <c r="M48" s="0" t="n">
        <v>614800.09</v>
      </c>
      <c r="N48" s="0" t="n">
        <v>100044.2</v>
      </c>
    </row>
    <row r="49" customFormat="false" ht="15" hidden="false" customHeight="false" outlineLevel="0" collapsed="false">
      <c r="A49" s="0" t="s">
        <v>37</v>
      </c>
      <c r="B49" s="0" t="s">
        <v>20</v>
      </c>
      <c r="C49" s="0" t="s">
        <v>31</v>
      </c>
      <c r="D49" s="0" t="s">
        <v>17</v>
      </c>
      <c r="E49" s="0" t="n">
        <v>42093.84</v>
      </c>
      <c r="F49" s="0" t="n">
        <v>4074</v>
      </c>
      <c r="G49" s="0" t="n">
        <v>0.155</v>
      </c>
      <c r="H49" s="0" t="n">
        <v>15</v>
      </c>
      <c r="I49" s="0" t="n">
        <v>88</v>
      </c>
      <c r="J49" s="0" t="n">
        <v>9.64</v>
      </c>
      <c r="K49" s="0" t="n">
        <v>0</v>
      </c>
      <c r="L49" s="0" t="n">
        <v>3.3</v>
      </c>
      <c r="M49" s="0" t="n">
        <v>585365.73</v>
      </c>
      <c r="N49" s="0" t="n">
        <v>81011.52</v>
      </c>
    </row>
    <row r="50" customFormat="false" ht="15" hidden="false" customHeight="false" outlineLevel="0" collapsed="false">
      <c r="A50" s="0" t="s">
        <v>38</v>
      </c>
      <c r="B50" s="0" t="s">
        <v>15</v>
      </c>
      <c r="C50" s="0" t="s">
        <v>24</v>
      </c>
      <c r="D50" s="0" t="s">
        <v>32</v>
      </c>
      <c r="E50" s="0" t="n">
        <v>46624.05</v>
      </c>
      <c r="F50" s="0" t="n">
        <v>5104</v>
      </c>
      <c r="G50" s="0" t="n">
        <v>0.109</v>
      </c>
      <c r="H50" s="0" t="n">
        <v>11</v>
      </c>
      <c r="I50" s="0" t="n">
        <v>97.3</v>
      </c>
      <c r="J50" s="0" t="n">
        <v>3.49</v>
      </c>
      <c r="K50" s="0" t="n">
        <v>1</v>
      </c>
      <c r="L50" s="0" t="n">
        <v>4.7</v>
      </c>
      <c r="M50" s="0" t="n">
        <v>622811.74</v>
      </c>
      <c r="N50" s="0" t="n">
        <v>109978.35</v>
      </c>
    </row>
    <row r="51" customFormat="false" ht="15" hidden="false" customHeight="false" outlineLevel="0" collapsed="false">
      <c r="A51" s="0" t="s">
        <v>38</v>
      </c>
      <c r="B51" s="0" t="s">
        <v>18</v>
      </c>
      <c r="C51" s="0" t="s">
        <v>24</v>
      </c>
      <c r="D51" s="0" t="s">
        <v>32</v>
      </c>
      <c r="E51" s="0" t="n">
        <v>49710.29</v>
      </c>
      <c r="F51" s="0" t="n">
        <v>5559</v>
      </c>
      <c r="G51" s="0" t="n">
        <v>0.218</v>
      </c>
      <c r="H51" s="0" t="n">
        <v>14</v>
      </c>
      <c r="I51" s="0" t="n">
        <v>71</v>
      </c>
      <c r="J51" s="0" t="n">
        <v>9.11</v>
      </c>
      <c r="K51" s="0" t="n">
        <v>0</v>
      </c>
      <c r="L51" s="0" t="n">
        <v>4.6</v>
      </c>
      <c r="M51" s="0" t="n">
        <v>603297.57</v>
      </c>
      <c r="N51" s="0" t="n">
        <v>60592.26</v>
      </c>
    </row>
    <row r="52" customFormat="false" ht="15" hidden="false" customHeight="false" outlineLevel="0" collapsed="false">
      <c r="A52" s="0" t="s">
        <v>38</v>
      </c>
      <c r="B52" s="0" t="s">
        <v>19</v>
      </c>
      <c r="C52" s="0" t="s">
        <v>24</v>
      </c>
      <c r="D52" s="0" t="s">
        <v>32</v>
      </c>
      <c r="E52" s="0" t="n">
        <v>48287.85</v>
      </c>
      <c r="F52" s="0" t="n">
        <v>5150</v>
      </c>
      <c r="G52" s="0" t="n">
        <v>0.008</v>
      </c>
      <c r="H52" s="0" t="n">
        <v>12</v>
      </c>
      <c r="I52" s="0" t="n">
        <v>80.4</v>
      </c>
      <c r="J52" s="0" t="n">
        <v>7.4</v>
      </c>
      <c r="K52" s="0" t="n">
        <v>0</v>
      </c>
      <c r="L52" s="0" t="n">
        <v>4.5</v>
      </c>
      <c r="M52" s="0" t="n">
        <v>625672.86</v>
      </c>
      <c r="N52" s="0" t="n">
        <v>118020.12</v>
      </c>
    </row>
    <row r="53" customFormat="false" ht="15" hidden="false" customHeight="false" outlineLevel="0" collapsed="false">
      <c r="A53" s="0" t="s">
        <v>38</v>
      </c>
      <c r="B53" s="0" t="s">
        <v>20</v>
      </c>
      <c r="C53" s="0" t="s">
        <v>24</v>
      </c>
      <c r="D53" s="0" t="s">
        <v>32</v>
      </c>
      <c r="E53" s="0" t="n">
        <v>65312.49</v>
      </c>
      <c r="F53" s="0" t="n">
        <v>7189</v>
      </c>
      <c r="G53" s="0" t="n">
        <v>0.05</v>
      </c>
      <c r="H53" s="0" t="n">
        <v>19</v>
      </c>
      <c r="I53" s="0" t="n">
        <v>93.7</v>
      </c>
      <c r="J53" s="0" t="n">
        <v>7.16</v>
      </c>
      <c r="K53" s="0" t="n">
        <v>0</v>
      </c>
      <c r="L53" s="0" t="n">
        <v>4.6</v>
      </c>
      <c r="M53" s="0" t="n">
        <v>773815.14</v>
      </c>
      <c r="N53" s="0" t="n">
        <v>133948.39</v>
      </c>
    </row>
    <row r="54" customFormat="false" ht="15" hidden="false" customHeight="false" outlineLevel="0" collapsed="false">
      <c r="A54" s="0" t="s">
        <v>39</v>
      </c>
      <c r="B54" s="0" t="s">
        <v>15</v>
      </c>
      <c r="C54" s="0" t="s">
        <v>31</v>
      </c>
      <c r="D54" s="0" t="s">
        <v>22</v>
      </c>
      <c r="E54" s="0" t="n">
        <v>53015.46</v>
      </c>
      <c r="F54" s="0" t="n">
        <v>3279</v>
      </c>
      <c r="G54" s="0" t="n">
        <v>0.087</v>
      </c>
      <c r="H54" s="0" t="n">
        <v>9</v>
      </c>
      <c r="I54" s="0" t="n">
        <v>84.3</v>
      </c>
      <c r="J54" s="0" t="n">
        <v>22.02</v>
      </c>
      <c r="K54" s="0" t="n">
        <v>0</v>
      </c>
      <c r="L54" s="0" t="n">
        <v>3.9</v>
      </c>
      <c r="M54" s="0" t="n">
        <v>463534.25</v>
      </c>
      <c r="N54" s="0" t="n">
        <v>81834.54</v>
      </c>
    </row>
    <row r="55" customFormat="false" ht="15" hidden="false" customHeight="false" outlineLevel="0" collapsed="false">
      <c r="A55" s="0" t="s">
        <v>39</v>
      </c>
      <c r="B55" s="0" t="s">
        <v>18</v>
      </c>
      <c r="C55" s="0" t="s">
        <v>31</v>
      </c>
      <c r="D55" s="0" t="s">
        <v>22</v>
      </c>
      <c r="E55" s="0" t="n">
        <v>99874.01</v>
      </c>
      <c r="F55" s="0" t="n">
        <v>5887</v>
      </c>
      <c r="G55" s="0" t="n">
        <v>0.262</v>
      </c>
      <c r="H55" s="0" t="n">
        <v>14</v>
      </c>
      <c r="I55" s="0" t="n">
        <v>88.7</v>
      </c>
      <c r="J55" s="0" t="n">
        <v>6.18</v>
      </c>
      <c r="K55" s="0" t="n">
        <v>0</v>
      </c>
      <c r="L55" s="0" t="n">
        <v>4.7</v>
      </c>
      <c r="M55" s="0" t="n">
        <v>746677.75</v>
      </c>
      <c r="N55" s="0" t="n">
        <v>122437.84</v>
      </c>
    </row>
    <row r="56" customFormat="false" ht="15" hidden="false" customHeight="false" outlineLevel="0" collapsed="false">
      <c r="A56" s="0" t="s">
        <v>39</v>
      </c>
      <c r="B56" s="0" t="s">
        <v>19</v>
      </c>
      <c r="C56" s="0" t="s">
        <v>31</v>
      </c>
      <c r="D56" s="0" t="s">
        <v>22</v>
      </c>
      <c r="E56" s="0" t="n">
        <v>81195.5</v>
      </c>
      <c r="F56" s="0" t="n">
        <v>5516</v>
      </c>
      <c r="G56" s="0" t="n">
        <v>0.106</v>
      </c>
      <c r="H56" s="0" t="n">
        <v>14</v>
      </c>
      <c r="I56" s="0" t="n">
        <v>88</v>
      </c>
      <c r="J56" s="0" t="n">
        <v>1.76</v>
      </c>
      <c r="K56" s="0" t="n">
        <v>0</v>
      </c>
      <c r="L56" s="0" t="n">
        <v>4.3</v>
      </c>
      <c r="M56" s="0" t="n">
        <v>720852.5</v>
      </c>
      <c r="N56" s="0" t="n">
        <v>98565.62</v>
      </c>
    </row>
    <row r="57" customFormat="false" ht="15" hidden="false" customHeight="false" outlineLevel="0" collapsed="false">
      <c r="A57" s="0" t="s">
        <v>39</v>
      </c>
      <c r="B57" s="0" t="s">
        <v>20</v>
      </c>
      <c r="C57" s="0" t="s">
        <v>31</v>
      </c>
      <c r="D57" s="0" t="s">
        <v>22</v>
      </c>
      <c r="E57" s="0" t="n">
        <v>27808.6</v>
      </c>
      <c r="F57" s="0" t="n">
        <v>2863</v>
      </c>
      <c r="G57" s="0" t="n">
        <v>0.08</v>
      </c>
      <c r="H57" s="0" t="n">
        <v>13</v>
      </c>
      <c r="I57" s="0" t="n">
        <v>89.3</v>
      </c>
      <c r="J57" s="0" t="n">
        <v>0.47</v>
      </c>
      <c r="K57" s="0" t="n">
        <v>0</v>
      </c>
      <c r="L57" s="0" t="n">
        <v>4.1</v>
      </c>
      <c r="M57" s="0" t="n">
        <v>487464.91</v>
      </c>
      <c r="N57" s="0" t="n">
        <v>64562.26</v>
      </c>
    </row>
    <row r="58" customFormat="false" ht="15" hidden="false" customHeight="false" outlineLevel="0" collapsed="false">
      <c r="A58" s="0" t="s">
        <v>40</v>
      </c>
      <c r="B58" s="0" t="s">
        <v>15</v>
      </c>
      <c r="C58" s="0" t="s">
        <v>16</v>
      </c>
      <c r="D58" s="0" t="s">
        <v>25</v>
      </c>
      <c r="E58" s="0" t="n">
        <v>19365.06</v>
      </c>
      <c r="F58" s="0" t="n">
        <v>2378</v>
      </c>
      <c r="G58" s="0" t="n">
        <v>0</v>
      </c>
      <c r="H58" s="0" t="n">
        <v>12</v>
      </c>
      <c r="I58" s="0" t="n">
        <v>94.8</v>
      </c>
      <c r="J58" s="0" t="n">
        <v>0.2</v>
      </c>
      <c r="K58" s="0" t="n">
        <v>0</v>
      </c>
      <c r="L58" s="0" t="n">
        <v>3.5</v>
      </c>
      <c r="M58" s="0" t="n">
        <v>518049.26</v>
      </c>
      <c r="N58" s="0" t="n">
        <v>108592.49</v>
      </c>
    </row>
    <row r="59" customFormat="false" ht="15" hidden="false" customHeight="false" outlineLevel="0" collapsed="false">
      <c r="A59" s="0" t="s">
        <v>40</v>
      </c>
      <c r="B59" s="0" t="s">
        <v>18</v>
      </c>
      <c r="C59" s="0" t="s">
        <v>16</v>
      </c>
      <c r="D59" s="0" t="s">
        <v>25</v>
      </c>
      <c r="E59" s="0" t="n">
        <v>59405.68</v>
      </c>
      <c r="F59" s="0" t="n">
        <v>2515</v>
      </c>
      <c r="G59" s="0" t="n">
        <v>0.039</v>
      </c>
      <c r="H59" s="0" t="n">
        <v>12</v>
      </c>
      <c r="I59" s="0" t="n">
        <v>76</v>
      </c>
      <c r="J59" s="0" t="n">
        <v>5.11</v>
      </c>
      <c r="K59" s="0" t="n">
        <v>0</v>
      </c>
      <c r="L59" s="0" t="n">
        <v>3.7</v>
      </c>
      <c r="M59" s="0" t="n">
        <v>500298.48</v>
      </c>
      <c r="N59" s="0" t="n">
        <v>73461.32</v>
      </c>
    </row>
    <row r="60" customFormat="false" ht="15" hidden="false" customHeight="false" outlineLevel="0" collapsed="false">
      <c r="A60" s="0" t="s">
        <v>40</v>
      </c>
      <c r="B60" s="0" t="s">
        <v>19</v>
      </c>
      <c r="C60" s="0" t="s">
        <v>16</v>
      </c>
      <c r="D60" s="0" t="s">
        <v>25</v>
      </c>
      <c r="E60" s="0" t="n">
        <v>118910.48</v>
      </c>
      <c r="F60" s="0" t="n">
        <v>4022</v>
      </c>
      <c r="G60" s="0" t="n">
        <v>0.137</v>
      </c>
      <c r="H60" s="0" t="n">
        <v>11</v>
      </c>
      <c r="I60" s="0" t="n">
        <v>87.1</v>
      </c>
      <c r="J60" s="0" t="n">
        <v>0.2</v>
      </c>
      <c r="K60" s="0" t="n">
        <v>0</v>
      </c>
      <c r="L60" s="0" t="n">
        <v>3.1</v>
      </c>
      <c r="M60" s="0" t="n">
        <v>617291.15</v>
      </c>
      <c r="N60" s="0" t="n">
        <v>117782</v>
      </c>
    </row>
    <row r="61" customFormat="false" ht="15" hidden="false" customHeight="false" outlineLevel="0" collapsed="false">
      <c r="A61" s="0" t="s">
        <v>40</v>
      </c>
      <c r="B61" s="0" t="s">
        <v>20</v>
      </c>
      <c r="C61" s="0" t="s">
        <v>16</v>
      </c>
      <c r="D61" s="0" t="s">
        <v>25</v>
      </c>
      <c r="E61" s="0" t="n">
        <v>52952.12</v>
      </c>
      <c r="F61" s="0" t="n">
        <v>4377</v>
      </c>
      <c r="G61" s="0" t="n">
        <v>0.092</v>
      </c>
      <c r="H61" s="0" t="n">
        <v>14</v>
      </c>
      <c r="I61" s="0" t="n">
        <v>88.6</v>
      </c>
      <c r="J61" s="0" t="n">
        <v>13.59</v>
      </c>
      <c r="K61" s="0" t="n">
        <v>0</v>
      </c>
      <c r="L61" s="0" t="n">
        <v>3.1</v>
      </c>
      <c r="M61" s="0" t="n">
        <v>553756.43</v>
      </c>
      <c r="N61" s="0" t="n">
        <v>86166.77</v>
      </c>
    </row>
    <row r="62" customFormat="false" ht="15" hidden="false" customHeight="false" outlineLevel="0" collapsed="false">
      <c r="A62" s="0" t="s">
        <v>41</v>
      </c>
      <c r="B62" s="0" t="s">
        <v>15</v>
      </c>
      <c r="C62" s="0" t="s">
        <v>28</v>
      </c>
      <c r="D62" s="0" t="s">
        <v>22</v>
      </c>
      <c r="E62" s="0" t="n">
        <v>74907.98</v>
      </c>
      <c r="F62" s="0" t="n">
        <v>5306</v>
      </c>
      <c r="G62" s="0" t="n">
        <v>0.062</v>
      </c>
      <c r="H62" s="0" t="n">
        <v>16</v>
      </c>
      <c r="I62" s="0" t="n">
        <v>95.6</v>
      </c>
      <c r="J62" s="0" t="n">
        <v>1.02</v>
      </c>
      <c r="K62" s="0" t="n">
        <v>0</v>
      </c>
      <c r="L62" s="0" t="n">
        <v>3.7</v>
      </c>
      <c r="M62" s="0" t="n">
        <v>749559.71</v>
      </c>
      <c r="N62" s="0" t="n">
        <v>144522.53</v>
      </c>
    </row>
    <row r="63" customFormat="false" ht="15" hidden="false" customHeight="false" outlineLevel="0" collapsed="false">
      <c r="A63" s="0" t="s">
        <v>41</v>
      </c>
      <c r="B63" s="0" t="s">
        <v>18</v>
      </c>
      <c r="C63" s="0" t="s">
        <v>28</v>
      </c>
      <c r="D63" s="0" t="s">
        <v>22</v>
      </c>
      <c r="E63" s="0" t="n">
        <v>37284.66</v>
      </c>
      <c r="F63" s="0" t="n">
        <v>3928</v>
      </c>
      <c r="G63" s="0" t="n">
        <v>0.074</v>
      </c>
      <c r="H63" s="0" t="n">
        <v>12</v>
      </c>
      <c r="I63" s="0" t="n">
        <v>86.5</v>
      </c>
      <c r="J63" s="0" t="n">
        <v>1.64</v>
      </c>
      <c r="K63" s="0" t="n">
        <v>0</v>
      </c>
      <c r="L63" s="0" t="n">
        <v>3.8</v>
      </c>
      <c r="M63" s="0" t="n">
        <v>615966.48</v>
      </c>
      <c r="N63" s="0" t="n">
        <v>91509.38</v>
      </c>
    </row>
    <row r="64" customFormat="false" ht="15" hidden="false" customHeight="false" outlineLevel="0" collapsed="false">
      <c r="A64" s="0" t="s">
        <v>41</v>
      </c>
      <c r="B64" s="0" t="s">
        <v>19</v>
      </c>
      <c r="C64" s="0" t="s">
        <v>28</v>
      </c>
      <c r="D64" s="0" t="s">
        <v>22</v>
      </c>
      <c r="E64" s="0" t="n">
        <v>50343.19</v>
      </c>
      <c r="F64" s="0" t="n">
        <v>3845</v>
      </c>
      <c r="G64" s="0" t="n">
        <v>0.113</v>
      </c>
      <c r="H64" s="0" t="n">
        <v>9</v>
      </c>
      <c r="I64" s="0" t="n">
        <v>88.7</v>
      </c>
      <c r="J64" s="0" t="n">
        <v>5.15</v>
      </c>
      <c r="K64" s="0" t="n">
        <v>0</v>
      </c>
      <c r="L64" s="0" t="n">
        <v>3.3</v>
      </c>
      <c r="M64" s="0" t="n">
        <v>572011.2</v>
      </c>
      <c r="N64" s="0" t="n">
        <v>101409.68</v>
      </c>
    </row>
    <row r="65" customFormat="false" ht="15" hidden="false" customHeight="false" outlineLevel="0" collapsed="false">
      <c r="A65" s="0" t="s">
        <v>41</v>
      </c>
      <c r="B65" s="0" t="s">
        <v>20</v>
      </c>
      <c r="C65" s="0" t="s">
        <v>28</v>
      </c>
      <c r="D65" s="0" t="s">
        <v>22</v>
      </c>
      <c r="E65" s="0" t="n">
        <v>74954.47</v>
      </c>
      <c r="F65" s="0" t="n">
        <v>6620</v>
      </c>
      <c r="G65" s="0" t="n">
        <v>0.054</v>
      </c>
      <c r="H65" s="0" t="n">
        <v>17</v>
      </c>
      <c r="I65" s="0" t="n">
        <v>91.1</v>
      </c>
      <c r="J65" s="0" t="n">
        <v>1.11</v>
      </c>
      <c r="K65" s="0" t="n">
        <v>0</v>
      </c>
      <c r="L65" s="0" t="n">
        <v>3.5</v>
      </c>
      <c r="M65" s="0" t="n">
        <v>761860.19</v>
      </c>
      <c r="N65" s="0" t="n">
        <v>133279.38</v>
      </c>
    </row>
    <row r="66" customFormat="false" ht="15" hidden="false" customHeight="false" outlineLevel="0" collapsed="false">
      <c r="A66" s="0" t="s">
        <v>42</v>
      </c>
      <c r="B66" s="0" t="s">
        <v>15</v>
      </c>
      <c r="C66" s="0" t="s">
        <v>31</v>
      </c>
      <c r="D66" s="0" t="s">
        <v>22</v>
      </c>
      <c r="E66" s="0" t="n">
        <v>70040.31</v>
      </c>
      <c r="F66" s="0" t="n">
        <v>9175</v>
      </c>
      <c r="G66" s="0" t="n">
        <v>0.107</v>
      </c>
      <c r="H66" s="0" t="n">
        <v>23</v>
      </c>
      <c r="I66" s="0" t="n">
        <v>95.1</v>
      </c>
      <c r="J66" s="0" t="n">
        <v>6.08</v>
      </c>
      <c r="K66" s="0" t="n">
        <v>1</v>
      </c>
      <c r="L66" s="0" t="n">
        <v>3.4</v>
      </c>
      <c r="M66" s="0" t="n">
        <v>784502.68</v>
      </c>
      <c r="N66" s="0" t="n">
        <v>129519.72</v>
      </c>
    </row>
    <row r="67" customFormat="false" ht="15" hidden="false" customHeight="false" outlineLevel="0" collapsed="false">
      <c r="A67" s="0" t="s">
        <v>42</v>
      </c>
      <c r="B67" s="0" t="s">
        <v>18</v>
      </c>
      <c r="C67" s="0" t="s">
        <v>31</v>
      </c>
      <c r="D67" s="0" t="s">
        <v>22</v>
      </c>
      <c r="E67" s="0" t="n">
        <v>51148.69</v>
      </c>
      <c r="F67" s="0" t="n">
        <v>7940</v>
      </c>
      <c r="G67" s="0" t="n">
        <v>0.156</v>
      </c>
      <c r="H67" s="0" t="n">
        <v>18</v>
      </c>
      <c r="I67" s="0" t="n">
        <v>93.3</v>
      </c>
      <c r="J67" s="0" t="n">
        <v>10.91</v>
      </c>
      <c r="K67" s="0" t="n">
        <v>0</v>
      </c>
      <c r="L67" s="0" t="n">
        <v>3.6</v>
      </c>
      <c r="M67" s="0" t="n">
        <v>717141.55</v>
      </c>
      <c r="N67" s="0" t="n">
        <v>134013.61</v>
      </c>
    </row>
    <row r="68" customFormat="false" ht="15" hidden="false" customHeight="false" outlineLevel="0" collapsed="false">
      <c r="A68" s="0" t="s">
        <v>42</v>
      </c>
      <c r="B68" s="0" t="s">
        <v>19</v>
      </c>
      <c r="C68" s="0" t="s">
        <v>31</v>
      </c>
      <c r="D68" s="0" t="s">
        <v>22</v>
      </c>
      <c r="E68" s="0" t="n">
        <v>79346.1</v>
      </c>
      <c r="F68" s="0" t="n">
        <v>9628</v>
      </c>
      <c r="G68" s="0" t="n">
        <v>0.102</v>
      </c>
      <c r="H68" s="0" t="n">
        <v>20</v>
      </c>
      <c r="I68" s="0" t="n">
        <v>99</v>
      </c>
      <c r="J68" s="0" t="n">
        <v>19.01</v>
      </c>
      <c r="K68" s="0" t="n">
        <v>1</v>
      </c>
      <c r="L68" s="0" t="n">
        <v>3.2</v>
      </c>
      <c r="M68" s="0" t="n">
        <v>685379.08</v>
      </c>
      <c r="N68" s="0" t="n">
        <v>106898.82</v>
      </c>
    </row>
    <row r="69" customFormat="false" ht="15" hidden="false" customHeight="false" outlineLevel="0" collapsed="false">
      <c r="A69" s="0" t="s">
        <v>42</v>
      </c>
      <c r="B69" s="0" t="s">
        <v>20</v>
      </c>
      <c r="C69" s="0" t="s">
        <v>31</v>
      </c>
      <c r="D69" s="0" t="s">
        <v>22</v>
      </c>
      <c r="E69" s="0" t="n">
        <v>42018.4</v>
      </c>
      <c r="F69" s="0" t="n">
        <v>8296</v>
      </c>
      <c r="G69" s="0" t="n">
        <v>0.115</v>
      </c>
      <c r="H69" s="0" t="n">
        <v>17</v>
      </c>
      <c r="I69" s="0" t="n">
        <v>91.8</v>
      </c>
      <c r="J69" s="0" t="n">
        <v>0.77</v>
      </c>
      <c r="K69" s="0" t="n">
        <v>0</v>
      </c>
      <c r="L69" s="0" t="n">
        <v>3.4</v>
      </c>
      <c r="M69" s="0" t="n">
        <v>740496.65</v>
      </c>
      <c r="N69" s="0" t="n">
        <v>128020.9</v>
      </c>
    </row>
    <row r="70" customFormat="false" ht="15" hidden="false" customHeight="false" outlineLevel="0" collapsed="false">
      <c r="A70" s="0" t="s">
        <v>43</v>
      </c>
      <c r="B70" s="0" t="s">
        <v>15</v>
      </c>
      <c r="C70" s="0" t="s">
        <v>16</v>
      </c>
      <c r="D70" s="0" t="s">
        <v>22</v>
      </c>
      <c r="E70" s="0" t="n">
        <v>70937.24</v>
      </c>
      <c r="F70" s="0" t="n">
        <v>3595</v>
      </c>
      <c r="G70" s="0" t="n">
        <v>0.141</v>
      </c>
      <c r="H70" s="0" t="n">
        <v>11</v>
      </c>
      <c r="I70" s="0" t="n">
        <v>88.9</v>
      </c>
      <c r="J70" s="0" t="n">
        <v>2.83</v>
      </c>
      <c r="K70" s="0" t="n">
        <v>1</v>
      </c>
      <c r="L70" s="0" t="n">
        <v>3.3</v>
      </c>
      <c r="M70" s="0" t="n">
        <v>661927.14</v>
      </c>
      <c r="N70" s="0" t="n">
        <v>79218.57</v>
      </c>
    </row>
    <row r="71" customFormat="false" ht="15" hidden="false" customHeight="false" outlineLevel="0" collapsed="false">
      <c r="A71" s="0" t="s">
        <v>43</v>
      </c>
      <c r="B71" s="0" t="s">
        <v>18</v>
      </c>
      <c r="C71" s="0" t="s">
        <v>16</v>
      </c>
      <c r="D71" s="0" t="s">
        <v>22</v>
      </c>
      <c r="E71" s="0" t="n">
        <v>36813.45</v>
      </c>
      <c r="F71" s="0" t="n">
        <v>2834</v>
      </c>
      <c r="G71" s="0" t="n">
        <v>0.191</v>
      </c>
      <c r="H71" s="0" t="n">
        <v>11</v>
      </c>
      <c r="I71" s="0" t="n">
        <v>81.8</v>
      </c>
      <c r="J71" s="0" t="n">
        <v>2.33</v>
      </c>
      <c r="K71" s="0" t="n">
        <v>0</v>
      </c>
      <c r="L71" s="0" t="n">
        <v>3.3</v>
      </c>
      <c r="M71" s="0" t="n">
        <v>479050.5</v>
      </c>
      <c r="N71" s="0" t="n">
        <v>53651.11</v>
      </c>
    </row>
    <row r="72" customFormat="false" ht="15" hidden="false" customHeight="false" outlineLevel="0" collapsed="false">
      <c r="A72" s="0" t="s">
        <v>43</v>
      </c>
      <c r="B72" s="0" t="s">
        <v>19</v>
      </c>
      <c r="C72" s="0" t="s">
        <v>16</v>
      </c>
      <c r="D72" s="0" t="s">
        <v>22</v>
      </c>
      <c r="E72" s="0" t="n">
        <v>60571.82</v>
      </c>
      <c r="F72" s="0" t="n">
        <v>3193</v>
      </c>
      <c r="G72" s="0" t="n">
        <v>0.197</v>
      </c>
      <c r="H72" s="0" t="n">
        <v>7</v>
      </c>
      <c r="I72" s="0" t="n">
        <v>99</v>
      </c>
      <c r="J72" s="0" t="n">
        <v>1.43</v>
      </c>
      <c r="K72" s="0" t="n">
        <v>0</v>
      </c>
      <c r="L72" s="0" t="n">
        <v>3.2</v>
      </c>
      <c r="M72" s="0" t="n">
        <v>605023.87</v>
      </c>
      <c r="N72" s="0" t="n">
        <v>98545.81</v>
      </c>
    </row>
    <row r="73" customFormat="false" ht="15" hidden="false" customHeight="false" outlineLevel="0" collapsed="false">
      <c r="A73" s="0" t="s">
        <v>43</v>
      </c>
      <c r="B73" s="0" t="s">
        <v>20</v>
      </c>
      <c r="C73" s="0" t="s">
        <v>16</v>
      </c>
      <c r="D73" s="0" t="s">
        <v>22</v>
      </c>
      <c r="E73" s="0" t="n">
        <v>55081.16</v>
      </c>
      <c r="F73" s="0" t="n">
        <v>5485</v>
      </c>
      <c r="G73" s="0" t="n">
        <v>0.036</v>
      </c>
      <c r="H73" s="0" t="n">
        <v>12</v>
      </c>
      <c r="I73" s="0" t="n">
        <v>88</v>
      </c>
      <c r="K73" s="0" t="n">
        <v>0</v>
      </c>
      <c r="L73" s="0" t="n">
        <v>3.5</v>
      </c>
      <c r="M73" s="0" t="n">
        <v>674774.09</v>
      </c>
      <c r="N73" s="0" t="n">
        <v>141917.59</v>
      </c>
    </row>
    <row r="74" customFormat="false" ht="15" hidden="false" customHeight="false" outlineLevel="0" collapsed="false">
      <c r="A74" s="0" t="s">
        <v>44</v>
      </c>
      <c r="B74" s="0" t="s">
        <v>15</v>
      </c>
      <c r="C74" s="0" t="s">
        <v>16</v>
      </c>
      <c r="D74" s="0" t="s">
        <v>17</v>
      </c>
      <c r="E74" s="0" t="n">
        <v>46201.46</v>
      </c>
      <c r="F74" s="0" t="n">
        <v>5918</v>
      </c>
      <c r="G74" s="0" t="n">
        <v>0.277</v>
      </c>
      <c r="H74" s="0" t="n">
        <v>13</v>
      </c>
      <c r="I74" s="0" t="n">
        <v>78.8</v>
      </c>
      <c r="J74" s="0" t="n">
        <v>4.91</v>
      </c>
      <c r="K74" s="0" t="n">
        <v>0</v>
      </c>
      <c r="L74" s="0" t="n">
        <v>4.5</v>
      </c>
      <c r="M74" s="0" t="n">
        <v>616069.41</v>
      </c>
      <c r="N74" s="0" t="n">
        <v>54453.99</v>
      </c>
    </row>
    <row r="75" customFormat="false" ht="15" hidden="false" customHeight="false" outlineLevel="0" collapsed="false">
      <c r="A75" s="0" t="s">
        <v>44</v>
      </c>
      <c r="B75" s="0" t="s">
        <v>18</v>
      </c>
      <c r="C75" s="0" t="s">
        <v>16</v>
      </c>
      <c r="D75" s="0" t="s">
        <v>17</v>
      </c>
      <c r="E75" s="0" t="n">
        <v>53762.92</v>
      </c>
      <c r="F75" s="0" t="n">
        <v>6821</v>
      </c>
      <c r="G75" s="0" t="n">
        <v>0.066</v>
      </c>
      <c r="H75" s="0" t="n">
        <v>19</v>
      </c>
      <c r="I75" s="0" t="n">
        <v>94.6</v>
      </c>
      <c r="J75" s="0" t="n">
        <v>7.03</v>
      </c>
      <c r="K75" s="0" t="n">
        <v>0</v>
      </c>
      <c r="L75" s="0" t="n">
        <v>4.4</v>
      </c>
      <c r="M75" s="0" t="n">
        <v>630829.94</v>
      </c>
      <c r="N75" s="0" t="n">
        <v>117090.02</v>
      </c>
    </row>
    <row r="76" customFormat="false" ht="15" hidden="false" customHeight="false" outlineLevel="0" collapsed="false">
      <c r="A76" s="0" t="s">
        <v>44</v>
      </c>
      <c r="B76" s="0" t="s">
        <v>19</v>
      </c>
      <c r="C76" s="0" t="s">
        <v>16</v>
      </c>
      <c r="D76" s="0" t="s">
        <v>17</v>
      </c>
      <c r="E76" s="0" t="n">
        <v>70144.78</v>
      </c>
      <c r="F76" s="0" t="n">
        <v>6806</v>
      </c>
      <c r="G76" s="0" t="n">
        <v>0.178</v>
      </c>
      <c r="H76" s="0" t="n">
        <v>20</v>
      </c>
      <c r="I76" s="0" t="n">
        <v>93.1</v>
      </c>
      <c r="J76" s="0" t="n">
        <v>0.28</v>
      </c>
      <c r="K76" s="0" t="n">
        <v>1</v>
      </c>
      <c r="L76" s="0" t="n">
        <v>4.3</v>
      </c>
      <c r="M76" s="0" t="n">
        <v>788087.68</v>
      </c>
      <c r="N76" s="0" t="n">
        <v>116803.42</v>
      </c>
    </row>
    <row r="77" customFormat="false" ht="15" hidden="false" customHeight="false" outlineLevel="0" collapsed="false">
      <c r="A77" s="0" t="s">
        <v>44</v>
      </c>
      <c r="B77" s="0" t="s">
        <v>20</v>
      </c>
      <c r="C77" s="0" t="s">
        <v>16</v>
      </c>
      <c r="D77" s="0" t="s">
        <v>17</v>
      </c>
      <c r="E77" s="0" t="n">
        <v>58749.63</v>
      </c>
      <c r="F77" s="0" t="n">
        <v>8252</v>
      </c>
      <c r="G77" s="0" t="n">
        <v>0.203</v>
      </c>
      <c r="H77" s="0" t="n">
        <v>20</v>
      </c>
      <c r="I77" s="0" t="n">
        <v>85.2</v>
      </c>
      <c r="J77" s="0" t="n">
        <v>3.61</v>
      </c>
      <c r="K77" s="0" t="n">
        <v>0</v>
      </c>
      <c r="L77" s="0" t="n">
        <v>4.5</v>
      </c>
      <c r="M77" s="0" t="n">
        <v>680840.36</v>
      </c>
      <c r="N77" s="0" t="n">
        <v>68007.68</v>
      </c>
    </row>
    <row r="78" customFormat="false" ht="15" hidden="false" customHeight="false" outlineLevel="0" collapsed="false">
      <c r="A78" s="0" t="s">
        <v>45</v>
      </c>
      <c r="B78" s="0" t="s">
        <v>15</v>
      </c>
      <c r="C78" s="0" t="s">
        <v>28</v>
      </c>
      <c r="D78" s="0" t="s">
        <v>22</v>
      </c>
      <c r="E78" s="0" t="n">
        <v>56973.18</v>
      </c>
      <c r="F78" s="0" t="n">
        <v>6662</v>
      </c>
      <c r="G78" s="0" t="n">
        <v>0.1</v>
      </c>
      <c r="H78" s="0" t="n">
        <v>15</v>
      </c>
      <c r="I78" s="0" t="n">
        <v>77.7</v>
      </c>
      <c r="J78" s="0" t="n">
        <v>7.52</v>
      </c>
      <c r="K78" s="0" t="n">
        <v>1</v>
      </c>
      <c r="L78" s="0" t="n">
        <v>3.2</v>
      </c>
      <c r="M78" s="0" t="n">
        <v>643657.47</v>
      </c>
      <c r="N78" s="0" t="n">
        <v>87022.45</v>
      </c>
    </row>
    <row r="79" customFormat="false" ht="15" hidden="false" customHeight="false" outlineLevel="0" collapsed="false">
      <c r="A79" s="0" t="s">
        <v>45</v>
      </c>
      <c r="B79" s="0" t="s">
        <v>18</v>
      </c>
      <c r="C79" s="0" t="s">
        <v>28</v>
      </c>
      <c r="D79" s="0" t="s">
        <v>22</v>
      </c>
      <c r="E79" s="0" t="n">
        <v>54872.82</v>
      </c>
      <c r="F79" s="0" t="n">
        <v>5962</v>
      </c>
      <c r="G79" s="0" t="n">
        <v>0.064</v>
      </c>
      <c r="H79" s="0" t="n">
        <v>12</v>
      </c>
      <c r="I79" s="0" t="n">
        <v>85.4</v>
      </c>
      <c r="J79" s="0" t="n">
        <v>2.58</v>
      </c>
      <c r="K79" s="0" t="n">
        <v>0</v>
      </c>
      <c r="L79" s="0" t="n">
        <v>2.9</v>
      </c>
      <c r="M79" s="0" t="n">
        <v>691112.6</v>
      </c>
      <c r="N79" s="0" t="n">
        <v>109212.83</v>
      </c>
    </row>
    <row r="80" customFormat="false" ht="15" hidden="false" customHeight="false" outlineLevel="0" collapsed="false">
      <c r="A80" s="0" t="s">
        <v>45</v>
      </c>
      <c r="B80" s="0" t="s">
        <v>19</v>
      </c>
      <c r="C80" s="0" t="s">
        <v>28</v>
      </c>
      <c r="D80" s="0" t="s">
        <v>22</v>
      </c>
      <c r="E80" s="0" t="n">
        <v>80562.81</v>
      </c>
      <c r="F80" s="0" t="n">
        <v>7470</v>
      </c>
      <c r="G80" s="0" t="n">
        <v>0.172</v>
      </c>
      <c r="H80" s="0" t="n">
        <v>16</v>
      </c>
      <c r="I80" s="0" t="n">
        <v>83.5</v>
      </c>
      <c r="J80" s="0" t="n">
        <v>2.29</v>
      </c>
      <c r="K80" s="0" t="n">
        <v>0</v>
      </c>
      <c r="L80" s="0" t="n">
        <v>3.3</v>
      </c>
      <c r="M80" s="0" t="n">
        <v>776922.17</v>
      </c>
      <c r="N80" s="0" t="n">
        <v>150701.93</v>
      </c>
    </row>
    <row r="81" customFormat="false" ht="15" hidden="false" customHeight="false" outlineLevel="0" collapsed="false">
      <c r="A81" s="0" t="s">
        <v>45</v>
      </c>
      <c r="B81" s="0" t="s">
        <v>20</v>
      </c>
      <c r="C81" s="0" t="s">
        <v>28</v>
      </c>
      <c r="D81" s="0" t="s">
        <v>22</v>
      </c>
      <c r="E81" s="0" t="n">
        <v>77999.9</v>
      </c>
      <c r="F81" s="0" t="n">
        <v>5974</v>
      </c>
      <c r="G81" s="0" t="n">
        <v>0.252</v>
      </c>
      <c r="H81" s="0" t="n">
        <v>14</v>
      </c>
      <c r="I81" s="0" t="n">
        <v>81.3</v>
      </c>
      <c r="J81" s="0" t="n">
        <v>2.39</v>
      </c>
      <c r="K81" s="0" t="n">
        <v>0</v>
      </c>
      <c r="L81" s="0" t="n">
        <v>3.2</v>
      </c>
      <c r="M81" s="0" t="n">
        <v>636561.34</v>
      </c>
      <c r="N81" s="0" t="n">
        <v>93861.06</v>
      </c>
    </row>
    <row r="82" customFormat="false" ht="15" hidden="false" customHeight="false" outlineLevel="0" collapsed="false">
      <c r="A82" s="0" t="s">
        <v>46</v>
      </c>
      <c r="B82" s="0" t="s">
        <v>15</v>
      </c>
      <c r="C82" s="0" t="s">
        <v>31</v>
      </c>
      <c r="D82" s="0" t="s">
        <v>32</v>
      </c>
      <c r="E82" s="0" t="n">
        <v>60881.01</v>
      </c>
      <c r="F82" s="0" t="n">
        <v>5410</v>
      </c>
      <c r="G82" s="0" t="n">
        <v>0.179</v>
      </c>
      <c r="H82" s="0" t="n">
        <v>15</v>
      </c>
      <c r="I82" s="0" t="n">
        <v>83.9</v>
      </c>
      <c r="J82" s="0" t="n">
        <v>5.24</v>
      </c>
      <c r="K82" s="0" t="n">
        <v>0</v>
      </c>
      <c r="L82" s="0" t="n">
        <v>4.6</v>
      </c>
      <c r="M82" s="0" t="n">
        <v>621369.58</v>
      </c>
      <c r="N82" s="0" t="n">
        <v>85493.64</v>
      </c>
    </row>
    <row r="83" customFormat="false" ht="15" hidden="false" customHeight="false" outlineLevel="0" collapsed="false">
      <c r="A83" s="0" t="s">
        <v>46</v>
      </c>
      <c r="B83" s="0" t="s">
        <v>18</v>
      </c>
      <c r="C83" s="0" t="s">
        <v>31</v>
      </c>
      <c r="D83" s="0" t="s">
        <v>32</v>
      </c>
      <c r="E83" s="0" t="n">
        <v>60628.38</v>
      </c>
      <c r="F83" s="0" t="n">
        <v>4451</v>
      </c>
      <c r="G83" s="0" t="n">
        <v>0.095</v>
      </c>
      <c r="H83" s="0" t="n">
        <v>10</v>
      </c>
      <c r="I83" s="0" t="n">
        <v>89.6</v>
      </c>
      <c r="J83" s="0" t="n">
        <v>3.17</v>
      </c>
      <c r="K83" s="0" t="n">
        <v>0</v>
      </c>
      <c r="L83" s="0" t="n">
        <v>4.6</v>
      </c>
      <c r="M83" s="0" t="n">
        <v>682208.01</v>
      </c>
      <c r="N83" s="0" t="n">
        <v>110318.84</v>
      </c>
    </row>
    <row r="84" customFormat="false" ht="15" hidden="false" customHeight="false" outlineLevel="0" collapsed="false">
      <c r="A84" s="0" t="s">
        <v>46</v>
      </c>
      <c r="B84" s="0" t="s">
        <v>19</v>
      </c>
      <c r="C84" s="0" t="s">
        <v>31</v>
      </c>
      <c r="D84" s="0" t="s">
        <v>32</v>
      </c>
      <c r="E84" s="0" t="n">
        <v>72731.14</v>
      </c>
      <c r="F84" s="0" t="n">
        <v>4644</v>
      </c>
      <c r="G84" s="0" t="n">
        <v>0.084</v>
      </c>
      <c r="H84" s="0" t="n">
        <v>15</v>
      </c>
      <c r="I84" s="0" t="n">
        <v>87.1</v>
      </c>
      <c r="J84" s="0" t="n">
        <v>2.66</v>
      </c>
      <c r="K84" s="0" t="n">
        <v>0</v>
      </c>
      <c r="L84" s="0" t="n">
        <v>4.6</v>
      </c>
      <c r="M84" s="0" t="n">
        <v>727241.86</v>
      </c>
      <c r="N84" s="0" t="n">
        <v>155810.3</v>
      </c>
    </row>
    <row r="85" customFormat="false" ht="15" hidden="false" customHeight="false" outlineLevel="0" collapsed="false">
      <c r="A85" s="0" t="s">
        <v>46</v>
      </c>
      <c r="B85" s="0" t="s">
        <v>20</v>
      </c>
      <c r="C85" s="0" t="s">
        <v>31</v>
      </c>
      <c r="D85" s="0" t="s">
        <v>32</v>
      </c>
      <c r="E85" s="0" t="n">
        <v>36475.71</v>
      </c>
      <c r="F85" s="0" t="n">
        <v>3559</v>
      </c>
      <c r="G85" s="0" t="n">
        <v>0.03</v>
      </c>
      <c r="H85" s="0" t="n">
        <v>8</v>
      </c>
      <c r="I85" s="0" t="n">
        <v>83.6</v>
      </c>
      <c r="J85" s="0" t="n">
        <v>1.41</v>
      </c>
      <c r="K85" s="0" t="n">
        <v>0</v>
      </c>
      <c r="L85" s="0" t="n">
        <v>4.2</v>
      </c>
      <c r="M85" s="0" t="n">
        <v>569100.78</v>
      </c>
      <c r="N85" s="0" t="n">
        <v>104808.78</v>
      </c>
    </row>
    <row r="86" customFormat="false" ht="15" hidden="false" customHeight="false" outlineLevel="0" collapsed="false">
      <c r="A86" s="0" t="s">
        <v>47</v>
      </c>
      <c r="B86" s="0" t="s">
        <v>15</v>
      </c>
      <c r="C86" s="0" t="s">
        <v>31</v>
      </c>
      <c r="D86" s="0" t="s">
        <v>22</v>
      </c>
      <c r="E86" s="0" t="n">
        <v>55388.11</v>
      </c>
      <c r="F86" s="0" t="n">
        <v>3091</v>
      </c>
      <c r="G86" s="0" t="n">
        <v>0.108</v>
      </c>
      <c r="H86" s="0" t="n">
        <v>7</v>
      </c>
      <c r="I86" s="0" t="n">
        <v>85.4</v>
      </c>
      <c r="J86" s="0" t="n">
        <v>7.34</v>
      </c>
      <c r="K86" s="0" t="n">
        <v>0</v>
      </c>
      <c r="L86" s="0" t="n">
        <v>4.9</v>
      </c>
      <c r="M86" s="0" t="n">
        <v>574436.29</v>
      </c>
      <c r="N86" s="0" t="n">
        <v>80271.99</v>
      </c>
    </row>
    <row r="87" customFormat="false" ht="15" hidden="false" customHeight="false" outlineLevel="0" collapsed="false">
      <c r="A87" s="0" t="s">
        <v>47</v>
      </c>
      <c r="B87" s="0" t="s">
        <v>18</v>
      </c>
      <c r="C87" s="0" t="s">
        <v>31</v>
      </c>
      <c r="D87" s="0" t="s">
        <v>22</v>
      </c>
      <c r="E87" s="0" t="n">
        <v>88443.77</v>
      </c>
      <c r="F87" s="0" t="n">
        <v>4004</v>
      </c>
      <c r="G87" s="0" t="n">
        <v>0.206</v>
      </c>
      <c r="H87" s="0" t="n">
        <v>11</v>
      </c>
      <c r="I87" s="0" t="n">
        <v>91.9</v>
      </c>
      <c r="J87" s="0" t="n">
        <v>5.95</v>
      </c>
      <c r="K87" s="0" t="n">
        <v>0</v>
      </c>
      <c r="M87" s="0" t="n">
        <v>611766.72</v>
      </c>
      <c r="N87" s="0" t="n">
        <v>88275.61</v>
      </c>
    </row>
    <row r="88" customFormat="false" ht="15" hidden="false" customHeight="false" outlineLevel="0" collapsed="false">
      <c r="A88" s="0" t="s">
        <v>47</v>
      </c>
      <c r="B88" s="0" t="s">
        <v>19</v>
      </c>
      <c r="C88" s="0" t="s">
        <v>31</v>
      </c>
      <c r="D88" s="0" t="s">
        <v>22</v>
      </c>
      <c r="E88" s="0" t="n">
        <v>78231.91</v>
      </c>
      <c r="F88" s="0" t="n">
        <v>3788</v>
      </c>
      <c r="G88" s="0" t="n">
        <v>0.059</v>
      </c>
      <c r="H88" s="0" t="n">
        <v>11</v>
      </c>
      <c r="I88" s="0" t="n">
        <v>88.5</v>
      </c>
      <c r="J88" s="0" t="n">
        <v>15.51</v>
      </c>
      <c r="K88" s="0" t="n">
        <v>0</v>
      </c>
      <c r="L88" s="0" t="n">
        <v>4.3</v>
      </c>
      <c r="M88" s="0" t="n">
        <v>614596.32</v>
      </c>
      <c r="N88" s="0" t="n">
        <v>131199.41</v>
      </c>
    </row>
    <row r="89" customFormat="false" ht="15" hidden="false" customHeight="false" outlineLevel="0" collapsed="false">
      <c r="A89" s="0" t="s">
        <v>47</v>
      </c>
      <c r="B89" s="0" t="s">
        <v>20</v>
      </c>
      <c r="C89" s="0" t="s">
        <v>31</v>
      </c>
      <c r="D89" s="0" t="s">
        <v>22</v>
      </c>
      <c r="E89" s="0" t="n">
        <v>18996.32</v>
      </c>
      <c r="F89" s="0" t="n">
        <v>1260</v>
      </c>
      <c r="G89" s="0" t="n">
        <v>0.145</v>
      </c>
      <c r="H89" s="0" t="n">
        <v>9</v>
      </c>
      <c r="I89" s="0" t="n">
        <v>86.4</v>
      </c>
      <c r="J89" s="0" t="n">
        <v>4.31</v>
      </c>
      <c r="K89" s="0" t="n">
        <v>0</v>
      </c>
      <c r="L89" s="0" t="n">
        <v>4.6</v>
      </c>
      <c r="M89" s="0" t="n">
        <v>450711.92</v>
      </c>
      <c r="N89" s="0" t="n">
        <v>90043.76</v>
      </c>
    </row>
    <row r="90" customFormat="false" ht="15" hidden="false" customHeight="false" outlineLevel="0" collapsed="false">
      <c r="A90" s="0" t="s">
        <v>48</v>
      </c>
      <c r="B90" s="0" t="s">
        <v>15</v>
      </c>
      <c r="C90" s="0" t="s">
        <v>28</v>
      </c>
      <c r="D90" s="0" t="s">
        <v>32</v>
      </c>
      <c r="E90" s="0" t="n">
        <v>50517.94</v>
      </c>
      <c r="F90" s="0" t="n">
        <v>7024</v>
      </c>
      <c r="G90" s="0" t="n">
        <v>0.029</v>
      </c>
      <c r="H90" s="0" t="n">
        <v>18</v>
      </c>
      <c r="I90" s="0" t="n">
        <v>79.2</v>
      </c>
      <c r="J90" s="0" t="n">
        <v>6.61</v>
      </c>
      <c r="K90" s="0" t="n">
        <v>1</v>
      </c>
      <c r="L90" s="0" t="n">
        <v>4.1</v>
      </c>
      <c r="M90" s="0" t="n">
        <v>711213.46</v>
      </c>
      <c r="N90" s="0" t="n">
        <v>105863.26</v>
      </c>
    </row>
    <row r="91" customFormat="false" ht="15" hidden="false" customHeight="false" outlineLevel="0" collapsed="false">
      <c r="A91" s="0" t="s">
        <v>48</v>
      </c>
      <c r="B91" s="0" t="s">
        <v>18</v>
      </c>
      <c r="C91" s="0" t="s">
        <v>28</v>
      </c>
      <c r="D91" s="0" t="s">
        <v>32</v>
      </c>
      <c r="E91" s="0" t="n">
        <v>141540.29</v>
      </c>
      <c r="F91" s="0" t="n">
        <v>5400</v>
      </c>
      <c r="G91" s="0" t="n">
        <v>0.013</v>
      </c>
      <c r="H91" s="0" t="n">
        <v>12</v>
      </c>
      <c r="I91" s="0" t="n">
        <v>87</v>
      </c>
      <c r="J91" s="0" t="n">
        <v>4.26</v>
      </c>
      <c r="K91" s="0" t="n">
        <v>0</v>
      </c>
      <c r="L91" s="0" t="n">
        <v>4.5</v>
      </c>
      <c r="M91" s="0" t="n">
        <v>627171.9</v>
      </c>
      <c r="N91" s="0" t="n">
        <v>105772.75</v>
      </c>
    </row>
    <row r="92" customFormat="false" ht="15" hidden="false" customHeight="false" outlineLevel="0" collapsed="false">
      <c r="A92" s="0" t="s">
        <v>48</v>
      </c>
      <c r="B92" s="0" t="s">
        <v>19</v>
      </c>
      <c r="C92" s="0" t="s">
        <v>28</v>
      </c>
      <c r="D92" s="0" t="s">
        <v>32</v>
      </c>
      <c r="E92" s="0" t="n">
        <v>82116.19</v>
      </c>
      <c r="F92" s="0" t="n">
        <v>5988</v>
      </c>
      <c r="G92" s="0" t="n">
        <v>0.04</v>
      </c>
      <c r="H92" s="0" t="n">
        <v>17</v>
      </c>
      <c r="I92" s="0" t="n">
        <v>91.8</v>
      </c>
      <c r="J92" s="0" t="n">
        <v>5.75</v>
      </c>
      <c r="K92" s="0" t="n">
        <v>0</v>
      </c>
      <c r="L92" s="0" t="n">
        <v>4.7</v>
      </c>
      <c r="M92" s="0" t="n">
        <v>739852.58</v>
      </c>
      <c r="N92" s="0" t="n">
        <v>129386.43</v>
      </c>
    </row>
    <row r="93" customFormat="false" ht="15" hidden="false" customHeight="false" outlineLevel="0" collapsed="false">
      <c r="A93" s="0" t="s">
        <v>48</v>
      </c>
      <c r="B93" s="0" t="s">
        <v>20</v>
      </c>
      <c r="C93" s="0" t="s">
        <v>28</v>
      </c>
      <c r="D93" s="0" t="s">
        <v>32</v>
      </c>
      <c r="E93" s="0" t="n">
        <v>31207.51</v>
      </c>
      <c r="F93" s="0" t="n">
        <v>3701</v>
      </c>
      <c r="G93" s="0" t="n">
        <v>0.043</v>
      </c>
      <c r="H93" s="0" t="n">
        <v>11</v>
      </c>
      <c r="I93" s="0" t="n">
        <v>84.7</v>
      </c>
      <c r="J93" s="0" t="n">
        <v>0.33</v>
      </c>
      <c r="K93" s="0" t="n">
        <v>0</v>
      </c>
      <c r="L93" s="0" t="n">
        <v>4.3</v>
      </c>
      <c r="M93" s="0" t="n">
        <v>586307.22</v>
      </c>
      <c r="N93" s="0" t="n">
        <v>73927.85</v>
      </c>
    </row>
    <row r="94" customFormat="false" ht="15" hidden="false" customHeight="false" outlineLevel="0" collapsed="false">
      <c r="A94" s="0" t="s">
        <v>49</v>
      </c>
      <c r="B94" s="0" t="s">
        <v>15</v>
      </c>
      <c r="C94" s="0" t="s">
        <v>31</v>
      </c>
      <c r="D94" s="0" t="s">
        <v>17</v>
      </c>
      <c r="E94" s="0" t="n">
        <v>38966.59</v>
      </c>
      <c r="F94" s="0" t="n">
        <v>4509</v>
      </c>
      <c r="G94" s="0" t="n">
        <v>0.194</v>
      </c>
      <c r="H94" s="0" t="n">
        <v>14</v>
      </c>
      <c r="I94" s="0" t="n">
        <v>91.1</v>
      </c>
      <c r="J94" s="0" t="n">
        <v>2.92</v>
      </c>
      <c r="K94" s="0" t="n">
        <v>0</v>
      </c>
      <c r="L94" s="0" t="n">
        <v>4.6</v>
      </c>
      <c r="M94" s="0" t="n">
        <v>585937.48</v>
      </c>
      <c r="N94" s="0" t="n">
        <v>82624.2</v>
      </c>
    </row>
    <row r="95" customFormat="false" ht="15" hidden="false" customHeight="false" outlineLevel="0" collapsed="false">
      <c r="A95" s="0" t="s">
        <v>49</v>
      </c>
      <c r="B95" s="0" t="s">
        <v>18</v>
      </c>
      <c r="C95" s="0" t="s">
        <v>31</v>
      </c>
      <c r="D95" s="0" t="s">
        <v>17</v>
      </c>
      <c r="E95" s="0" t="n">
        <v>67439.3</v>
      </c>
      <c r="F95" s="0" t="n">
        <v>6477</v>
      </c>
      <c r="G95" s="0" t="n">
        <v>0</v>
      </c>
      <c r="H95" s="0" t="n">
        <v>16</v>
      </c>
      <c r="I95" s="0" t="n">
        <v>90.9</v>
      </c>
      <c r="J95" s="0" t="n">
        <v>1.64</v>
      </c>
      <c r="K95" s="0" t="n">
        <v>0</v>
      </c>
      <c r="L95" s="0" t="n">
        <v>4.5</v>
      </c>
      <c r="M95" s="0" t="n">
        <v>753473.55</v>
      </c>
      <c r="N95" s="0" t="n">
        <v>151527.22</v>
      </c>
    </row>
    <row r="96" customFormat="false" ht="15" hidden="false" customHeight="false" outlineLevel="0" collapsed="false">
      <c r="A96" s="0" t="s">
        <v>49</v>
      </c>
      <c r="B96" s="0" t="s">
        <v>19</v>
      </c>
      <c r="C96" s="0" t="s">
        <v>31</v>
      </c>
      <c r="D96" s="0" t="s">
        <v>17</v>
      </c>
      <c r="E96" s="0" t="n">
        <v>86421.88</v>
      </c>
      <c r="F96" s="0" t="n">
        <v>7970</v>
      </c>
      <c r="G96" s="0" t="n">
        <v>0.073</v>
      </c>
      <c r="H96" s="0" t="n">
        <v>17</v>
      </c>
      <c r="I96" s="0" t="n">
        <v>91.3</v>
      </c>
      <c r="J96" s="0" t="n">
        <v>0.8</v>
      </c>
      <c r="K96" s="0" t="n">
        <v>0</v>
      </c>
      <c r="L96" s="0" t="n">
        <v>5</v>
      </c>
      <c r="M96" s="0" t="n">
        <v>838250.32</v>
      </c>
      <c r="N96" s="0" t="n">
        <v>122939.34</v>
      </c>
    </row>
    <row r="97" customFormat="false" ht="15" hidden="false" customHeight="false" outlineLevel="0" collapsed="false">
      <c r="A97" s="0" t="s">
        <v>49</v>
      </c>
      <c r="B97" s="0" t="s">
        <v>20</v>
      </c>
      <c r="C97" s="0" t="s">
        <v>31</v>
      </c>
      <c r="D97" s="0" t="s">
        <v>17</v>
      </c>
      <c r="E97" s="0" t="n">
        <v>9534.65</v>
      </c>
      <c r="F97" s="0" t="n">
        <v>6057</v>
      </c>
      <c r="G97" s="0" t="n">
        <v>0.074</v>
      </c>
      <c r="H97" s="0" t="n">
        <v>15</v>
      </c>
      <c r="I97" s="0" t="n">
        <v>94.1</v>
      </c>
      <c r="J97" s="0" t="n">
        <v>5.79</v>
      </c>
      <c r="K97" s="0" t="n">
        <v>0</v>
      </c>
      <c r="L97" s="0" t="n">
        <v>4.5</v>
      </c>
      <c r="M97" s="0" t="n">
        <v>607898.12</v>
      </c>
      <c r="N97" s="0" t="n">
        <v>135404.85</v>
      </c>
    </row>
    <row r="98" customFormat="false" ht="15" hidden="false" customHeight="false" outlineLevel="0" collapsed="false">
      <c r="A98" s="0" t="s">
        <v>50</v>
      </c>
      <c r="B98" s="0" t="s">
        <v>15</v>
      </c>
      <c r="C98" s="0" t="s">
        <v>31</v>
      </c>
      <c r="D98" s="0" t="s">
        <v>32</v>
      </c>
      <c r="E98" s="0" t="n">
        <v>61132.07</v>
      </c>
      <c r="F98" s="0" t="n">
        <v>6394</v>
      </c>
      <c r="G98" s="0" t="n">
        <v>0.163</v>
      </c>
      <c r="H98" s="0" t="n">
        <v>19</v>
      </c>
      <c r="I98" s="0" t="n">
        <v>91</v>
      </c>
      <c r="J98" s="0" t="n">
        <v>19.6</v>
      </c>
      <c r="K98" s="0" t="n">
        <v>0</v>
      </c>
      <c r="L98" s="0" t="n">
        <v>4.4</v>
      </c>
      <c r="M98" s="0" t="n">
        <v>691113.62</v>
      </c>
      <c r="N98" s="0" t="n">
        <v>135145.44</v>
      </c>
    </row>
    <row r="99" customFormat="false" ht="15" hidden="false" customHeight="false" outlineLevel="0" collapsed="false">
      <c r="A99" s="0" t="s">
        <v>50</v>
      </c>
      <c r="B99" s="0" t="s">
        <v>18</v>
      </c>
      <c r="C99" s="0" t="s">
        <v>31</v>
      </c>
      <c r="D99" s="0" t="s">
        <v>32</v>
      </c>
      <c r="E99" s="0" t="n">
        <v>78839.39</v>
      </c>
      <c r="F99" s="0" t="n">
        <v>5150</v>
      </c>
      <c r="G99" s="0" t="n">
        <v>0.171</v>
      </c>
      <c r="H99" s="0" t="n">
        <v>13</v>
      </c>
      <c r="I99" s="0" t="n">
        <v>85.8</v>
      </c>
      <c r="J99" s="0" t="n">
        <v>7.57</v>
      </c>
      <c r="K99" s="0" t="n">
        <v>0</v>
      </c>
      <c r="L99" s="0" t="n">
        <v>4.3</v>
      </c>
      <c r="M99" s="0" t="n">
        <v>735509.4</v>
      </c>
      <c r="N99" s="0" t="n">
        <v>83895.96</v>
      </c>
    </row>
    <row r="100" customFormat="false" ht="15" hidden="false" customHeight="false" outlineLevel="0" collapsed="false">
      <c r="A100" s="0" t="s">
        <v>50</v>
      </c>
      <c r="B100" s="0" t="s">
        <v>19</v>
      </c>
      <c r="C100" s="0" t="s">
        <v>31</v>
      </c>
      <c r="D100" s="0" t="s">
        <v>32</v>
      </c>
      <c r="E100" s="0" t="n">
        <v>38752.8</v>
      </c>
      <c r="F100" s="0" t="n">
        <v>4712</v>
      </c>
      <c r="G100" s="0" t="n">
        <v>0.075</v>
      </c>
      <c r="H100" s="0" t="n">
        <v>15</v>
      </c>
      <c r="I100" s="0" t="n">
        <v>89.7</v>
      </c>
      <c r="K100" s="0" t="n">
        <v>0</v>
      </c>
      <c r="L100" s="0" t="n">
        <v>4.3</v>
      </c>
      <c r="M100" s="0" t="n">
        <v>605775.33</v>
      </c>
      <c r="N100" s="0" t="n">
        <v>107194.6</v>
      </c>
    </row>
    <row r="101" customFormat="false" ht="15" hidden="false" customHeight="false" outlineLevel="0" collapsed="false">
      <c r="A101" s="0" t="s">
        <v>50</v>
      </c>
      <c r="B101" s="0" t="s">
        <v>20</v>
      </c>
      <c r="C101" s="0" t="s">
        <v>31</v>
      </c>
      <c r="D101" s="0" t="s">
        <v>32</v>
      </c>
      <c r="E101" s="0" t="n">
        <v>55101.1</v>
      </c>
      <c r="F101" s="0" t="n">
        <v>5281</v>
      </c>
      <c r="G101" s="0" t="n">
        <v>0.189</v>
      </c>
      <c r="H101" s="0" t="n">
        <v>11</v>
      </c>
      <c r="I101" s="0" t="n">
        <v>91</v>
      </c>
      <c r="J101" s="0" t="n">
        <v>2.7</v>
      </c>
      <c r="K101" s="0" t="n">
        <v>0</v>
      </c>
      <c r="L101" s="0" t="n">
        <v>4.4</v>
      </c>
      <c r="M101" s="0" t="n">
        <v>675177.68</v>
      </c>
      <c r="N101" s="0" t="n">
        <v>105628.68</v>
      </c>
    </row>
    <row r="102" customFormat="false" ht="15" hidden="false" customHeight="false" outlineLevel="0" collapsed="false">
      <c r="A102" s="0" t="s">
        <v>51</v>
      </c>
      <c r="B102" s="0" t="s">
        <v>15</v>
      </c>
      <c r="C102" s="0" t="s">
        <v>16</v>
      </c>
      <c r="D102" s="0" t="s">
        <v>32</v>
      </c>
      <c r="E102" s="0" t="n">
        <v>53084.76</v>
      </c>
      <c r="F102" s="0" t="n">
        <v>3642</v>
      </c>
      <c r="G102" s="0" t="n">
        <v>0.15</v>
      </c>
      <c r="H102" s="0" t="n">
        <v>12</v>
      </c>
      <c r="I102" s="0" t="n">
        <v>91.4</v>
      </c>
      <c r="J102" s="0" t="n">
        <v>0.2</v>
      </c>
      <c r="K102" s="0" t="n">
        <v>0</v>
      </c>
      <c r="L102" s="0" t="n">
        <v>4.4</v>
      </c>
      <c r="M102" s="0" t="n">
        <v>635181.35</v>
      </c>
      <c r="N102" s="0" t="n">
        <v>83341.25</v>
      </c>
    </row>
    <row r="103" customFormat="false" ht="15" hidden="false" customHeight="false" outlineLevel="0" collapsed="false">
      <c r="A103" s="0" t="s">
        <v>51</v>
      </c>
      <c r="B103" s="0" t="s">
        <v>18</v>
      </c>
      <c r="C103" s="0" t="s">
        <v>16</v>
      </c>
      <c r="D103" s="0" t="s">
        <v>32</v>
      </c>
      <c r="E103" s="0" t="n">
        <v>63101.59</v>
      </c>
      <c r="F103" s="0" t="n">
        <v>4373</v>
      </c>
      <c r="G103" s="0" t="n">
        <v>0.173</v>
      </c>
      <c r="H103" s="0" t="n">
        <v>14</v>
      </c>
      <c r="I103" s="0" t="n">
        <v>90.4</v>
      </c>
      <c r="J103" s="0" t="n">
        <v>7.87</v>
      </c>
      <c r="K103" s="0" t="n">
        <v>0</v>
      </c>
      <c r="L103" s="0" t="n">
        <v>4.7</v>
      </c>
      <c r="M103" s="0" t="n">
        <v>586626.94</v>
      </c>
      <c r="N103" s="0" t="n">
        <v>86498.55</v>
      </c>
    </row>
    <row r="104" customFormat="false" ht="15" hidden="false" customHeight="false" outlineLevel="0" collapsed="false">
      <c r="A104" s="0" t="s">
        <v>51</v>
      </c>
      <c r="B104" s="0" t="s">
        <v>19</v>
      </c>
      <c r="C104" s="0" t="s">
        <v>16</v>
      </c>
      <c r="D104" s="0" t="s">
        <v>32</v>
      </c>
      <c r="E104" s="0" t="n">
        <v>90084.4</v>
      </c>
      <c r="F104" s="0" t="n">
        <v>6832</v>
      </c>
      <c r="G104" s="0" t="n">
        <v>0.185</v>
      </c>
      <c r="H104" s="0" t="n">
        <v>14</v>
      </c>
      <c r="I104" s="0" t="n">
        <v>80.5</v>
      </c>
      <c r="J104" s="0" t="n">
        <v>0.77</v>
      </c>
      <c r="K104" s="0" t="n">
        <v>1</v>
      </c>
      <c r="L104" s="0" t="n">
        <v>4.4</v>
      </c>
      <c r="M104" s="0" t="n">
        <v>740102.64</v>
      </c>
      <c r="N104" s="0" t="n">
        <v>114299.07</v>
      </c>
    </row>
    <row r="105" customFormat="false" ht="15" hidden="false" customHeight="false" outlineLevel="0" collapsed="false">
      <c r="A105" s="0" t="s">
        <v>51</v>
      </c>
      <c r="B105" s="0" t="s">
        <v>20</v>
      </c>
      <c r="C105" s="0" t="s">
        <v>16</v>
      </c>
      <c r="D105" s="0" t="s">
        <v>32</v>
      </c>
      <c r="E105" s="0" t="n">
        <v>32266.64</v>
      </c>
      <c r="F105" s="0" t="n">
        <v>2414</v>
      </c>
      <c r="G105" s="0" t="n">
        <v>0.08</v>
      </c>
      <c r="H105" s="0" t="n">
        <v>7</v>
      </c>
      <c r="I105" s="0" t="n">
        <v>92.1</v>
      </c>
      <c r="J105" s="0" t="n">
        <v>1.48</v>
      </c>
      <c r="K105" s="0" t="n">
        <v>0</v>
      </c>
      <c r="L105" s="0" t="n">
        <v>5</v>
      </c>
      <c r="M105" s="0" t="n">
        <v>625514.04</v>
      </c>
      <c r="N105" s="0" t="n">
        <v>120685.08</v>
      </c>
    </row>
    <row r="106" customFormat="false" ht="15" hidden="false" customHeight="false" outlineLevel="0" collapsed="false">
      <c r="A106" s="0" t="s">
        <v>52</v>
      </c>
      <c r="B106" s="0" t="s">
        <v>15</v>
      </c>
      <c r="C106" s="0" t="s">
        <v>31</v>
      </c>
      <c r="D106" s="0" t="s">
        <v>22</v>
      </c>
      <c r="E106" s="0" t="n">
        <v>57919.07</v>
      </c>
      <c r="F106" s="0" t="n">
        <v>7374</v>
      </c>
      <c r="G106" s="0" t="n">
        <v>0.103</v>
      </c>
      <c r="H106" s="0" t="n">
        <v>21</v>
      </c>
      <c r="I106" s="0" t="n">
        <v>82.3</v>
      </c>
      <c r="J106" s="0" t="n">
        <v>2.87</v>
      </c>
      <c r="K106" s="0" t="n">
        <v>0</v>
      </c>
      <c r="L106" s="0" t="n">
        <v>2.9</v>
      </c>
      <c r="M106" s="0" t="n">
        <v>727227.2</v>
      </c>
      <c r="N106" s="0" t="n">
        <v>121292.01</v>
      </c>
    </row>
    <row r="107" customFormat="false" ht="15" hidden="false" customHeight="false" outlineLevel="0" collapsed="false">
      <c r="A107" s="0" t="s">
        <v>52</v>
      </c>
      <c r="B107" s="0" t="s">
        <v>18</v>
      </c>
      <c r="C107" s="0" t="s">
        <v>31</v>
      </c>
      <c r="D107" s="0" t="s">
        <v>22</v>
      </c>
      <c r="E107" s="0" t="n">
        <v>74679.35</v>
      </c>
      <c r="F107" s="0" t="n">
        <v>8739</v>
      </c>
      <c r="G107" s="0" t="n">
        <v>0.056</v>
      </c>
      <c r="H107" s="0" t="n">
        <v>21</v>
      </c>
      <c r="I107" s="0" t="n">
        <v>91.8</v>
      </c>
      <c r="J107" s="0" t="n">
        <v>2.83</v>
      </c>
      <c r="K107" s="0" t="n">
        <v>0</v>
      </c>
      <c r="L107" s="0" t="n">
        <v>3</v>
      </c>
      <c r="M107" s="0" t="n">
        <v>783797.89</v>
      </c>
      <c r="N107" s="0" t="n">
        <v>157620.7</v>
      </c>
    </row>
    <row r="108" customFormat="false" ht="15" hidden="false" customHeight="false" outlineLevel="0" collapsed="false">
      <c r="A108" s="0" t="s">
        <v>52</v>
      </c>
      <c r="B108" s="0" t="s">
        <v>19</v>
      </c>
      <c r="C108" s="0" t="s">
        <v>31</v>
      </c>
      <c r="D108" s="0" t="s">
        <v>22</v>
      </c>
      <c r="E108" s="0" t="n">
        <v>64294.23</v>
      </c>
      <c r="F108" s="0" t="n">
        <v>6992</v>
      </c>
      <c r="G108" s="0" t="n">
        <v>0.133</v>
      </c>
      <c r="H108" s="0" t="n">
        <v>14</v>
      </c>
      <c r="I108" s="0" t="n">
        <v>94.1</v>
      </c>
      <c r="J108" s="0" t="n">
        <v>0.25</v>
      </c>
      <c r="K108" s="0" t="n">
        <v>0</v>
      </c>
      <c r="L108" s="0" t="n">
        <v>3</v>
      </c>
      <c r="M108" s="0" t="n">
        <v>795153.84</v>
      </c>
      <c r="N108" s="0" t="n">
        <v>143194.21</v>
      </c>
    </row>
    <row r="109" customFormat="false" ht="15" hidden="false" customHeight="false" outlineLevel="0" collapsed="false">
      <c r="A109" s="0" t="s">
        <v>52</v>
      </c>
      <c r="B109" s="0" t="s">
        <v>20</v>
      </c>
      <c r="C109" s="0" t="s">
        <v>31</v>
      </c>
      <c r="D109" s="0" t="s">
        <v>22</v>
      </c>
      <c r="E109" s="0" t="n">
        <v>31042.03</v>
      </c>
      <c r="F109" s="0" t="n">
        <v>7107</v>
      </c>
      <c r="G109" s="0" t="n">
        <v>0.051</v>
      </c>
      <c r="H109" s="0" t="n">
        <v>15</v>
      </c>
      <c r="I109" s="0" t="n">
        <v>87</v>
      </c>
      <c r="J109" s="0" t="n">
        <v>13.33</v>
      </c>
      <c r="K109" s="0" t="n">
        <v>0</v>
      </c>
      <c r="L109" s="0" t="n">
        <v>3.2</v>
      </c>
      <c r="M109" s="0" t="n">
        <v>665594.94</v>
      </c>
      <c r="N109" s="0" t="n">
        <v>127597.34</v>
      </c>
    </row>
    <row r="110" customFormat="false" ht="15" hidden="false" customHeight="false" outlineLevel="0" collapsed="false">
      <c r="A110" s="0" t="s">
        <v>53</v>
      </c>
      <c r="B110" s="0" t="s">
        <v>15</v>
      </c>
      <c r="C110" s="0" t="s">
        <v>16</v>
      </c>
      <c r="D110" s="0" t="s">
        <v>32</v>
      </c>
      <c r="E110" s="0" t="n">
        <v>75265.02</v>
      </c>
      <c r="F110" s="0" t="n">
        <v>6975</v>
      </c>
      <c r="G110" s="0" t="n">
        <v>0.157</v>
      </c>
      <c r="H110" s="0" t="n">
        <v>20</v>
      </c>
      <c r="I110" s="0" t="n">
        <v>73.8</v>
      </c>
      <c r="J110" s="0" t="n">
        <v>6.35</v>
      </c>
      <c r="K110" s="0" t="n">
        <v>1</v>
      </c>
      <c r="L110" s="0" t="n">
        <v>3.8</v>
      </c>
      <c r="M110" s="0" t="n">
        <v>709478.39</v>
      </c>
      <c r="N110" s="0" t="n">
        <v>71294.27</v>
      </c>
    </row>
    <row r="111" customFormat="false" ht="15" hidden="false" customHeight="false" outlineLevel="0" collapsed="false">
      <c r="A111" s="0" t="s">
        <v>53</v>
      </c>
      <c r="B111" s="0" t="s">
        <v>18</v>
      </c>
      <c r="C111" s="0" t="s">
        <v>16</v>
      </c>
      <c r="D111" s="0" t="s">
        <v>32</v>
      </c>
      <c r="E111" s="0" t="n">
        <v>69411.7</v>
      </c>
      <c r="F111" s="0" t="n">
        <v>5493</v>
      </c>
      <c r="G111" s="0" t="n">
        <v>0.292</v>
      </c>
      <c r="H111" s="0" t="n">
        <v>13</v>
      </c>
      <c r="I111" s="0" t="n">
        <v>86.5</v>
      </c>
      <c r="J111" s="0" t="n">
        <v>6.69</v>
      </c>
      <c r="K111" s="0" t="n">
        <v>0</v>
      </c>
      <c r="L111" s="0" t="n">
        <v>3.8</v>
      </c>
      <c r="M111" s="0" t="n">
        <v>664162.49</v>
      </c>
      <c r="N111" s="0" t="n">
        <v>98291.06</v>
      </c>
    </row>
    <row r="112" customFormat="false" ht="15" hidden="false" customHeight="false" outlineLevel="0" collapsed="false">
      <c r="A112" s="0" t="s">
        <v>53</v>
      </c>
      <c r="B112" s="0" t="s">
        <v>19</v>
      </c>
      <c r="C112" s="0" t="s">
        <v>16</v>
      </c>
      <c r="D112" s="0" t="s">
        <v>32</v>
      </c>
      <c r="E112" s="0" t="n">
        <v>51056.15</v>
      </c>
      <c r="F112" s="0" t="n">
        <v>5686</v>
      </c>
      <c r="G112" s="0" t="n">
        <v>0.089</v>
      </c>
      <c r="H112" s="0" t="n">
        <v>13</v>
      </c>
      <c r="I112" s="0" t="n">
        <v>89.9</v>
      </c>
      <c r="J112" s="0" t="n">
        <v>1.28</v>
      </c>
      <c r="K112" s="0" t="n">
        <v>0</v>
      </c>
      <c r="L112" s="0" t="n">
        <v>4.2</v>
      </c>
      <c r="M112" s="0" t="n">
        <v>633494.21</v>
      </c>
      <c r="N112" s="0" t="n">
        <v>105739.47</v>
      </c>
    </row>
    <row r="113" customFormat="false" ht="15" hidden="false" customHeight="false" outlineLevel="0" collapsed="false">
      <c r="A113" s="0" t="s">
        <v>53</v>
      </c>
      <c r="B113" s="0" t="s">
        <v>20</v>
      </c>
      <c r="C113" s="0" t="s">
        <v>16</v>
      </c>
      <c r="D113" s="0" t="s">
        <v>32</v>
      </c>
      <c r="E113" s="0" t="n">
        <v>52758.01</v>
      </c>
      <c r="F113" s="0" t="n">
        <v>4063</v>
      </c>
      <c r="G113" s="0" t="n">
        <v>0.057</v>
      </c>
      <c r="H113" s="0" t="n">
        <v>12</v>
      </c>
      <c r="I113" s="0" t="n">
        <v>91.7</v>
      </c>
      <c r="J113" s="0" t="n">
        <v>0.92</v>
      </c>
      <c r="K113" s="0" t="n">
        <v>0</v>
      </c>
      <c r="L113" s="0" t="n">
        <v>3.5</v>
      </c>
      <c r="M113" s="0" t="n">
        <v>713611.16</v>
      </c>
      <c r="N113" s="0" t="n">
        <v>129717.18</v>
      </c>
    </row>
    <row r="114" customFormat="false" ht="15" hidden="false" customHeight="false" outlineLevel="0" collapsed="false">
      <c r="A114" s="0" t="s">
        <v>54</v>
      </c>
      <c r="B114" s="0" t="s">
        <v>15</v>
      </c>
      <c r="C114" s="0" t="s">
        <v>31</v>
      </c>
      <c r="D114" s="0" t="s">
        <v>32</v>
      </c>
      <c r="E114" s="0" t="n">
        <v>61426.04</v>
      </c>
      <c r="F114" s="0" t="n">
        <v>8966</v>
      </c>
      <c r="G114" s="0" t="n">
        <v>0.173</v>
      </c>
      <c r="H114" s="0" t="n">
        <v>22</v>
      </c>
      <c r="I114" s="0" t="n">
        <v>76.4</v>
      </c>
      <c r="J114" s="0" t="n">
        <v>1.05</v>
      </c>
      <c r="K114" s="0" t="n">
        <v>0</v>
      </c>
      <c r="L114" s="0" t="n">
        <v>3.1</v>
      </c>
      <c r="M114" s="0" t="n">
        <v>778397.97</v>
      </c>
      <c r="N114" s="0" t="n">
        <v>120044.41</v>
      </c>
    </row>
    <row r="115" customFormat="false" ht="15" hidden="false" customHeight="false" outlineLevel="0" collapsed="false">
      <c r="A115" s="0" t="s">
        <v>54</v>
      </c>
      <c r="B115" s="0" t="s">
        <v>18</v>
      </c>
      <c r="C115" s="0" t="s">
        <v>31</v>
      </c>
      <c r="D115" s="0" t="s">
        <v>32</v>
      </c>
      <c r="E115" s="0" t="n">
        <v>80176.34</v>
      </c>
      <c r="F115" s="0" t="n">
        <v>9489</v>
      </c>
      <c r="G115" s="0" t="n">
        <v>0.142</v>
      </c>
      <c r="H115" s="0" t="n">
        <v>22</v>
      </c>
      <c r="I115" s="0" t="n">
        <v>94.3</v>
      </c>
      <c r="J115" s="0" t="n">
        <v>2.67</v>
      </c>
      <c r="K115" s="0" t="n">
        <v>0</v>
      </c>
      <c r="L115" s="0" t="n">
        <v>3.5</v>
      </c>
      <c r="M115" s="0" t="n">
        <v>873380.02</v>
      </c>
      <c r="N115" s="0" t="n">
        <v>149734.76</v>
      </c>
    </row>
    <row r="116" customFormat="false" ht="15" hidden="false" customHeight="false" outlineLevel="0" collapsed="false">
      <c r="A116" s="0" t="s">
        <v>54</v>
      </c>
      <c r="B116" s="0" t="s">
        <v>19</v>
      </c>
      <c r="C116" s="0" t="s">
        <v>31</v>
      </c>
      <c r="D116" s="0" t="s">
        <v>32</v>
      </c>
      <c r="E116" s="0" t="n">
        <v>33605.18</v>
      </c>
      <c r="F116" s="0" t="n">
        <v>9225</v>
      </c>
      <c r="G116" s="0" t="n">
        <v>0.159</v>
      </c>
      <c r="H116" s="0" t="n">
        <v>23</v>
      </c>
      <c r="I116" s="0" t="n">
        <v>88.4</v>
      </c>
      <c r="J116" s="0" t="n">
        <v>5.91</v>
      </c>
      <c r="K116" s="0" t="n">
        <v>0</v>
      </c>
      <c r="L116" s="0" t="n">
        <v>2.8</v>
      </c>
      <c r="M116" s="0" t="n">
        <v>697287.9</v>
      </c>
      <c r="N116" s="0" t="n">
        <v>128208.33</v>
      </c>
    </row>
    <row r="117" customFormat="false" ht="15" hidden="false" customHeight="false" outlineLevel="0" collapsed="false">
      <c r="A117" s="0" t="s">
        <v>54</v>
      </c>
      <c r="B117" s="0" t="s">
        <v>20</v>
      </c>
      <c r="C117" s="0" t="s">
        <v>31</v>
      </c>
      <c r="D117" s="0" t="s">
        <v>32</v>
      </c>
      <c r="E117" s="0" t="n">
        <v>25990.54</v>
      </c>
      <c r="F117" s="0" t="n">
        <v>9249</v>
      </c>
      <c r="G117" s="0" t="n">
        <v>0.139</v>
      </c>
      <c r="H117" s="0" t="n">
        <v>23</v>
      </c>
      <c r="I117" s="0" t="n">
        <v>92.5</v>
      </c>
      <c r="J117" s="0" t="n">
        <v>6.37</v>
      </c>
      <c r="K117" s="0" t="n">
        <v>0</v>
      </c>
      <c r="L117" s="0" t="n">
        <v>3.3</v>
      </c>
      <c r="M117" s="0" t="n">
        <v>718074.79</v>
      </c>
      <c r="N117" s="0" t="n">
        <v>115819.87</v>
      </c>
    </row>
    <row r="118" customFormat="false" ht="15" hidden="false" customHeight="false" outlineLevel="0" collapsed="false">
      <c r="A118" s="0" t="s">
        <v>55</v>
      </c>
      <c r="B118" s="0" t="s">
        <v>15</v>
      </c>
      <c r="C118" s="0" t="s">
        <v>31</v>
      </c>
      <c r="D118" s="0" t="s">
        <v>17</v>
      </c>
      <c r="E118" s="0" t="n">
        <v>43685.14</v>
      </c>
      <c r="F118" s="0" t="n">
        <v>7821</v>
      </c>
      <c r="G118" s="0" t="n">
        <v>0.19</v>
      </c>
      <c r="H118" s="0" t="n">
        <v>17</v>
      </c>
      <c r="I118" s="0" t="n">
        <v>91</v>
      </c>
      <c r="J118" s="0" t="n">
        <v>2.49</v>
      </c>
      <c r="K118" s="0" t="n">
        <v>1</v>
      </c>
      <c r="L118" s="0" t="n">
        <v>4.7</v>
      </c>
      <c r="M118" s="0" t="n">
        <v>714942.43</v>
      </c>
      <c r="N118" s="0" t="n">
        <v>94697.71</v>
      </c>
    </row>
    <row r="119" customFormat="false" ht="15" hidden="false" customHeight="false" outlineLevel="0" collapsed="false">
      <c r="A119" s="0" t="s">
        <v>55</v>
      </c>
      <c r="B119" s="0" t="s">
        <v>18</v>
      </c>
      <c r="C119" s="0" t="s">
        <v>31</v>
      </c>
      <c r="D119" s="0" t="s">
        <v>17</v>
      </c>
      <c r="E119" s="0" t="n">
        <v>57360.01</v>
      </c>
      <c r="F119" s="0" t="n">
        <v>8434</v>
      </c>
      <c r="G119" s="0" t="n">
        <v>0.151</v>
      </c>
      <c r="H119" s="0" t="n">
        <v>19</v>
      </c>
      <c r="I119" s="0" t="n">
        <v>84.1</v>
      </c>
      <c r="J119" s="0" t="n">
        <v>1.56</v>
      </c>
      <c r="K119" s="0" t="n">
        <v>0</v>
      </c>
      <c r="L119" s="0" t="n">
        <v>4.7</v>
      </c>
      <c r="M119" s="0" t="n">
        <v>820519.04</v>
      </c>
      <c r="N119" s="0" t="n">
        <v>99035.88</v>
      </c>
    </row>
    <row r="120" customFormat="false" ht="15" hidden="false" customHeight="false" outlineLevel="0" collapsed="false">
      <c r="A120" s="0" t="s">
        <v>55</v>
      </c>
      <c r="B120" s="0" t="s">
        <v>19</v>
      </c>
      <c r="C120" s="0" t="s">
        <v>31</v>
      </c>
      <c r="D120" s="0" t="s">
        <v>17</v>
      </c>
      <c r="E120" s="0" t="n">
        <v>42415.47</v>
      </c>
      <c r="F120" s="0" t="n">
        <v>8512</v>
      </c>
      <c r="G120" s="0" t="n">
        <v>0.133</v>
      </c>
      <c r="H120" s="0" t="n">
        <v>18</v>
      </c>
      <c r="I120" s="0" t="n">
        <v>96.8</v>
      </c>
      <c r="J120" s="0" t="n">
        <v>14.95</v>
      </c>
      <c r="K120" s="0" t="n">
        <v>0</v>
      </c>
      <c r="L120" s="0" t="n">
        <v>4.6</v>
      </c>
      <c r="M120" s="0" t="n">
        <v>684217.32</v>
      </c>
      <c r="N120" s="0" t="n">
        <v>136217.19</v>
      </c>
    </row>
    <row r="121" customFormat="false" ht="15" hidden="false" customHeight="false" outlineLevel="0" collapsed="false">
      <c r="A121" s="0" t="s">
        <v>55</v>
      </c>
      <c r="B121" s="0" t="s">
        <v>20</v>
      </c>
      <c r="C121" s="0" t="s">
        <v>31</v>
      </c>
      <c r="D121" s="0" t="s">
        <v>17</v>
      </c>
      <c r="E121" s="0" t="n">
        <v>54968.98</v>
      </c>
      <c r="F121" s="0" t="n">
        <v>7816</v>
      </c>
      <c r="G121" s="0" t="n">
        <v>0.232</v>
      </c>
      <c r="H121" s="0" t="n">
        <v>19</v>
      </c>
      <c r="I121" s="0" t="n">
        <v>95.7</v>
      </c>
      <c r="J121" s="0" t="n">
        <v>7.85</v>
      </c>
      <c r="K121" s="0" t="n">
        <v>0</v>
      </c>
      <c r="L121" s="0" t="n">
        <v>4.7</v>
      </c>
      <c r="M121" s="0" t="n">
        <v>735480.19</v>
      </c>
      <c r="N121" s="0" t="n">
        <v>88342.11</v>
      </c>
    </row>
    <row r="122" customFormat="false" ht="15" hidden="false" customHeight="false" outlineLevel="0" collapsed="false">
      <c r="A122" s="0" t="s">
        <v>56</v>
      </c>
      <c r="B122" s="0" t="s">
        <v>15</v>
      </c>
      <c r="C122" s="0" t="s">
        <v>24</v>
      </c>
      <c r="D122" s="0" t="s">
        <v>22</v>
      </c>
      <c r="E122" s="0" t="n">
        <v>43896.13</v>
      </c>
      <c r="F122" s="0" t="n">
        <v>3853</v>
      </c>
      <c r="G122" s="0" t="n">
        <v>0.088</v>
      </c>
      <c r="H122" s="0" t="n">
        <v>13</v>
      </c>
      <c r="I122" s="0" t="n">
        <v>83</v>
      </c>
      <c r="J122" s="0" t="n">
        <v>6.8</v>
      </c>
      <c r="K122" s="0" t="n">
        <v>0</v>
      </c>
      <c r="L122" s="0" t="n">
        <v>4.4</v>
      </c>
      <c r="M122" s="0" t="n">
        <v>509484.81</v>
      </c>
      <c r="N122" s="0" t="n">
        <v>85742.36</v>
      </c>
    </row>
    <row r="123" customFormat="false" ht="15" hidden="false" customHeight="false" outlineLevel="0" collapsed="false">
      <c r="A123" s="0" t="s">
        <v>56</v>
      </c>
      <c r="B123" s="0" t="s">
        <v>18</v>
      </c>
      <c r="C123" s="0" t="s">
        <v>24</v>
      </c>
      <c r="D123" s="0" t="s">
        <v>22</v>
      </c>
      <c r="E123" s="0" t="n">
        <v>83044.17</v>
      </c>
      <c r="F123" s="0" t="n">
        <v>3694</v>
      </c>
      <c r="G123" s="0" t="n">
        <v>0</v>
      </c>
      <c r="H123" s="0" t="n">
        <v>14</v>
      </c>
      <c r="I123" s="0" t="n">
        <v>89.4</v>
      </c>
      <c r="J123" s="0" t="n">
        <v>2.2</v>
      </c>
      <c r="K123" s="0" t="n">
        <v>0</v>
      </c>
      <c r="L123" s="0" t="n">
        <v>3.7</v>
      </c>
      <c r="M123" s="0" t="n">
        <v>654317.09</v>
      </c>
      <c r="N123" s="0" t="n">
        <v>121446.89</v>
      </c>
    </row>
    <row r="124" customFormat="false" ht="15" hidden="false" customHeight="false" outlineLevel="0" collapsed="false">
      <c r="A124" s="0" t="s">
        <v>56</v>
      </c>
      <c r="B124" s="0" t="s">
        <v>19</v>
      </c>
      <c r="C124" s="0" t="s">
        <v>24</v>
      </c>
      <c r="D124" s="0" t="s">
        <v>22</v>
      </c>
      <c r="E124" s="0" t="n">
        <v>48396.13</v>
      </c>
      <c r="F124" s="0" t="n">
        <v>4423</v>
      </c>
      <c r="G124" s="0" t="n">
        <v>0.069</v>
      </c>
      <c r="H124" s="0" t="n">
        <v>15</v>
      </c>
      <c r="I124" s="0" t="n">
        <v>85.7</v>
      </c>
      <c r="J124" s="0" t="n">
        <v>1.88</v>
      </c>
      <c r="K124" s="0" t="n">
        <v>0</v>
      </c>
      <c r="L124" s="0" t="n">
        <v>3.9</v>
      </c>
      <c r="M124" s="0" t="n">
        <v>557487.26</v>
      </c>
      <c r="N124" s="0" t="n">
        <v>76432.19</v>
      </c>
    </row>
    <row r="125" customFormat="false" ht="15" hidden="false" customHeight="false" outlineLevel="0" collapsed="false">
      <c r="A125" s="0" t="s">
        <v>56</v>
      </c>
      <c r="B125" s="0" t="s">
        <v>20</v>
      </c>
      <c r="C125" s="0" t="s">
        <v>24</v>
      </c>
      <c r="D125" s="0" t="s">
        <v>22</v>
      </c>
      <c r="E125" s="0" t="n">
        <v>19063.48</v>
      </c>
      <c r="F125" s="0" t="n">
        <v>1906</v>
      </c>
      <c r="G125" s="0" t="n">
        <v>0.216</v>
      </c>
      <c r="H125" s="0" t="n">
        <v>10</v>
      </c>
      <c r="I125" s="0" t="n">
        <v>97.8</v>
      </c>
      <c r="J125" s="0" t="n">
        <v>15.79</v>
      </c>
      <c r="K125" s="0" t="n">
        <v>0</v>
      </c>
      <c r="L125" s="0" t="n">
        <v>4.4</v>
      </c>
      <c r="M125" s="0" t="n">
        <v>441275.42</v>
      </c>
      <c r="N125" s="0" t="n">
        <v>58234.87</v>
      </c>
    </row>
    <row r="126" customFormat="false" ht="15" hidden="false" customHeight="false" outlineLevel="0" collapsed="false">
      <c r="A126" s="0" t="s">
        <v>57</v>
      </c>
      <c r="B126" s="0" t="s">
        <v>15</v>
      </c>
      <c r="C126" s="0" t="s">
        <v>28</v>
      </c>
      <c r="D126" s="0" t="s">
        <v>22</v>
      </c>
      <c r="E126" s="0" t="n">
        <v>61541.21</v>
      </c>
      <c r="F126" s="0" t="n">
        <v>10396</v>
      </c>
      <c r="G126" s="0" t="n">
        <v>0.123</v>
      </c>
      <c r="H126" s="0" t="n">
        <v>25</v>
      </c>
      <c r="I126" s="0" t="n">
        <v>88.1</v>
      </c>
      <c r="J126" s="0" t="n">
        <v>2.34</v>
      </c>
      <c r="K126" s="0" t="n">
        <v>1</v>
      </c>
      <c r="L126" s="0" t="n">
        <v>4.8</v>
      </c>
      <c r="M126" s="0" t="n">
        <v>914544.17</v>
      </c>
      <c r="N126" s="0" t="n">
        <v>79831.73</v>
      </c>
    </row>
    <row r="127" customFormat="false" ht="15" hidden="false" customHeight="false" outlineLevel="0" collapsed="false">
      <c r="A127" s="0" t="s">
        <v>57</v>
      </c>
      <c r="B127" s="0" t="s">
        <v>18</v>
      </c>
      <c r="C127" s="0" t="s">
        <v>28</v>
      </c>
      <c r="D127" s="0" t="s">
        <v>22</v>
      </c>
      <c r="E127" s="0" t="n">
        <v>44747</v>
      </c>
      <c r="F127" s="0" t="n">
        <v>11076</v>
      </c>
      <c r="G127" s="0" t="n">
        <v>0.176</v>
      </c>
      <c r="H127" s="0" t="n">
        <v>27</v>
      </c>
      <c r="I127" s="0" t="n">
        <v>98.3</v>
      </c>
      <c r="J127" s="0" t="n">
        <v>0.54</v>
      </c>
      <c r="K127" s="0" t="n">
        <v>0</v>
      </c>
      <c r="L127" s="0" t="n">
        <v>4.4</v>
      </c>
      <c r="M127" s="0" t="n">
        <v>842439.67</v>
      </c>
      <c r="N127" s="0" t="n">
        <v>169983.63</v>
      </c>
    </row>
    <row r="128" customFormat="false" ht="15" hidden="false" customHeight="false" outlineLevel="0" collapsed="false">
      <c r="A128" s="0" t="s">
        <v>57</v>
      </c>
      <c r="B128" s="0" t="s">
        <v>19</v>
      </c>
      <c r="C128" s="0" t="s">
        <v>28</v>
      </c>
      <c r="D128" s="0" t="s">
        <v>22</v>
      </c>
      <c r="E128" s="0" t="n">
        <v>56517.9</v>
      </c>
      <c r="F128" s="0" t="n">
        <v>9574</v>
      </c>
      <c r="G128" s="0" t="n">
        <v>0.204</v>
      </c>
      <c r="H128" s="0" t="n">
        <v>20</v>
      </c>
      <c r="I128" s="0" t="n">
        <v>88.2</v>
      </c>
      <c r="J128" s="0" t="n">
        <v>5.37</v>
      </c>
      <c r="K128" s="0" t="n">
        <v>1</v>
      </c>
      <c r="L128" s="0" t="n">
        <v>4.9</v>
      </c>
      <c r="M128" s="0" t="n">
        <v>842157.92</v>
      </c>
      <c r="N128" s="0" t="n">
        <v>107348.22</v>
      </c>
    </row>
    <row r="129" customFormat="false" ht="15" hidden="false" customHeight="false" outlineLevel="0" collapsed="false">
      <c r="A129" s="0" t="s">
        <v>57</v>
      </c>
      <c r="B129" s="0" t="s">
        <v>20</v>
      </c>
      <c r="C129" s="0" t="s">
        <v>28</v>
      </c>
      <c r="D129" s="0" t="s">
        <v>22</v>
      </c>
      <c r="E129" s="0" t="n">
        <v>37828.5</v>
      </c>
      <c r="F129" s="0" t="n">
        <v>8221</v>
      </c>
      <c r="G129" s="0" t="n">
        <v>0.096</v>
      </c>
      <c r="H129" s="0" t="n">
        <v>19</v>
      </c>
      <c r="I129" s="0" t="n">
        <v>81.5</v>
      </c>
      <c r="J129" s="0" t="n">
        <v>3.19</v>
      </c>
      <c r="K129" s="0" t="n">
        <v>0</v>
      </c>
      <c r="L129" s="0" t="n">
        <v>4.8</v>
      </c>
      <c r="M129" s="0" t="n">
        <v>697155.3</v>
      </c>
      <c r="N129" s="0" t="n">
        <v>136408.54</v>
      </c>
    </row>
    <row r="130" customFormat="false" ht="15" hidden="false" customHeight="false" outlineLevel="0" collapsed="false">
      <c r="A130" s="0" t="s">
        <v>58</v>
      </c>
      <c r="B130" s="0" t="s">
        <v>15</v>
      </c>
      <c r="C130" s="0" t="s">
        <v>16</v>
      </c>
      <c r="D130" s="0" t="s">
        <v>22</v>
      </c>
      <c r="E130" s="0" t="n">
        <v>66250.53</v>
      </c>
      <c r="F130" s="0" t="n">
        <v>10618</v>
      </c>
      <c r="G130" s="0" t="n">
        <v>0.142</v>
      </c>
      <c r="H130" s="0" t="n">
        <v>27</v>
      </c>
      <c r="I130" s="0" t="n">
        <v>88.3</v>
      </c>
      <c r="J130" s="0" t="n">
        <v>1.1</v>
      </c>
      <c r="K130" s="0" t="n">
        <v>1</v>
      </c>
      <c r="L130" s="0" t="n">
        <v>4.4</v>
      </c>
      <c r="M130" s="0" t="n">
        <v>849018.3</v>
      </c>
      <c r="N130" s="0" t="n">
        <v>149035.13</v>
      </c>
    </row>
    <row r="131" customFormat="false" ht="15" hidden="false" customHeight="false" outlineLevel="0" collapsed="false">
      <c r="A131" s="0" t="s">
        <v>58</v>
      </c>
      <c r="B131" s="0" t="s">
        <v>18</v>
      </c>
      <c r="C131" s="0" t="s">
        <v>16</v>
      </c>
      <c r="D131" s="0" t="s">
        <v>22</v>
      </c>
      <c r="E131" s="0" t="n">
        <v>68410.93</v>
      </c>
      <c r="F131" s="0" t="n">
        <v>10596</v>
      </c>
      <c r="G131" s="0" t="n">
        <v>0.207</v>
      </c>
      <c r="H131" s="0" t="n">
        <v>25</v>
      </c>
      <c r="I131" s="0" t="n">
        <v>81.2</v>
      </c>
      <c r="J131" s="0" t="n">
        <v>0.21</v>
      </c>
      <c r="K131" s="0" t="n">
        <v>0</v>
      </c>
      <c r="L131" s="0" t="n">
        <v>4</v>
      </c>
      <c r="M131" s="0" t="n">
        <v>801830.35</v>
      </c>
      <c r="N131" s="0" t="n">
        <v>114875.32</v>
      </c>
    </row>
    <row r="132" customFormat="false" ht="15" hidden="false" customHeight="false" outlineLevel="0" collapsed="false">
      <c r="A132" s="0" t="s">
        <v>58</v>
      </c>
      <c r="B132" s="0" t="s">
        <v>19</v>
      </c>
      <c r="C132" s="0" t="s">
        <v>16</v>
      </c>
      <c r="D132" s="0" t="s">
        <v>22</v>
      </c>
      <c r="E132" s="0" t="n">
        <v>50735.63</v>
      </c>
      <c r="F132" s="0" t="n">
        <v>9619</v>
      </c>
      <c r="G132" s="0" t="n">
        <v>0.144</v>
      </c>
      <c r="H132" s="0" t="n">
        <v>19</v>
      </c>
      <c r="I132" s="0" t="n">
        <v>93.8</v>
      </c>
      <c r="J132" s="0" t="n">
        <v>5.12</v>
      </c>
      <c r="K132" s="0" t="n">
        <v>1</v>
      </c>
      <c r="L132" s="0" t="n">
        <v>4.5</v>
      </c>
      <c r="M132" s="0" t="n">
        <v>725235.28</v>
      </c>
      <c r="N132" s="0" t="n">
        <v>121632.24</v>
      </c>
    </row>
    <row r="133" customFormat="false" ht="15" hidden="false" customHeight="false" outlineLevel="0" collapsed="false">
      <c r="A133" s="0" t="s">
        <v>58</v>
      </c>
      <c r="B133" s="0" t="s">
        <v>20</v>
      </c>
      <c r="C133" s="0" t="s">
        <v>16</v>
      </c>
      <c r="D133" s="0" t="s">
        <v>22</v>
      </c>
      <c r="E133" s="0" t="n">
        <v>66455.8</v>
      </c>
      <c r="F133" s="0" t="n">
        <v>10836</v>
      </c>
      <c r="G133" s="0" t="n">
        <v>0.089</v>
      </c>
      <c r="H133" s="0" t="n">
        <v>25</v>
      </c>
      <c r="I133" s="0" t="n">
        <v>85</v>
      </c>
      <c r="J133" s="0" t="n">
        <v>9.77</v>
      </c>
      <c r="K133" s="0" t="n">
        <v>0</v>
      </c>
      <c r="L133" s="0" t="n">
        <v>4.5</v>
      </c>
      <c r="M133" s="0" t="n">
        <v>811452.72</v>
      </c>
      <c r="N133" s="0" t="n">
        <v>131325.67</v>
      </c>
    </row>
    <row r="134" customFormat="false" ht="15" hidden="false" customHeight="false" outlineLevel="0" collapsed="false">
      <c r="A134" s="0" t="s">
        <v>59</v>
      </c>
      <c r="B134" s="0" t="s">
        <v>15</v>
      </c>
      <c r="C134" s="0" t="s">
        <v>24</v>
      </c>
      <c r="D134" s="0" t="s">
        <v>22</v>
      </c>
      <c r="E134" s="0" t="n">
        <v>70276.28</v>
      </c>
      <c r="F134" s="0" t="n">
        <v>3043</v>
      </c>
      <c r="G134" s="0" t="n">
        <v>0.079</v>
      </c>
      <c r="H134" s="0" t="n">
        <v>9</v>
      </c>
      <c r="I134" s="0" t="n">
        <v>87.9</v>
      </c>
      <c r="J134" s="0" t="n">
        <v>3.77</v>
      </c>
      <c r="K134" s="0" t="n">
        <v>0</v>
      </c>
      <c r="L134" s="0" t="n">
        <v>4.4</v>
      </c>
      <c r="M134" s="0" t="n">
        <v>527300.13</v>
      </c>
      <c r="N134" s="0" t="n">
        <v>84197.87</v>
      </c>
    </row>
    <row r="135" customFormat="false" ht="15" hidden="false" customHeight="false" outlineLevel="0" collapsed="false">
      <c r="A135" s="0" t="s">
        <v>59</v>
      </c>
      <c r="B135" s="0" t="s">
        <v>18</v>
      </c>
      <c r="C135" s="0" t="s">
        <v>24</v>
      </c>
      <c r="D135" s="0" t="s">
        <v>22</v>
      </c>
      <c r="E135" s="0" t="n">
        <v>22071.64</v>
      </c>
      <c r="F135" s="0" t="n">
        <v>1814</v>
      </c>
      <c r="G135" s="0" t="n">
        <v>0.196</v>
      </c>
      <c r="H135" s="0" t="n">
        <v>8</v>
      </c>
      <c r="I135" s="0" t="n">
        <v>81.1</v>
      </c>
      <c r="J135" s="0" t="n">
        <v>0.78</v>
      </c>
      <c r="K135" s="0" t="n">
        <v>0</v>
      </c>
      <c r="M135" s="0" t="n">
        <v>400831.65</v>
      </c>
      <c r="N135" s="0" t="n">
        <v>70979.31</v>
      </c>
    </row>
    <row r="136" customFormat="false" ht="15" hidden="false" customHeight="false" outlineLevel="0" collapsed="false">
      <c r="A136" s="0" t="s">
        <v>59</v>
      </c>
      <c r="B136" s="0" t="s">
        <v>19</v>
      </c>
      <c r="C136" s="0" t="s">
        <v>24</v>
      </c>
      <c r="D136" s="0" t="s">
        <v>22</v>
      </c>
      <c r="E136" s="0" t="n">
        <v>52285.45</v>
      </c>
      <c r="F136" s="0" t="n">
        <v>3618</v>
      </c>
      <c r="G136" s="0" t="n">
        <v>0.086</v>
      </c>
      <c r="H136" s="0" t="n">
        <v>11</v>
      </c>
      <c r="I136" s="0" t="n">
        <v>95.6</v>
      </c>
      <c r="J136" s="0" t="n">
        <v>5.17</v>
      </c>
      <c r="K136" s="0" t="n">
        <v>1</v>
      </c>
      <c r="L136" s="0" t="n">
        <v>4.4</v>
      </c>
      <c r="M136" s="0" t="n">
        <v>593247.25</v>
      </c>
      <c r="N136" s="0" t="n">
        <v>81240.29</v>
      </c>
    </row>
    <row r="137" customFormat="false" ht="15" hidden="false" customHeight="false" outlineLevel="0" collapsed="false">
      <c r="A137" s="0" t="s">
        <v>59</v>
      </c>
      <c r="B137" s="0" t="s">
        <v>20</v>
      </c>
      <c r="C137" s="0" t="s">
        <v>24</v>
      </c>
      <c r="D137" s="0" t="s">
        <v>22</v>
      </c>
      <c r="E137" s="0" t="n">
        <v>70366.76</v>
      </c>
      <c r="F137" s="0" t="n">
        <v>1963</v>
      </c>
      <c r="G137" s="0" t="n">
        <v>0.182</v>
      </c>
      <c r="H137" s="0" t="n">
        <v>8</v>
      </c>
      <c r="I137" s="0" t="n">
        <v>89.8</v>
      </c>
      <c r="J137" s="0" t="n">
        <v>3.2</v>
      </c>
      <c r="K137" s="0" t="n">
        <v>0</v>
      </c>
      <c r="L137" s="0" t="n">
        <v>4.6</v>
      </c>
      <c r="M137" s="0" t="n">
        <v>529075.95</v>
      </c>
      <c r="N137" s="0" t="n">
        <v>95978.83</v>
      </c>
    </row>
    <row r="138" customFormat="false" ht="15" hidden="false" customHeight="false" outlineLevel="0" collapsed="false">
      <c r="A138" s="0" t="s">
        <v>60</v>
      </c>
      <c r="B138" s="0" t="s">
        <v>15</v>
      </c>
      <c r="C138" s="0" t="s">
        <v>28</v>
      </c>
      <c r="D138" s="0" t="s">
        <v>17</v>
      </c>
      <c r="E138" s="0" t="n">
        <v>71320.66</v>
      </c>
      <c r="F138" s="0" t="n">
        <v>7888</v>
      </c>
      <c r="G138" s="0" t="n">
        <v>0.048</v>
      </c>
      <c r="H138" s="0" t="n">
        <v>20</v>
      </c>
      <c r="I138" s="0" t="n">
        <v>78.1</v>
      </c>
      <c r="J138" s="0" t="n">
        <v>3.4</v>
      </c>
      <c r="K138" s="0" t="n">
        <v>0</v>
      </c>
      <c r="M138" s="0" t="n">
        <v>633638.03</v>
      </c>
      <c r="N138" s="0" t="n">
        <v>99402.01</v>
      </c>
    </row>
    <row r="139" customFormat="false" ht="15" hidden="false" customHeight="false" outlineLevel="0" collapsed="false">
      <c r="A139" s="0" t="s">
        <v>60</v>
      </c>
      <c r="B139" s="0" t="s">
        <v>18</v>
      </c>
      <c r="C139" s="0" t="s">
        <v>28</v>
      </c>
      <c r="D139" s="0" t="s">
        <v>17</v>
      </c>
      <c r="E139" s="0" t="n">
        <v>75109.67</v>
      </c>
      <c r="F139" s="0" t="n">
        <v>6244</v>
      </c>
      <c r="G139" s="0" t="n">
        <v>0.079</v>
      </c>
      <c r="H139" s="0" t="n">
        <v>15</v>
      </c>
      <c r="I139" s="0" t="n">
        <v>96.3</v>
      </c>
      <c r="J139" s="0" t="n">
        <v>7.38</v>
      </c>
      <c r="K139" s="0" t="n">
        <v>0</v>
      </c>
      <c r="L139" s="0" t="n">
        <v>3.7</v>
      </c>
      <c r="M139" s="0" t="n">
        <v>743348.84</v>
      </c>
      <c r="N139" s="0" t="n">
        <v>104186.09</v>
      </c>
    </row>
    <row r="140" customFormat="false" ht="15" hidden="false" customHeight="false" outlineLevel="0" collapsed="false">
      <c r="A140" s="0" t="s">
        <v>60</v>
      </c>
      <c r="B140" s="0" t="s">
        <v>19</v>
      </c>
      <c r="C140" s="0" t="s">
        <v>28</v>
      </c>
      <c r="D140" s="0" t="s">
        <v>17</v>
      </c>
      <c r="E140" s="0" t="n">
        <v>69779</v>
      </c>
      <c r="F140" s="0" t="n">
        <v>6544</v>
      </c>
      <c r="G140" s="0" t="n">
        <v>0.152</v>
      </c>
      <c r="H140" s="0" t="n">
        <v>18</v>
      </c>
      <c r="I140" s="0" t="n">
        <v>90.2</v>
      </c>
      <c r="J140" s="0" t="n">
        <v>0.85</v>
      </c>
      <c r="K140" s="0" t="n">
        <v>1</v>
      </c>
      <c r="L140" s="0" t="n">
        <v>3.3</v>
      </c>
      <c r="M140" s="0" t="n">
        <v>758827.64</v>
      </c>
      <c r="N140" s="0" t="n">
        <v>161439.48</v>
      </c>
    </row>
    <row r="141" customFormat="false" ht="15" hidden="false" customHeight="false" outlineLevel="0" collapsed="false">
      <c r="A141" s="0" t="s">
        <v>60</v>
      </c>
      <c r="B141" s="0" t="s">
        <v>20</v>
      </c>
      <c r="C141" s="0" t="s">
        <v>28</v>
      </c>
      <c r="D141" s="0" t="s">
        <v>17</v>
      </c>
      <c r="E141" s="0" t="n">
        <v>44211.95</v>
      </c>
      <c r="F141" s="0" t="n">
        <v>5465</v>
      </c>
      <c r="G141" s="0" t="n">
        <v>0.187</v>
      </c>
      <c r="H141" s="0" t="n">
        <v>12</v>
      </c>
      <c r="I141" s="0" t="n">
        <v>90</v>
      </c>
      <c r="J141" s="0" t="n">
        <v>2.89</v>
      </c>
      <c r="K141" s="0" t="n">
        <v>0</v>
      </c>
      <c r="L141" s="0" t="n">
        <v>3.6</v>
      </c>
      <c r="M141" s="0" t="n">
        <v>646559.71</v>
      </c>
      <c r="N141" s="0" t="n">
        <v>97981.75</v>
      </c>
    </row>
    <row r="142" customFormat="false" ht="15" hidden="false" customHeight="false" outlineLevel="0" collapsed="false">
      <c r="A142" s="0" t="s">
        <v>61</v>
      </c>
      <c r="B142" s="0" t="s">
        <v>15</v>
      </c>
      <c r="C142" s="0" t="s">
        <v>31</v>
      </c>
      <c r="D142" s="0" t="s">
        <v>22</v>
      </c>
      <c r="E142" s="0" t="n">
        <v>51430.31</v>
      </c>
      <c r="F142" s="0" t="n">
        <v>6427</v>
      </c>
      <c r="G142" s="0" t="n">
        <v>0.234</v>
      </c>
      <c r="H142" s="0" t="n">
        <v>14</v>
      </c>
      <c r="I142" s="0" t="n">
        <v>88.8</v>
      </c>
      <c r="J142" s="0" t="n">
        <v>0.77</v>
      </c>
      <c r="K142" s="0" t="n">
        <v>0</v>
      </c>
      <c r="L142" s="0" t="n">
        <v>4.1</v>
      </c>
      <c r="M142" s="0" t="n">
        <v>715890.53</v>
      </c>
      <c r="N142" s="0" t="n">
        <v>109032.15</v>
      </c>
    </row>
    <row r="143" customFormat="false" ht="15" hidden="false" customHeight="false" outlineLevel="0" collapsed="false">
      <c r="A143" s="0" t="s">
        <v>61</v>
      </c>
      <c r="B143" s="0" t="s">
        <v>18</v>
      </c>
      <c r="C143" s="0" t="s">
        <v>31</v>
      </c>
      <c r="D143" s="0" t="s">
        <v>22</v>
      </c>
      <c r="E143" s="0" t="n">
        <v>45706.49</v>
      </c>
      <c r="F143" s="0" t="n">
        <v>6704</v>
      </c>
      <c r="G143" s="0" t="n">
        <v>0.038</v>
      </c>
      <c r="H143" s="0" t="n">
        <v>15</v>
      </c>
      <c r="I143" s="0" t="n">
        <v>94.2</v>
      </c>
      <c r="J143" s="0" t="n">
        <v>2.92</v>
      </c>
      <c r="K143" s="0" t="n">
        <v>0</v>
      </c>
      <c r="L143" s="0" t="n">
        <v>4.2</v>
      </c>
      <c r="M143" s="0" t="n">
        <v>715097.57</v>
      </c>
      <c r="N143" s="0" t="n">
        <v>151875.86</v>
      </c>
    </row>
    <row r="144" customFormat="false" ht="15" hidden="false" customHeight="false" outlineLevel="0" collapsed="false">
      <c r="A144" s="0" t="s">
        <v>61</v>
      </c>
      <c r="B144" s="0" t="s">
        <v>19</v>
      </c>
      <c r="C144" s="0" t="s">
        <v>31</v>
      </c>
      <c r="D144" s="0" t="s">
        <v>22</v>
      </c>
      <c r="E144" s="0" t="n">
        <v>44034.6</v>
      </c>
      <c r="F144" s="0" t="n">
        <v>5645</v>
      </c>
      <c r="G144" s="0" t="n">
        <v>0.069</v>
      </c>
      <c r="H144" s="0" t="n">
        <v>18</v>
      </c>
      <c r="I144" s="0" t="n">
        <v>88.5</v>
      </c>
      <c r="J144" s="0" t="n">
        <v>3.07</v>
      </c>
      <c r="K144" s="0" t="n">
        <v>0</v>
      </c>
      <c r="L144" s="0" t="n">
        <v>3.8</v>
      </c>
      <c r="M144" s="0" t="n">
        <v>682639.28</v>
      </c>
      <c r="N144" s="0" t="n">
        <v>77557.53</v>
      </c>
    </row>
    <row r="145" customFormat="false" ht="15" hidden="false" customHeight="false" outlineLevel="0" collapsed="false">
      <c r="A145" s="0" t="s">
        <v>61</v>
      </c>
      <c r="B145" s="0" t="s">
        <v>20</v>
      </c>
      <c r="C145" s="0" t="s">
        <v>31</v>
      </c>
      <c r="D145" s="0" t="s">
        <v>22</v>
      </c>
      <c r="E145" s="0" t="n">
        <v>50198.12</v>
      </c>
      <c r="F145" s="0" t="n">
        <v>6089</v>
      </c>
      <c r="G145" s="0" t="n">
        <v>0.182</v>
      </c>
      <c r="H145" s="0" t="n">
        <v>19</v>
      </c>
      <c r="I145" s="0" t="n">
        <v>94</v>
      </c>
      <c r="J145" s="0" t="n">
        <v>9.7</v>
      </c>
      <c r="K145" s="0" t="n">
        <v>0</v>
      </c>
      <c r="L145" s="0" t="n">
        <v>3.9</v>
      </c>
      <c r="M145" s="0" t="n">
        <v>695098.51</v>
      </c>
      <c r="N145" s="0" t="n">
        <v>108192.75</v>
      </c>
    </row>
    <row r="146" customFormat="false" ht="15" hidden="false" customHeight="false" outlineLevel="0" collapsed="false">
      <c r="A146" s="0" t="s">
        <v>62</v>
      </c>
      <c r="B146" s="0" t="s">
        <v>15</v>
      </c>
      <c r="C146" s="0" t="s">
        <v>24</v>
      </c>
      <c r="D146" s="0" t="s">
        <v>17</v>
      </c>
      <c r="E146" s="0" t="n">
        <v>70488.2</v>
      </c>
      <c r="F146" s="0" t="n">
        <v>4312</v>
      </c>
      <c r="G146" s="0" t="n">
        <v>0.169</v>
      </c>
      <c r="H146" s="0" t="n">
        <v>12</v>
      </c>
      <c r="I146" s="0" t="n">
        <v>90.2</v>
      </c>
      <c r="J146" s="0" t="n">
        <v>3.71</v>
      </c>
      <c r="K146" s="0" t="n">
        <v>0</v>
      </c>
      <c r="L146" s="0" t="n">
        <v>3.2</v>
      </c>
      <c r="M146" s="0" t="n">
        <v>577732.57</v>
      </c>
      <c r="N146" s="0" t="n">
        <v>93804.27</v>
      </c>
    </row>
    <row r="147" customFormat="false" ht="15" hidden="false" customHeight="false" outlineLevel="0" collapsed="false">
      <c r="A147" s="0" t="s">
        <v>62</v>
      </c>
      <c r="B147" s="0" t="s">
        <v>18</v>
      </c>
      <c r="C147" s="0" t="s">
        <v>24</v>
      </c>
      <c r="D147" s="0" t="s">
        <v>17</v>
      </c>
      <c r="E147" s="0" t="n">
        <v>50909.27</v>
      </c>
      <c r="F147" s="0" t="n">
        <v>3152</v>
      </c>
      <c r="G147" s="0" t="n">
        <v>0.06</v>
      </c>
      <c r="H147" s="0" t="n">
        <v>13</v>
      </c>
      <c r="I147" s="0" t="n">
        <v>93.7</v>
      </c>
      <c r="J147" s="0" t="n">
        <v>10.79</v>
      </c>
      <c r="K147" s="0" t="n">
        <v>0</v>
      </c>
      <c r="L147" s="0" t="n">
        <v>3.5</v>
      </c>
      <c r="M147" s="0" t="n">
        <v>537058.33</v>
      </c>
      <c r="N147" s="0" t="n">
        <v>93555.71</v>
      </c>
    </row>
    <row r="148" customFormat="false" ht="15" hidden="false" customHeight="false" outlineLevel="0" collapsed="false">
      <c r="A148" s="0" t="s">
        <v>62</v>
      </c>
      <c r="B148" s="0" t="s">
        <v>19</v>
      </c>
      <c r="C148" s="0" t="s">
        <v>24</v>
      </c>
      <c r="D148" s="0" t="s">
        <v>17</v>
      </c>
      <c r="E148" s="0" t="n">
        <v>53351.7</v>
      </c>
      <c r="F148" s="0" t="n">
        <v>4259</v>
      </c>
      <c r="G148" s="0" t="n">
        <v>0.156</v>
      </c>
      <c r="H148" s="0" t="n">
        <v>15</v>
      </c>
      <c r="I148" s="0" t="n">
        <v>93.7</v>
      </c>
      <c r="J148" s="0" t="n">
        <v>6.03</v>
      </c>
      <c r="K148" s="0" t="n">
        <v>0</v>
      </c>
      <c r="L148" s="0" t="n">
        <v>3.4</v>
      </c>
      <c r="M148" s="0" t="n">
        <v>601568.87</v>
      </c>
      <c r="N148" s="0" t="n">
        <v>91634.82</v>
      </c>
    </row>
    <row r="149" customFormat="false" ht="15" hidden="false" customHeight="false" outlineLevel="0" collapsed="false">
      <c r="A149" s="0" t="s">
        <v>62</v>
      </c>
      <c r="B149" s="0" t="s">
        <v>20</v>
      </c>
      <c r="C149" s="0" t="s">
        <v>24</v>
      </c>
      <c r="D149" s="0" t="s">
        <v>17</v>
      </c>
      <c r="E149" s="0" t="n">
        <v>60322.4</v>
      </c>
      <c r="F149" s="0" t="n">
        <v>3350</v>
      </c>
      <c r="G149" s="0" t="n">
        <v>0.108</v>
      </c>
      <c r="H149" s="0" t="n">
        <v>12</v>
      </c>
      <c r="I149" s="0" t="n">
        <v>89.4</v>
      </c>
      <c r="J149" s="0" t="n">
        <v>4.92</v>
      </c>
      <c r="K149" s="0" t="n">
        <v>0</v>
      </c>
      <c r="L149" s="0" t="n">
        <v>3.4</v>
      </c>
      <c r="M149" s="0" t="n">
        <v>570964.84</v>
      </c>
      <c r="N149" s="0" t="n">
        <v>81331.07</v>
      </c>
    </row>
    <row r="150" customFormat="false" ht="15" hidden="false" customHeight="false" outlineLevel="0" collapsed="false">
      <c r="A150" s="0" t="s">
        <v>63</v>
      </c>
      <c r="B150" s="0" t="s">
        <v>15</v>
      </c>
      <c r="C150" s="0" t="s">
        <v>28</v>
      </c>
      <c r="D150" s="0" t="s">
        <v>32</v>
      </c>
      <c r="E150" s="0" t="n">
        <v>51575.68</v>
      </c>
      <c r="F150" s="0" t="n">
        <v>5329</v>
      </c>
      <c r="G150" s="0" t="n">
        <v>0.047</v>
      </c>
      <c r="H150" s="0" t="n">
        <v>17</v>
      </c>
      <c r="I150" s="0" t="n">
        <v>88.1</v>
      </c>
      <c r="J150" s="0" t="n">
        <v>19.78</v>
      </c>
      <c r="K150" s="0" t="n">
        <v>0</v>
      </c>
      <c r="L150" s="0" t="n">
        <v>3.8</v>
      </c>
      <c r="M150" s="0" t="n">
        <v>614024.91</v>
      </c>
      <c r="N150" s="0" t="n">
        <v>84828.93</v>
      </c>
    </row>
    <row r="151" customFormat="false" ht="15" hidden="false" customHeight="false" outlineLevel="0" collapsed="false">
      <c r="A151" s="0" t="s">
        <v>63</v>
      </c>
      <c r="B151" s="0" t="s">
        <v>18</v>
      </c>
      <c r="C151" s="0" t="s">
        <v>28</v>
      </c>
      <c r="D151" s="0" t="s">
        <v>32</v>
      </c>
      <c r="E151" s="0" t="n">
        <v>43319.94</v>
      </c>
      <c r="F151" s="0" t="n">
        <v>6551</v>
      </c>
      <c r="G151" s="0" t="n">
        <v>0.044</v>
      </c>
      <c r="H151" s="0" t="n">
        <v>13</v>
      </c>
      <c r="I151" s="0" t="n">
        <v>99</v>
      </c>
      <c r="J151" s="0" t="n">
        <v>5.45</v>
      </c>
      <c r="K151" s="0" t="n">
        <v>0</v>
      </c>
      <c r="L151" s="0" t="n">
        <v>4.1</v>
      </c>
      <c r="M151" s="0" t="n">
        <v>712868.35</v>
      </c>
      <c r="N151" s="0" t="n">
        <v>133650.51</v>
      </c>
    </row>
    <row r="152" customFormat="false" ht="15" hidden="false" customHeight="false" outlineLevel="0" collapsed="false">
      <c r="A152" s="0" t="s">
        <v>63</v>
      </c>
      <c r="B152" s="0" t="s">
        <v>19</v>
      </c>
      <c r="C152" s="0" t="s">
        <v>28</v>
      </c>
      <c r="D152" s="0" t="s">
        <v>32</v>
      </c>
      <c r="E152" s="0" t="n">
        <v>47093.55</v>
      </c>
      <c r="F152" s="0" t="n">
        <v>5550</v>
      </c>
      <c r="G152" s="0" t="n">
        <v>0.1</v>
      </c>
      <c r="H152" s="0" t="n">
        <v>12</v>
      </c>
      <c r="I152" s="0" t="n">
        <v>95</v>
      </c>
      <c r="J152" s="0" t="n">
        <v>2.33</v>
      </c>
      <c r="K152" s="0" t="n">
        <v>1</v>
      </c>
      <c r="L152" s="0" t="n">
        <v>3.7</v>
      </c>
      <c r="M152" s="0" t="n">
        <v>696744.15</v>
      </c>
      <c r="N152" s="0" t="n">
        <v>152230.09</v>
      </c>
    </row>
    <row r="153" customFormat="false" ht="15" hidden="false" customHeight="false" outlineLevel="0" collapsed="false">
      <c r="A153" s="0" t="s">
        <v>63</v>
      </c>
      <c r="B153" s="0" t="s">
        <v>20</v>
      </c>
      <c r="C153" s="0" t="s">
        <v>28</v>
      </c>
      <c r="D153" s="0" t="s">
        <v>32</v>
      </c>
      <c r="E153" s="0" t="n">
        <v>71855.09</v>
      </c>
      <c r="F153" s="0" t="n">
        <v>5911</v>
      </c>
      <c r="G153" s="0" t="n">
        <v>0.197</v>
      </c>
      <c r="H153" s="0" t="n">
        <v>15</v>
      </c>
      <c r="I153" s="0" t="n">
        <v>94.3</v>
      </c>
      <c r="J153" s="0" t="n">
        <v>3.55</v>
      </c>
      <c r="K153" s="0" t="n">
        <v>0</v>
      </c>
      <c r="L153" s="0" t="n">
        <v>4.1</v>
      </c>
      <c r="M153" s="0" t="n">
        <v>725847.99</v>
      </c>
      <c r="N153" s="0" t="n">
        <v>122698.73</v>
      </c>
    </row>
    <row r="154" customFormat="false" ht="15" hidden="false" customHeight="false" outlineLevel="0" collapsed="false">
      <c r="A154" s="0" t="s">
        <v>64</v>
      </c>
      <c r="B154" s="0" t="s">
        <v>15</v>
      </c>
      <c r="C154" s="0" t="s">
        <v>16</v>
      </c>
      <c r="D154" s="0" t="s">
        <v>22</v>
      </c>
      <c r="E154" s="0" t="n">
        <v>75645.23</v>
      </c>
      <c r="F154" s="0" t="n">
        <v>9674</v>
      </c>
      <c r="G154" s="0" t="n">
        <v>0.234</v>
      </c>
      <c r="H154" s="0" t="n">
        <v>21</v>
      </c>
      <c r="I154" s="0" t="n">
        <v>87.4</v>
      </c>
      <c r="J154" s="0" t="n">
        <v>0.2</v>
      </c>
      <c r="K154" s="0" t="n">
        <v>0</v>
      </c>
      <c r="L154" s="0" t="n">
        <v>4.5</v>
      </c>
      <c r="M154" s="0" t="n">
        <v>785028.25</v>
      </c>
      <c r="N154" s="0" t="n">
        <v>110726.44</v>
      </c>
    </row>
    <row r="155" customFormat="false" ht="15" hidden="false" customHeight="false" outlineLevel="0" collapsed="false">
      <c r="A155" s="0" t="s">
        <v>64</v>
      </c>
      <c r="B155" s="0" t="s">
        <v>18</v>
      </c>
      <c r="C155" s="0" t="s">
        <v>16</v>
      </c>
      <c r="D155" s="0" t="s">
        <v>22</v>
      </c>
      <c r="E155" s="0" t="n">
        <v>64374.75</v>
      </c>
      <c r="F155" s="0" t="n">
        <v>6740</v>
      </c>
      <c r="G155" s="0" t="n">
        <v>0.169</v>
      </c>
      <c r="H155" s="0" t="n">
        <v>18</v>
      </c>
      <c r="I155" s="0" t="n">
        <v>87</v>
      </c>
      <c r="J155" s="0" t="n">
        <v>2.09</v>
      </c>
      <c r="K155" s="0" t="n">
        <v>0</v>
      </c>
      <c r="L155" s="0" t="n">
        <v>4.2</v>
      </c>
      <c r="M155" s="0" t="n">
        <v>698492.67</v>
      </c>
      <c r="N155" s="0" t="n">
        <v>117319.32</v>
      </c>
    </row>
    <row r="156" customFormat="false" ht="15" hidden="false" customHeight="false" outlineLevel="0" collapsed="false">
      <c r="A156" s="0" t="s">
        <v>64</v>
      </c>
      <c r="B156" s="0" t="s">
        <v>19</v>
      </c>
      <c r="C156" s="0" t="s">
        <v>16</v>
      </c>
      <c r="D156" s="0" t="s">
        <v>22</v>
      </c>
      <c r="E156" s="0" t="n">
        <v>61433.84</v>
      </c>
      <c r="F156" s="0" t="n">
        <v>7745</v>
      </c>
      <c r="G156" s="0" t="n">
        <v>0.18</v>
      </c>
      <c r="H156" s="0" t="n">
        <v>16</v>
      </c>
      <c r="I156" s="0" t="n">
        <v>90.5</v>
      </c>
      <c r="J156" s="0" t="n">
        <v>2.26</v>
      </c>
      <c r="K156" s="0" t="n">
        <v>0</v>
      </c>
      <c r="L156" s="0" t="n">
        <v>4.2</v>
      </c>
      <c r="M156" s="0" t="n">
        <v>685830.24</v>
      </c>
      <c r="N156" s="0" t="n">
        <v>128736.18</v>
      </c>
    </row>
    <row r="157" customFormat="false" ht="15" hidden="false" customHeight="false" outlineLevel="0" collapsed="false">
      <c r="A157" s="0" t="s">
        <v>64</v>
      </c>
      <c r="B157" s="0" t="s">
        <v>20</v>
      </c>
      <c r="C157" s="0" t="s">
        <v>16</v>
      </c>
      <c r="D157" s="0" t="s">
        <v>22</v>
      </c>
      <c r="E157" s="0" t="n">
        <v>42698.14</v>
      </c>
      <c r="F157" s="0" t="n">
        <v>7693</v>
      </c>
      <c r="G157" s="0" t="n">
        <v>0.187</v>
      </c>
      <c r="H157" s="0" t="n">
        <v>19</v>
      </c>
      <c r="I157" s="0" t="n">
        <v>90.1</v>
      </c>
      <c r="J157" s="0" t="n">
        <v>0.44</v>
      </c>
      <c r="K157" s="0" t="n">
        <v>0</v>
      </c>
      <c r="L157" s="0" t="n">
        <v>4.4</v>
      </c>
      <c r="M157" s="0" t="n">
        <v>702318.94</v>
      </c>
      <c r="N157" s="0" t="n">
        <v>112829.29</v>
      </c>
    </row>
    <row r="158" customFormat="false" ht="15" hidden="false" customHeight="false" outlineLevel="0" collapsed="false">
      <c r="A158" s="0" t="s">
        <v>65</v>
      </c>
      <c r="B158" s="0" t="s">
        <v>15</v>
      </c>
      <c r="C158" s="0" t="s">
        <v>24</v>
      </c>
      <c r="D158" s="0" t="s">
        <v>32</v>
      </c>
      <c r="E158" s="0" t="n">
        <v>86883.31</v>
      </c>
      <c r="F158" s="0" t="n">
        <v>6424</v>
      </c>
      <c r="G158" s="0" t="n">
        <v>0.057</v>
      </c>
      <c r="H158" s="0" t="n">
        <v>19</v>
      </c>
      <c r="I158" s="0" t="n">
        <v>85.2</v>
      </c>
      <c r="J158" s="0" t="n">
        <v>3.08</v>
      </c>
      <c r="K158" s="0" t="n">
        <v>0</v>
      </c>
      <c r="L158" s="0" t="n">
        <v>3.9</v>
      </c>
      <c r="M158" s="0" t="n">
        <v>700078.32</v>
      </c>
      <c r="N158" s="0" t="n">
        <v>123707.58</v>
      </c>
    </row>
    <row r="159" customFormat="false" ht="15" hidden="false" customHeight="false" outlineLevel="0" collapsed="false">
      <c r="A159" s="0" t="s">
        <v>65</v>
      </c>
      <c r="B159" s="0" t="s">
        <v>18</v>
      </c>
      <c r="C159" s="0" t="s">
        <v>24</v>
      </c>
      <c r="D159" s="0" t="s">
        <v>32</v>
      </c>
      <c r="E159" s="0" t="n">
        <v>41863.08</v>
      </c>
      <c r="F159" s="0" t="n">
        <v>5400</v>
      </c>
      <c r="G159" s="0" t="n">
        <v>0.114</v>
      </c>
      <c r="H159" s="0" t="n">
        <v>11</v>
      </c>
      <c r="I159" s="0" t="n">
        <v>91.6</v>
      </c>
      <c r="J159" s="0" t="n">
        <v>7.99</v>
      </c>
      <c r="K159" s="0" t="n">
        <v>0</v>
      </c>
      <c r="L159" s="0" t="n">
        <v>3</v>
      </c>
      <c r="M159" s="0" t="n">
        <v>602002.32</v>
      </c>
      <c r="N159" s="0" t="n">
        <v>110453.28</v>
      </c>
    </row>
    <row r="160" customFormat="false" ht="15" hidden="false" customHeight="false" outlineLevel="0" collapsed="false">
      <c r="A160" s="0" t="s">
        <v>65</v>
      </c>
      <c r="B160" s="0" t="s">
        <v>19</v>
      </c>
      <c r="C160" s="0" t="s">
        <v>24</v>
      </c>
      <c r="D160" s="0" t="s">
        <v>32</v>
      </c>
      <c r="E160" s="0" t="n">
        <v>56918.16</v>
      </c>
      <c r="F160" s="0" t="n">
        <v>7015</v>
      </c>
      <c r="G160" s="0" t="n">
        <v>0.158</v>
      </c>
      <c r="H160" s="0" t="n">
        <v>18</v>
      </c>
      <c r="I160" s="0" t="n">
        <v>74.2</v>
      </c>
      <c r="J160" s="0" t="n">
        <v>0.2</v>
      </c>
      <c r="K160" s="0" t="n">
        <v>0</v>
      </c>
      <c r="L160" s="0" t="n">
        <v>3.4</v>
      </c>
      <c r="M160" s="0" t="n">
        <v>724216.07</v>
      </c>
      <c r="N160" s="0" t="n">
        <v>100627.56</v>
      </c>
    </row>
    <row r="161" customFormat="false" ht="15" hidden="false" customHeight="false" outlineLevel="0" collapsed="false">
      <c r="A161" s="0" t="s">
        <v>65</v>
      </c>
      <c r="B161" s="0" t="s">
        <v>20</v>
      </c>
      <c r="C161" s="0" t="s">
        <v>24</v>
      </c>
      <c r="D161" s="0" t="s">
        <v>32</v>
      </c>
      <c r="E161" s="0" t="n">
        <v>23254.57</v>
      </c>
      <c r="F161" s="0" t="n">
        <v>3847</v>
      </c>
      <c r="G161" s="0" t="n">
        <v>0.159</v>
      </c>
      <c r="H161" s="0" t="n">
        <v>12</v>
      </c>
      <c r="I161" s="0" t="n">
        <v>93</v>
      </c>
      <c r="J161" s="0" t="n">
        <v>5.46</v>
      </c>
      <c r="K161" s="0" t="n">
        <v>0</v>
      </c>
      <c r="L161" s="0" t="n">
        <v>3.3</v>
      </c>
      <c r="M161" s="0" t="n">
        <v>620973.03</v>
      </c>
      <c r="N161" s="0" t="n">
        <v>72303.85</v>
      </c>
    </row>
    <row r="162" customFormat="false" ht="15" hidden="false" customHeight="false" outlineLevel="0" collapsed="false">
      <c r="A162" s="0" t="s">
        <v>66</v>
      </c>
      <c r="B162" s="0" t="s">
        <v>15</v>
      </c>
      <c r="C162" s="0" t="s">
        <v>28</v>
      </c>
      <c r="D162" s="0" t="s">
        <v>22</v>
      </c>
      <c r="E162" s="0" t="n">
        <v>41443.41</v>
      </c>
      <c r="F162" s="0" t="n">
        <v>7455</v>
      </c>
      <c r="G162" s="0" t="n">
        <v>0.175</v>
      </c>
      <c r="H162" s="0" t="n">
        <v>16</v>
      </c>
      <c r="I162" s="0" t="n">
        <v>90.1</v>
      </c>
      <c r="J162" s="0" t="n">
        <v>4.05</v>
      </c>
      <c r="K162" s="0" t="n">
        <v>0</v>
      </c>
      <c r="L162" s="0" t="n">
        <v>4</v>
      </c>
      <c r="M162" s="0" t="n">
        <v>650480.06</v>
      </c>
      <c r="N162" s="0" t="n">
        <v>109012.07</v>
      </c>
    </row>
    <row r="163" customFormat="false" ht="15" hidden="false" customHeight="false" outlineLevel="0" collapsed="false">
      <c r="A163" s="0" t="s">
        <v>66</v>
      </c>
      <c r="B163" s="0" t="s">
        <v>18</v>
      </c>
      <c r="C163" s="0" t="s">
        <v>28</v>
      </c>
      <c r="D163" s="0" t="s">
        <v>22</v>
      </c>
      <c r="E163" s="0" t="n">
        <v>48438.85</v>
      </c>
      <c r="F163" s="0" t="n">
        <v>6992</v>
      </c>
      <c r="G163" s="0" t="n">
        <v>0.034</v>
      </c>
      <c r="H163" s="0" t="n">
        <v>20</v>
      </c>
      <c r="I163" s="0" t="n">
        <v>91</v>
      </c>
      <c r="J163" s="0" t="n">
        <v>4.36</v>
      </c>
      <c r="K163" s="0" t="n">
        <v>0</v>
      </c>
      <c r="L163" s="0" t="n">
        <v>4.2</v>
      </c>
      <c r="M163" s="0" t="n">
        <v>778298.88</v>
      </c>
      <c r="N163" s="0" t="n">
        <v>130076.72</v>
      </c>
    </row>
    <row r="164" customFormat="false" ht="15" hidden="false" customHeight="false" outlineLevel="0" collapsed="false">
      <c r="A164" s="0" t="s">
        <v>66</v>
      </c>
      <c r="B164" s="0" t="s">
        <v>19</v>
      </c>
      <c r="C164" s="0" t="s">
        <v>28</v>
      </c>
      <c r="D164" s="0" t="s">
        <v>22</v>
      </c>
      <c r="E164" s="0" t="n">
        <v>57143.3</v>
      </c>
      <c r="F164" s="0" t="n">
        <v>8038</v>
      </c>
      <c r="G164" s="0" t="n">
        <v>0.193</v>
      </c>
      <c r="H164" s="0" t="n">
        <v>17</v>
      </c>
      <c r="I164" s="0" t="n">
        <v>72.6</v>
      </c>
      <c r="K164" s="0" t="n">
        <v>0</v>
      </c>
      <c r="L164" s="0" t="n">
        <v>4.2</v>
      </c>
      <c r="M164" s="0" t="n">
        <v>677096.71</v>
      </c>
      <c r="N164" s="0" t="n">
        <v>97174.11</v>
      </c>
    </row>
    <row r="165" customFormat="false" ht="15" hidden="false" customHeight="false" outlineLevel="0" collapsed="false">
      <c r="A165" s="0" t="s">
        <v>66</v>
      </c>
      <c r="B165" s="0" t="s">
        <v>20</v>
      </c>
      <c r="C165" s="0" t="s">
        <v>28</v>
      </c>
      <c r="D165" s="0" t="s">
        <v>22</v>
      </c>
      <c r="E165" s="0" t="n">
        <v>66870.62</v>
      </c>
      <c r="F165" s="0" t="n">
        <v>6055</v>
      </c>
      <c r="G165" s="0" t="n">
        <v>0.075</v>
      </c>
      <c r="H165" s="0" t="n">
        <v>19</v>
      </c>
      <c r="I165" s="0" t="n">
        <v>93.8</v>
      </c>
      <c r="J165" s="0" t="n">
        <v>0.54</v>
      </c>
      <c r="K165" s="0" t="n">
        <v>0</v>
      </c>
      <c r="L165" s="0" t="n">
        <v>4.3</v>
      </c>
      <c r="M165" s="0" t="n">
        <v>692008.64</v>
      </c>
      <c r="N165" s="0" t="n">
        <v>116337.87</v>
      </c>
    </row>
    <row r="166" customFormat="false" ht="15" hidden="false" customHeight="false" outlineLevel="0" collapsed="false">
      <c r="A166" s="0" t="s">
        <v>67</v>
      </c>
      <c r="B166" s="0" t="s">
        <v>15</v>
      </c>
      <c r="C166" s="0" t="s">
        <v>24</v>
      </c>
      <c r="D166" s="0" t="s">
        <v>32</v>
      </c>
      <c r="E166" s="0" t="n">
        <v>72150.53</v>
      </c>
      <c r="F166" s="0" t="n">
        <v>9323</v>
      </c>
      <c r="G166" s="0" t="n">
        <v>0.157</v>
      </c>
      <c r="H166" s="0" t="n">
        <v>22</v>
      </c>
      <c r="I166" s="0" t="n">
        <v>82.9</v>
      </c>
      <c r="J166" s="0" t="n">
        <v>11.37</v>
      </c>
      <c r="K166" s="0" t="n">
        <v>1</v>
      </c>
      <c r="L166" s="0" t="n">
        <v>4.3</v>
      </c>
      <c r="M166" s="0" t="n">
        <v>825797.91</v>
      </c>
      <c r="N166" s="0" t="n">
        <v>130945.24</v>
      </c>
    </row>
    <row r="167" customFormat="false" ht="15" hidden="false" customHeight="false" outlineLevel="0" collapsed="false">
      <c r="A167" s="0" t="s">
        <v>67</v>
      </c>
      <c r="B167" s="0" t="s">
        <v>18</v>
      </c>
      <c r="C167" s="0" t="s">
        <v>24</v>
      </c>
      <c r="D167" s="0" t="s">
        <v>32</v>
      </c>
      <c r="E167" s="0" t="n">
        <v>35303.3</v>
      </c>
      <c r="F167" s="0" t="n">
        <v>8789</v>
      </c>
      <c r="G167" s="0" t="n">
        <v>0.123</v>
      </c>
      <c r="H167" s="0" t="n">
        <v>22</v>
      </c>
      <c r="I167" s="0" t="n">
        <v>86.1</v>
      </c>
      <c r="J167" s="0" t="n">
        <v>9.43</v>
      </c>
      <c r="K167" s="0" t="n">
        <v>0</v>
      </c>
      <c r="L167" s="0" t="n">
        <v>4.2</v>
      </c>
      <c r="M167" s="0" t="n">
        <v>706285.52</v>
      </c>
      <c r="N167" s="0" t="n">
        <v>138014.72</v>
      </c>
    </row>
    <row r="168" customFormat="false" ht="15" hidden="false" customHeight="false" outlineLevel="0" collapsed="false">
      <c r="A168" s="0" t="s">
        <v>67</v>
      </c>
      <c r="B168" s="0" t="s">
        <v>19</v>
      </c>
      <c r="C168" s="0" t="s">
        <v>24</v>
      </c>
      <c r="D168" s="0" t="s">
        <v>32</v>
      </c>
      <c r="E168" s="0" t="n">
        <v>30301.86</v>
      </c>
      <c r="F168" s="0" t="n">
        <v>6939</v>
      </c>
      <c r="G168" s="0" t="n">
        <v>0.09</v>
      </c>
      <c r="H168" s="0" t="n">
        <v>16</v>
      </c>
      <c r="I168" s="0" t="n">
        <v>90.3</v>
      </c>
      <c r="J168" s="0" t="n">
        <v>3.49</v>
      </c>
      <c r="K168" s="0" t="n">
        <v>0</v>
      </c>
      <c r="L168" s="0" t="n">
        <v>4</v>
      </c>
      <c r="M168" s="0" t="n">
        <v>665534.7</v>
      </c>
      <c r="N168" s="0" t="n">
        <v>113167.73</v>
      </c>
    </row>
    <row r="169" customFormat="false" ht="15" hidden="false" customHeight="false" outlineLevel="0" collapsed="false">
      <c r="A169" s="0" t="s">
        <v>67</v>
      </c>
      <c r="B169" s="0" t="s">
        <v>20</v>
      </c>
      <c r="C169" s="0" t="s">
        <v>24</v>
      </c>
      <c r="D169" s="0" t="s">
        <v>32</v>
      </c>
      <c r="E169" s="0" t="n">
        <v>78432.14</v>
      </c>
      <c r="F169" s="0" t="n">
        <v>9440</v>
      </c>
      <c r="G169" s="0" t="n">
        <v>0.126</v>
      </c>
      <c r="H169" s="0" t="n">
        <v>23</v>
      </c>
      <c r="I169" s="0" t="n">
        <v>89.2</v>
      </c>
      <c r="J169" s="0" t="n">
        <v>7.86</v>
      </c>
      <c r="K169" s="0" t="n">
        <v>0</v>
      </c>
      <c r="L169" s="0" t="n">
        <v>4.1</v>
      </c>
      <c r="M169" s="0" t="n">
        <v>820729.29</v>
      </c>
      <c r="N169" s="0" t="n">
        <v>159325.47</v>
      </c>
    </row>
    <row r="170" customFormat="false" ht="15" hidden="false" customHeight="false" outlineLevel="0" collapsed="false">
      <c r="A170" s="0" t="s">
        <v>68</v>
      </c>
      <c r="B170" s="0" t="s">
        <v>15</v>
      </c>
      <c r="C170" s="0" t="s">
        <v>16</v>
      </c>
      <c r="D170" s="0" t="s">
        <v>17</v>
      </c>
      <c r="E170" s="0" t="n">
        <v>62059.18</v>
      </c>
      <c r="F170" s="0" t="n">
        <v>9374</v>
      </c>
      <c r="G170" s="0" t="n">
        <v>0.136</v>
      </c>
      <c r="H170" s="0" t="n">
        <v>25</v>
      </c>
      <c r="I170" s="0" t="n">
        <v>87.1</v>
      </c>
      <c r="J170" s="0" t="n">
        <v>12.55</v>
      </c>
      <c r="K170" s="0" t="n">
        <v>0</v>
      </c>
      <c r="L170" s="0" t="n">
        <v>4.9</v>
      </c>
      <c r="M170" s="0" t="n">
        <v>739831.73</v>
      </c>
      <c r="N170" s="0" t="n">
        <v>119490.21</v>
      </c>
    </row>
    <row r="171" customFormat="false" ht="15" hidden="false" customHeight="false" outlineLevel="0" collapsed="false">
      <c r="A171" s="0" t="s">
        <v>68</v>
      </c>
      <c r="B171" s="0" t="s">
        <v>18</v>
      </c>
      <c r="C171" s="0" t="s">
        <v>16</v>
      </c>
      <c r="D171" s="0" t="s">
        <v>17</v>
      </c>
      <c r="E171" s="0" t="n">
        <v>32834.48</v>
      </c>
      <c r="F171" s="0" t="n">
        <v>7576</v>
      </c>
      <c r="G171" s="0" t="n">
        <v>0.099</v>
      </c>
      <c r="H171" s="0" t="n">
        <v>15</v>
      </c>
      <c r="I171" s="0" t="n">
        <v>84.1</v>
      </c>
      <c r="J171" s="0" t="n">
        <v>3.48</v>
      </c>
      <c r="K171" s="0" t="n">
        <v>0</v>
      </c>
      <c r="L171" s="0" t="n">
        <v>5</v>
      </c>
      <c r="M171" s="0" t="n">
        <v>593637.14</v>
      </c>
      <c r="N171" s="0" t="n">
        <v>106648.14</v>
      </c>
    </row>
    <row r="172" customFormat="false" ht="15" hidden="false" customHeight="false" outlineLevel="0" collapsed="false">
      <c r="A172" s="0" t="s">
        <v>68</v>
      </c>
      <c r="B172" s="0" t="s">
        <v>19</v>
      </c>
      <c r="C172" s="0" t="s">
        <v>16</v>
      </c>
      <c r="D172" s="0" t="s">
        <v>17</v>
      </c>
      <c r="E172" s="0" t="n">
        <v>50825.08</v>
      </c>
      <c r="F172" s="0" t="n">
        <v>8949</v>
      </c>
      <c r="G172" s="0" t="n">
        <v>0.157</v>
      </c>
      <c r="H172" s="0" t="n">
        <v>21</v>
      </c>
      <c r="I172" s="0" t="n">
        <v>84.7</v>
      </c>
      <c r="J172" s="0" t="n">
        <v>7.73</v>
      </c>
      <c r="K172" s="0" t="n">
        <v>0</v>
      </c>
      <c r="L172" s="0" t="n">
        <v>4.9</v>
      </c>
      <c r="M172" s="0" t="n">
        <v>769702.76</v>
      </c>
      <c r="N172" s="0" t="n">
        <v>158697</v>
      </c>
    </row>
    <row r="173" customFormat="false" ht="15" hidden="false" customHeight="false" outlineLevel="0" collapsed="false">
      <c r="A173" s="0" t="s">
        <v>68</v>
      </c>
      <c r="B173" s="0" t="s">
        <v>20</v>
      </c>
      <c r="C173" s="0" t="s">
        <v>16</v>
      </c>
      <c r="D173" s="0" t="s">
        <v>17</v>
      </c>
      <c r="E173" s="0" t="n">
        <v>36606.51</v>
      </c>
      <c r="F173" s="0" t="n">
        <v>7671</v>
      </c>
      <c r="G173" s="0" t="n">
        <v>0.118</v>
      </c>
      <c r="H173" s="0" t="n">
        <v>18</v>
      </c>
      <c r="I173" s="0" t="n">
        <v>89.8</v>
      </c>
      <c r="J173" s="0" t="n">
        <v>0.25</v>
      </c>
      <c r="K173" s="0" t="n">
        <v>0</v>
      </c>
      <c r="L173" s="0" t="n">
        <v>4.4</v>
      </c>
      <c r="M173" s="0" t="n">
        <v>679731.57</v>
      </c>
      <c r="N173" s="0" t="n">
        <v>121546.42</v>
      </c>
    </row>
    <row r="174" customFormat="false" ht="15" hidden="false" customHeight="false" outlineLevel="0" collapsed="false">
      <c r="A174" s="0" t="s">
        <v>69</v>
      </c>
      <c r="B174" s="0" t="s">
        <v>15</v>
      </c>
      <c r="C174" s="0" t="s">
        <v>16</v>
      </c>
      <c r="D174" s="0" t="s">
        <v>17</v>
      </c>
      <c r="E174" s="0" t="n">
        <v>65237.79</v>
      </c>
      <c r="F174" s="0" t="n">
        <v>8741</v>
      </c>
      <c r="G174" s="0" t="n">
        <v>0.157</v>
      </c>
      <c r="H174" s="0" t="n">
        <v>20</v>
      </c>
      <c r="I174" s="0" t="n">
        <v>94.4</v>
      </c>
      <c r="J174" s="0" t="n">
        <v>6.43</v>
      </c>
      <c r="K174" s="0" t="n">
        <v>0</v>
      </c>
      <c r="L174" s="0" t="n">
        <v>3.3</v>
      </c>
      <c r="M174" s="0" t="n">
        <v>780344.18</v>
      </c>
      <c r="N174" s="0" t="n">
        <v>118239.09</v>
      </c>
    </row>
    <row r="175" customFormat="false" ht="15" hidden="false" customHeight="false" outlineLevel="0" collapsed="false">
      <c r="A175" s="0" t="s">
        <v>69</v>
      </c>
      <c r="B175" s="0" t="s">
        <v>18</v>
      </c>
      <c r="C175" s="0" t="s">
        <v>16</v>
      </c>
      <c r="D175" s="0" t="s">
        <v>17</v>
      </c>
      <c r="E175" s="0" t="n">
        <v>43645.98</v>
      </c>
      <c r="F175" s="0" t="n">
        <v>9480</v>
      </c>
      <c r="G175" s="0" t="n">
        <v>0.109</v>
      </c>
      <c r="H175" s="0" t="n">
        <v>22</v>
      </c>
      <c r="I175" s="0" t="n">
        <v>89</v>
      </c>
      <c r="J175" s="0" t="n">
        <v>2.11</v>
      </c>
      <c r="K175" s="0" t="n">
        <v>0</v>
      </c>
      <c r="L175" s="0" t="n">
        <v>3.1</v>
      </c>
      <c r="M175" s="0" t="n">
        <v>721364.11</v>
      </c>
      <c r="N175" s="0" t="n">
        <v>147272.81</v>
      </c>
    </row>
    <row r="176" customFormat="false" ht="15" hidden="false" customHeight="false" outlineLevel="0" collapsed="false">
      <c r="A176" s="0" t="s">
        <v>69</v>
      </c>
      <c r="B176" s="0" t="s">
        <v>19</v>
      </c>
      <c r="C176" s="0" t="s">
        <v>16</v>
      </c>
      <c r="D176" s="0" t="s">
        <v>17</v>
      </c>
      <c r="E176" s="0" t="n">
        <v>68040.15</v>
      </c>
      <c r="F176" s="0" t="n">
        <v>9826</v>
      </c>
      <c r="G176" s="0" t="n">
        <v>0.125</v>
      </c>
      <c r="H176" s="0" t="n">
        <v>20</v>
      </c>
      <c r="I176" s="0" t="n">
        <v>83.9</v>
      </c>
      <c r="J176" s="0" t="n">
        <v>9.12</v>
      </c>
      <c r="K176" s="0" t="n">
        <v>0</v>
      </c>
      <c r="L176" s="0" t="n">
        <v>3.6</v>
      </c>
      <c r="M176" s="0" t="n">
        <v>758138.29</v>
      </c>
      <c r="N176" s="0" t="n">
        <v>132975.26</v>
      </c>
    </row>
    <row r="177" customFormat="false" ht="15" hidden="false" customHeight="false" outlineLevel="0" collapsed="false">
      <c r="A177" s="0" t="s">
        <v>69</v>
      </c>
      <c r="B177" s="0" t="s">
        <v>20</v>
      </c>
      <c r="C177" s="0" t="s">
        <v>16</v>
      </c>
      <c r="D177" s="0" t="s">
        <v>17</v>
      </c>
      <c r="E177" s="0" t="n">
        <v>63043.94</v>
      </c>
      <c r="F177" s="0" t="n">
        <v>10402</v>
      </c>
      <c r="G177" s="0" t="n">
        <v>0.159</v>
      </c>
      <c r="H177" s="0" t="n">
        <v>23</v>
      </c>
      <c r="I177" s="0" t="n">
        <v>93.9</v>
      </c>
      <c r="J177" s="0" t="n">
        <v>2.71</v>
      </c>
      <c r="K177" s="0" t="n">
        <v>0</v>
      </c>
      <c r="L177" s="0" t="n">
        <v>3.1</v>
      </c>
      <c r="M177" s="0" t="n">
        <v>804264</v>
      </c>
      <c r="N177" s="0" t="n">
        <v>167117.91</v>
      </c>
    </row>
    <row r="178" customFormat="false" ht="15" hidden="false" customHeight="false" outlineLevel="0" collapsed="false">
      <c r="A178" s="0" t="s">
        <v>70</v>
      </c>
      <c r="B178" s="0" t="s">
        <v>15</v>
      </c>
      <c r="C178" s="0" t="s">
        <v>31</v>
      </c>
      <c r="D178" s="0" t="s">
        <v>25</v>
      </c>
      <c r="E178" s="0" t="n">
        <v>67494.09</v>
      </c>
      <c r="F178" s="0" t="n">
        <v>12361</v>
      </c>
      <c r="G178" s="0" t="n">
        <v>0.046</v>
      </c>
      <c r="H178" s="0" t="n">
        <v>24</v>
      </c>
      <c r="I178" s="0" t="n">
        <v>76.6</v>
      </c>
      <c r="J178" s="0" t="n">
        <v>3.65</v>
      </c>
      <c r="K178" s="0" t="n">
        <v>1</v>
      </c>
      <c r="L178" s="0" t="n">
        <v>3.7</v>
      </c>
      <c r="M178" s="0" t="n">
        <v>887537.75</v>
      </c>
      <c r="N178" s="0" t="n">
        <v>160362.92</v>
      </c>
    </row>
    <row r="179" customFormat="false" ht="15" hidden="false" customHeight="false" outlineLevel="0" collapsed="false">
      <c r="A179" s="0" t="s">
        <v>70</v>
      </c>
      <c r="B179" s="0" t="s">
        <v>18</v>
      </c>
      <c r="C179" s="0" t="s">
        <v>31</v>
      </c>
      <c r="D179" s="0" t="s">
        <v>25</v>
      </c>
      <c r="E179" s="0" t="n">
        <v>29389.32</v>
      </c>
      <c r="F179" s="0" t="n">
        <v>7925</v>
      </c>
      <c r="G179" s="0" t="n">
        <v>0.177</v>
      </c>
      <c r="H179" s="0" t="n">
        <v>21</v>
      </c>
      <c r="I179" s="0" t="n">
        <v>90.9</v>
      </c>
      <c r="J179" s="0" t="n">
        <v>7.86</v>
      </c>
      <c r="K179" s="0" t="n">
        <v>0</v>
      </c>
      <c r="L179" s="0" t="n">
        <v>4</v>
      </c>
      <c r="M179" s="0" t="n">
        <v>783582</v>
      </c>
      <c r="N179" s="0" t="n">
        <v>130670.93</v>
      </c>
    </row>
    <row r="180" customFormat="false" ht="15" hidden="false" customHeight="false" outlineLevel="0" collapsed="false">
      <c r="A180" s="0" t="s">
        <v>70</v>
      </c>
      <c r="B180" s="0" t="s">
        <v>19</v>
      </c>
      <c r="C180" s="0" t="s">
        <v>31</v>
      </c>
      <c r="D180" s="0" t="s">
        <v>25</v>
      </c>
      <c r="E180" s="0" t="n">
        <v>40535.09</v>
      </c>
      <c r="F180" s="0" t="n">
        <v>8870</v>
      </c>
      <c r="G180" s="0" t="n">
        <v>0.041</v>
      </c>
      <c r="H180" s="0" t="n">
        <v>21</v>
      </c>
      <c r="I180" s="0" t="n">
        <v>86.6</v>
      </c>
      <c r="J180" s="0" t="n">
        <v>0.3</v>
      </c>
      <c r="K180" s="0" t="n">
        <v>0</v>
      </c>
      <c r="L180" s="0" t="n">
        <v>4.1</v>
      </c>
      <c r="M180" s="0" t="n">
        <v>781955.52</v>
      </c>
      <c r="N180" s="0" t="n">
        <v>152578.71</v>
      </c>
    </row>
    <row r="181" customFormat="false" ht="15" hidden="false" customHeight="false" outlineLevel="0" collapsed="false">
      <c r="A181" s="0" t="s">
        <v>70</v>
      </c>
      <c r="B181" s="0" t="s">
        <v>20</v>
      </c>
      <c r="C181" s="0" t="s">
        <v>31</v>
      </c>
      <c r="D181" s="0" t="s">
        <v>25</v>
      </c>
      <c r="E181" s="0" t="n">
        <v>74881.56</v>
      </c>
      <c r="F181" s="0" t="n">
        <v>9999</v>
      </c>
      <c r="G181" s="0" t="n">
        <v>0.013</v>
      </c>
      <c r="H181" s="0" t="n">
        <v>20</v>
      </c>
      <c r="I181" s="0" t="n">
        <v>89.6</v>
      </c>
      <c r="J181" s="0" t="n">
        <v>8.44</v>
      </c>
      <c r="K181" s="0" t="n">
        <v>0</v>
      </c>
      <c r="L181" s="0" t="n">
        <v>4.1</v>
      </c>
      <c r="M181" s="0" t="n">
        <v>898031.04</v>
      </c>
      <c r="N181" s="0" t="n">
        <v>138666.5</v>
      </c>
    </row>
    <row r="182" customFormat="false" ht="15" hidden="false" customHeight="false" outlineLevel="0" collapsed="false">
      <c r="A182" s="0" t="s">
        <v>71</v>
      </c>
      <c r="B182" s="0" t="s">
        <v>15</v>
      </c>
      <c r="C182" s="0" t="s">
        <v>31</v>
      </c>
      <c r="D182" s="0" t="s">
        <v>17</v>
      </c>
      <c r="E182" s="0" t="n">
        <v>68491.11</v>
      </c>
      <c r="F182" s="0" t="n">
        <v>11154</v>
      </c>
      <c r="G182" s="0" t="n">
        <v>0.001</v>
      </c>
      <c r="H182" s="0" t="n">
        <v>24</v>
      </c>
      <c r="I182" s="0" t="n">
        <v>89.4</v>
      </c>
      <c r="J182" s="0" t="n">
        <v>5.27</v>
      </c>
      <c r="K182" s="0" t="n">
        <v>1</v>
      </c>
      <c r="L182" s="0" t="n">
        <v>3.9</v>
      </c>
      <c r="M182" s="0" t="n">
        <v>855341.28</v>
      </c>
      <c r="N182" s="0" t="n">
        <v>175823.8</v>
      </c>
    </row>
    <row r="183" customFormat="false" ht="15" hidden="false" customHeight="false" outlineLevel="0" collapsed="false">
      <c r="A183" s="0" t="s">
        <v>71</v>
      </c>
      <c r="B183" s="0" t="s">
        <v>18</v>
      </c>
      <c r="C183" s="0" t="s">
        <v>31</v>
      </c>
      <c r="D183" s="0" t="s">
        <v>17</v>
      </c>
      <c r="E183" s="0" t="n">
        <v>45209.25</v>
      </c>
      <c r="F183" s="0" t="n">
        <v>9287</v>
      </c>
      <c r="G183" s="0" t="n">
        <v>0.141</v>
      </c>
      <c r="H183" s="0" t="n">
        <v>22</v>
      </c>
      <c r="I183" s="0" t="n">
        <v>86.4</v>
      </c>
      <c r="J183" s="0" t="n">
        <v>13.22</v>
      </c>
      <c r="K183" s="0" t="n">
        <v>0</v>
      </c>
      <c r="L183" s="0" t="n">
        <v>3.6</v>
      </c>
      <c r="M183" s="0" t="n">
        <v>751393.88</v>
      </c>
      <c r="N183" s="0" t="n">
        <v>91480.32</v>
      </c>
    </row>
    <row r="184" customFormat="false" ht="15" hidden="false" customHeight="false" outlineLevel="0" collapsed="false">
      <c r="A184" s="0" t="s">
        <v>71</v>
      </c>
      <c r="B184" s="0" t="s">
        <v>19</v>
      </c>
      <c r="C184" s="0" t="s">
        <v>31</v>
      </c>
      <c r="D184" s="0" t="s">
        <v>17</v>
      </c>
      <c r="E184" s="0" t="n">
        <v>63010.23</v>
      </c>
      <c r="F184" s="0" t="n">
        <v>9812</v>
      </c>
      <c r="G184" s="0" t="n">
        <v>0.113</v>
      </c>
      <c r="H184" s="0" t="n">
        <v>24</v>
      </c>
      <c r="I184" s="0" t="n">
        <v>76.8</v>
      </c>
      <c r="J184" s="0" t="n">
        <v>1.02</v>
      </c>
      <c r="K184" s="0" t="n">
        <v>1</v>
      </c>
      <c r="L184" s="0" t="n">
        <v>3.8</v>
      </c>
      <c r="M184" s="0" t="n">
        <v>761077.08</v>
      </c>
      <c r="N184" s="0" t="n">
        <v>113605.93</v>
      </c>
    </row>
    <row r="185" customFormat="false" ht="15" hidden="false" customHeight="false" outlineLevel="0" collapsed="false">
      <c r="A185" s="0" t="s">
        <v>71</v>
      </c>
      <c r="B185" s="0" t="s">
        <v>20</v>
      </c>
      <c r="C185" s="0" t="s">
        <v>31</v>
      </c>
      <c r="D185" s="0" t="s">
        <v>17</v>
      </c>
      <c r="E185" s="0" t="n">
        <v>57948.88</v>
      </c>
      <c r="F185" s="0" t="n">
        <v>10741</v>
      </c>
      <c r="G185" s="0" t="n">
        <v>0.07</v>
      </c>
      <c r="H185" s="0" t="n">
        <v>25</v>
      </c>
      <c r="I185" s="0" t="n">
        <v>90.1</v>
      </c>
      <c r="J185" s="0" t="n">
        <v>4.03</v>
      </c>
      <c r="K185" s="0" t="n">
        <v>0</v>
      </c>
      <c r="L185" s="0" t="n">
        <v>3.1</v>
      </c>
      <c r="M185" s="0" t="n">
        <v>819660.59</v>
      </c>
      <c r="N185" s="0" t="n">
        <v>172699.95</v>
      </c>
    </row>
    <row r="186" customFormat="false" ht="15" hidden="false" customHeight="false" outlineLevel="0" collapsed="false">
      <c r="A186" s="0" t="s">
        <v>72</v>
      </c>
      <c r="B186" s="0" t="s">
        <v>15</v>
      </c>
      <c r="C186" s="0" t="s">
        <v>24</v>
      </c>
      <c r="D186" s="0" t="s">
        <v>22</v>
      </c>
      <c r="E186" s="0" t="n">
        <v>71941.62</v>
      </c>
      <c r="F186" s="0" t="n">
        <v>6084</v>
      </c>
      <c r="G186" s="0" t="n">
        <v>0.072</v>
      </c>
      <c r="H186" s="0" t="n">
        <v>13</v>
      </c>
      <c r="I186" s="0" t="n">
        <v>93.7</v>
      </c>
      <c r="J186" s="0" t="n">
        <v>2.34</v>
      </c>
      <c r="K186" s="0" t="n">
        <v>0</v>
      </c>
      <c r="L186" s="0" t="n">
        <v>4.4</v>
      </c>
      <c r="M186" s="0" t="n">
        <v>681855.56</v>
      </c>
      <c r="N186" s="0" t="n">
        <v>117645.61</v>
      </c>
    </row>
    <row r="187" customFormat="false" ht="15" hidden="false" customHeight="false" outlineLevel="0" collapsed="false">
      <c r="A187" s="0" t="s">
        <v>72</v>
      </c>
      <c r="B187" s="0" t="s">
        <v>18</v>
      </c>
      <c r="C187" s="0" t="s">
        <v>24</v>
      </c>
      <c r="D187" s="0" t="s">
        <v>22</v>
      </c>
      <c r="E187" s="0" t="n">
        <v>57147.88</v>
      </c>
      <c r="F187" s="0" t="n">
        <v>5252</v>
      </c>
      <c r="G187" s="0" t="n">
        <v>0.161</v>
      </c>
      <c r="H187" s="0" t="n">
        <v>15</v>
      </c>
      <c r="I187" s="0" t="n">
        <v>95.5</v>
      </c>
      <c r="J187" s="0" t="n">
        <v>8.51</v>
      </c>
      <c r="K187" s="0" t="n">
        <v>0</v>
      </c>
      <c r="L187" s="0" t="n">
        <v>4.4</v>
      </c>
      <c r="M187" s="0" t="n">
        <v>678311.17</v>
      </c>
      <c r="N187" s="0" t="n">
        <v>132029.76</v>
      </c>
    </row>
    <row r="188" customFormat="false" ht="15" hidden="false" customHeight="false" outlineLevel="0" collapsed="false">
      <c r="A188" s="0" t="s">
        <v>72</v>
      </c>
      <c r="B188" s="0" t="s">
        <v>19</v>
      </c>
      <c r="C188" s="0" t="s">
        <v>24</v>
      </c>
      <c r="D188" s="0" t="s">
        <v>22</v>
      </c>
      <c r="E188" s="0" t="n">
        <v>48031.74</v>
      </c>
      <c r="F188" s="0" t="n">
        <v>6516</v>
      </c>
      <c r="G188" s="0" t="n">
        <v>0.067</v>
      </c>
      <c r="H188" s="0" t="n">
        <v>14</v>
      </c>
      <c r="I188" s="0" t="n">
        <v>99</v>
      </c>
      <c r="J188" s="0" t="n">
        <v>0.48</v>
      </c>
      <c r="K188" s="0" t="n">
        <v>1</v>
      </c>
      <c r="L188" s="0" t="n">
        <v>4.3</v>
      </c>
      <c r="M188" s="0" t="n">
        <v>765906.95</v>
      </c>
      <c r="N188" s="0" t="n">
        <v>114005.9</v>
      </c>
    </row>
    <row r="189" customFormat="false" ht="15" hidden="false" customHeight="false" outlineLevel="0" collapsed="false">
      <c r="A189" s="0" t="s">
        <v>72</v>
      </c>
      <c r="B189" s="0" t="s">
        <v>20</v>
      </c>
      <c r="C189" s="0" t="s">
        <v>24</v>
      </c>
      <c r="D189" s="0" t="s">
        <v>22</v>
      </c>
      <c r="E189" s="0" t="n">
        <v>72784.8</v>
      </c>
      <c r="F189" s="0" t="n">
        <v>7932</v>
      </c>
      <c r="G189" s="0" t="n">
        <v>0.094</v>
      </c>
      <c r="H189" s="0" t="n">
        <v>20</v>
      </c>
      <c r="I189" s="0" t="n">
        <v>74.9</v>
      </c>
      <c r="J189" s="0" t="n">
        <v>13.62</v>
      </c>
      <c r="K189" s="0" t="n">
        <v>0</v>
      </c>
      <c r="L189" s="0" t="n">
        <v>4.2</v>
      </c>
      <c r="M189" s="0" t="n">
        <v>712546.38</v>
      </c>
      <c r="N189" s="0" t="n">
        <v>101480.04</v>
      </c>
    </row>
    <row r="190" customFormat="false" ht="15" hidden="false" customHeight="false" outlineLevel="0" collapsed="false">
      <c r="A190" s="0" t="s">
        <v>73</v>
      </c>
      <c r="B190" s="0" t="s">
        <v>15</v>
      </c>
      <c r="C190" s="0" t="s">
        <v>16</v>
      </c>
      <c r="D190" s="0" t="s">
        <v>22</v>
      </c>
      <c r="E190" s="0" t="n">
        <v>71641.9</v>
      </c>
      <c r="F190" s="0" t="n">
        <v>3506</v>
      </c>
      <c r="G190" s="0" t="n">
        <v>0</v>
      </c>
      <c r="H190" s="0" t="n">
        <v>11</v>
      </c>
      <c r="I190" s="0" t="n">
        <v>86.4</v>
      </c>
      <c r="J190" s="0" t="n">
        <v>7.77</v>
      </c>
      <c r="K190" s="0" t="n">
        <v>0</v>
      </c>
      <c r="L190" s="0" t="n">
        <v>4.1</v>
      </c>
      <c r="M190" s="0" t="n">
        <v>625993.83</v>
      </c>
      <c r="N190" s="0" t="n">
        <v>98960.32</v>
      </c>
    </row>
    <row r="191" customFormat="false" ht="15" hidden="false" customHeight="false" outlineLevel="0" collapsed="false">
      <c r="A191" s="0" t="s">
        <v>73</v>
      </c>
      <c r="B191" s="0" t="s">
        <v>18</v>
      </c>
      <c r="C191" s="0" t="s">
        <v>16</v>
      </c>
      <c r="D191" s="0" t="s">
        <v>22</v>
      </c>
      <c r="E191" s="0" t="n">
        <v>55788.61</v>
      </c>
      <c r="F191" s="0" t="n">
        <v>2312</v>
      </c>
      <c r="G191" s="0" t="n">
        <v>0.058</v>
      </c>
      <c r="H191" s="0" t="n">
        <v>10</v>
      </c>
      <c r="I191" s="0" t="n">
        <v>91.3</v>
      </c>
      <c r="J191" s="0" t="n">
        <v>1.99</v>
      </c>
      <c r="K191" s="0" t="n">
        <v>0</v>
      </c>
      <c r="L191" s="0" t="n">
        <v>3.8</v>
      </c>
      <c r="M191" s="0" t="n">
        <v>550962.93</v>
      </c>
      <c r="N191" s="0" t="n">
        <v>97144.58</v>
      </c>
    </row>
    <row r="192" customFormat="false" ht="15" hidden="false" customHeight="false" outlineLevel="0" collapsed="false">
      <c r="A192" s="0" t="s">
        <v>73</v>
      </c>
      <c r="B192" s="0" t="s">
        <v>19</v>
      </c>
      <c r="C192" s="0" t="s">
        <v>16</v>
      </c>
      <c r="D192" s="0" t="s">
        <v>22</v>
      </c>
      <c r="E192" s="0" t="n">
        <v>37705.88</v>
      </c>
      <c r="F192" s="0" t="n">
        <v>1268</v>
      </c>
      <c r="G192" s="0" t="n">
        <v>0.259</v>
      </c>
      <c r="H192" s="0" t="n">
        <v>9</v>
      </c>
      <c r="I192" s="0" t="n">
        <v>84.1</v>
      </c>
      <c r="J192" s="0" t="n">
        <v>4.77</v>
      </c>
      <c r="K192" s="0" t="n">
        <v>0</v>
      </c>
      <c r="L192" s="0" t="n">
        <v>3.8</v>
      </c>
      <c r="M192" s="0" t="n">
        <v>443275.59</v>
      </c>
      <c r="N192" s="0" t="n">
        <v>53544.36</v>
      </c>
    </row>
    <row r="193" customFormat="false" ht="15" hidden="false" customHeight="false" outlineLevel="0" collapsed="false">
      <c r="A193" s="0" t="s">
        <v>73</v>
      </c>
      <c r="B193" s="0" t="s">
        <v>20</v>
      </c>
      <c r="C193" s="0" t="s">
        <v>16</v>
      </c>
      <c r="D193" s="0" t="s">
        <v>22</v>
      </c>
      <c r="E193" s="0" t="n">
        <v>54966.18</v>
      </c>
      <c r="F193" s="0" t="n">
        <v>4423</v>
      </c>
      <c r="G193" s="0" t="n">
        <v>0.186</v>
      </c>
      <c r="H193" s="0" t="n">
        <v>13</v>
      </c>
      <c r="I193" s="0" t="n">
        <v>88.7</v>
      </c>
      <c r="J193" s="0" t="n">
        <v>0.2</v>
      </c>
      <c r="K193" s="0" t="n">
        <v>0</v>
      </c>
      <c r="L193" s="0" t="n">
        <v>4.4</v>
      </c>
      <c r="M193" s="0" t="n">
        <v>554012.07</v>
      </c>
      <c r="N193" s="0" t="n">
        <v>81101.62</v>
      </c>
    </row>
    <row r="194" customFormat="false" ht="15" hidden="false" customHeight="false" outlineLevel="0" collapsed="false">
      <c r="A194" s="0" t="s">
        <v>74</v>
      </c>
      <c r="B194" s="0" t="s">
        <v>15</v>
      </c>
      <c r="C194" s="0" t="s">
        <v>31</v>
      </c>
      <c r="D194" s="0" t="s">
        <v>17</v>
      </c>
      <c r="E194" s="0" t="n">
        <v>81796.74</v>
      </c>
      <c r="F194" s="0" t="n">
        <v>6177</v>
      </c>
      <c r="G194" s="0" t="n">
        <v>0.164</v>
      </c>
      <c r="H194" s="0" t="n">
        <v>14</v>
      </c>
      <c r="I194" s="0" t="n">
        <v>87.9</v>
      </c>
      <c r="J194" s="0" t="n">
        <v>0.53</v>
      </c>
      <c r="K194" s="0" t="n">
        <v>0</v>
      </c>
      <c r="L194" s="0" t="n">
        <v>3.2</v>
      </c>
      <c r="M194" s="0" t="n">
        <v>643428.85</v>
      </c>
      <c r="N194" s="0" t="n">
        <v>94477.63</v>
      </c>
    </row>
    <row r="195" customFormat="false" ht="15" hidden="false" customHeight="false" outlineLevel="0" collapsed="false">
      <c r="A195" s="0" t="s">
        <v>74</v>
      </c>
      <c r="B195" s="0" t="s">
        <v>18</v>
      </c>
      <c r="C195" s="0" t="s">
        <v>31</v>
      </c>
      <c r="D195" s="0" t="s">
        <v>17</v>
      </c>
      <c r="E195" s="0" t="n">
        <v>51133.43</v>
      </c>
      <c r="F195" s="0" t="n">
        <v>5150</v>
      </c>
      <c r="G195" s="0" t="n">
        <v>0.15</v>
      </c>
      <c r="H195" s="0" t="n">
        <v>12</v>
      </c>
      <c r="I195" s="0" t="n">
        <v>88.5</v>
      </c>
      <c r="J195" s="0" t="n">
        <v>1.54</v>
      </c>
      <c r="K195" s="0" t="n">
        <v>0</v>
      </c>
      <c r="L195" s="0" t="n">
        <v>3.2</v>
      </c>
      <c r="M195" s="0" t="n">
        <v>611924.27</v>
      </c>
      <c r="N195" s="0" t="n">
        <v>115488.75</v>
      </c>
    </row>
    <row r="196" customFormat="false" ht="15" hidden="false" customHeight="false" outlineLevel="0" collapsed="false">
      <c r="A196" s="0" t="s">
        <v>74</v>
      </c>
      <c r="B196" s="0" t="s">
        <v>19</v>
      </c>
      <c r="C196" s="0" t="s">
        <v>31</v>
      </c>
      <c r="D196" s="0" t="s">
        <v>17</v>
      </c>
      <c r="E196" s="0" t="n">
        <v>40220.18</v>
      </c>
      <c r="F196" s="0" t="n">
        <v>3783</v>
      </c>
      <c r="G196" s="0" t="n">
        <v>0.089</v>
      </c>
      <c r="H196" s="0" t="n">
        <v>14</v>
      </c>
      <c r="I196" s="0" t="n">
        <v>86.6</v>
      </c>
      <c r="J196" s="0" t="n">
        <v>3.63</v>
      </c>
      <c r="K196" s="0" t="n">
        <v>0</v>
      </c>
      <c r="L196" s="0" t="n">
        <v>3.7</v>
      </c>
      <c r="M196" s="0" t="n">
        <v>559422.02</v>
      </c>
      <c r="N196" s="0" t="n">
        <v>73528.74</v>
      </c>
    </row>
    <row r="197" customFormat="false" ht="15" hidden="false" customHeight="false" outlineLevel="0" collapsed="false">
      <c r="A197" s="0" t="s">
        <v>74</v>
      </c>
      <c r="B197" s="0" t="s">
        <v>20</v>
      </c>
      <c r="C197" s="0" t="s">
        <v>31</v>
      </c>
      <c r="D197" s="0" t="s">
        <v>17</v>
      </c>
      <c r="E197" s="0" t="n">
        <v>41657.64</v>
      </c>
      <c r="F197" s="0" t="n">
        <v>3135</v>
      </c>
      <c r="G197" s="0" t="n">
        <v>0.229</v>
      </c>
      <c r="H197" s="0" t="n">
        <v>7</v>
      </c>
      <c r="I197" s="0" t="n">
        <v>85.4</v>
      </c>
      <c r="J197" s="0" t="n">
        <v>13.48</v>
      </c>
      <c r="K197" s="0" t="n">
        <v>0</v>
      </c>
      <c r="M197" s="0" t="n">
        <v>449465.06</v>
      </c>
      <c r="N197" s="0" t="n">
        <v>65694.78</v>
      </c>
    </row>
    <row r="198" customFormat="false" ht="15" hidden="false" customHeight="false" outlineLevel="0" collapsed="false">
      <c r="A198" s="0" t="s">
        <v>75</v>
      </c>
      <c r="B198" s="0" t="s">
        <v>15</v>
      </c>
      <c r="C198" s="0" t="s">
        <v>24</v>
      </c>
      <c r="D198" s="0" t="s">
        <v>17</v>
      </c>
      <c r="E198" s="0" t="n">
        <v>71851.45</v>
      </c>
      <c r="F198" s="0" t="n">
        <v>4970</v>
      </c>
      <c r="G198" s="0" t="n">
        <v>0.098</v>
      </c>
      <c r="H198" s="0" t="n">
        <v>11</v>
      </c>
      <c r="I198" s="0" t="n">
        <v>89.6</v>
      </c>
      <c r="J198" s="0" t="n">
        <v>0.2</v>
      </c>
      <c r="K198" s="0" t="n">
        <v>0</v>
      </c>
      <c r="L198" s="0" t="n">
        <v>4.2</v>
      </c>
      <c r="M198" s="0" t="n">
        <v>691447.43</v>
      </c>
      <c r="N198" s="0" t="n">
        <v>114077.69</v>
      </c>
    </row>
    <row r="199" customFormat="false" ht="15" hidden="false" customHeight="false" outlineLevel="0" collapsed="false">
      <c r="A199" s="0" t="s">
        <v>75</v>
      </c>
      <c r="B199" s="0" t="s">
        <v>18</v>
      </c>
      <c r="C199" s="0" t="s">
        <v>24</v>
      </c>
      <c r="D199" s="0" t="s">
        <v>17</v>
      </c>
      <c r="E199" s="0" t="n">
        <v>54002.83</v>
      </c>
      <c r="F199" s="0" t="n">
        <v>4366</v>
      </c>
      <c r="G199" s="0" t="n">
        <v>0.027</v>
      </c>
      <c r="H199" s="0" t="n">
        <v>15</v>
      </c>
      <c r="I199" s="0" t="n">
        <v>90.6</v>
      </c>
      <c r="J199" s="0" t="n">
        <v>12.82</v>
      </c>
      <c r="K199" s="0" t="n">
        <v>0</v>
      </c>
      <c r="L199" s="0" t="n">
        <v>4.6</v>
      </c>
      <c r="M199" s="0" t="n">
        <v>574066.61</v>
      </c>
      <c r="N199" s="0" t="n">
        <v>124674.67</v>
      </c>
    </row>
    <row r="200" customFormat="false" ht="15" hidden="false" customHeight="false" outlineLevel="0" collapsed="false">
      <c r="A200" s="0" t="s">
        <v>75</v>
      </c>
      <c r="B200" s="0" t="s">
        <v>19</v>
      </c>
      <c r="C200" s="0" t="s">
        <v>24</v>
      </c>
      <c r="D200" s="0" t="s">
        <v>17</v>
      </c>
      <c r="E200" s="0" t="n">
        <v>54479.33</v>
      </c>
      <c r="F200" s="0" t="n">
        <v>5012</v>
      </c>
      <c r="G200" s="0" t="n">
        <v>0.284</v>
      </c>
      <c r="H200" s="0" t="n">
        <v>13</v>
      </c>
      <c r="I200" s="0" t="n">
        <v>86</v>
      </c>
      <c r="J200" s="0" t="n">
        <v>2.24</v>
      </c>
      <c r="K200" s="0" t="n">
        <v>1</v>
      </c>
      <c r="L200" s="0" t="n">
        <v>4.3</v>
      </c>
      <c r="M200" s="0" t="n">
        <v>578949.84</v>
      </c>
      <c r="N200" s="0" t="n">
        <v>80253.65</v>
      </c>
    </row>
    <row r="201" customFormat="false" ht="15" hidden="false" customHeight="false" outlineLevel="0" collapsed="false">
      <c r="A201" s="0" t="s">
        <v>75</v>
      </c>
      <c r="B201" s="0" t="s">
        <v>20</v>
      </c>
      <c r="C201" s="0" t="s">
        <v>24</v>
      </c>
      <c r="D201" s="0" t="s">
        <v>17</v>
      </c>
      <c r="E201" s="0" t="n">
        <v>61391.8</v>
      </c>
      <c r="F201" s="0" t="n">
        <v>5575</v>
      </c>
      <c r="G201" s="0" t="n">
        <v>0.189</v>
      </c>
      <c r="H201" s="0" t="n">
        <v>18</v>
      </c>
      <c r="I201" s="0" t="n">
        <v>90</v>
      </c>
      <c r="J201" s="0" t="n">
        <v>1.8</v>
      </c>
      <c r="K201" s="0" t="n">
        <v>0</v>
      </c>
      <c r="L201" s="0" t="n">
        <v>4.8</v>
      </c>
      <c r="M201" s="0" t="n">
        <v>735786.64</v>
      </c>
      <c r="N201" s="0" t="n">
        <v>126540.66</v>
      </c>
    </row>
    <row r="202" customFormat="false" ht="15" hidden="false" customHeight="false" outlineLevel="0" collapsed="false">
      <c r="A202" s="0" t="s">
        <v>76</v>
      </c>
      <c r="B202" s="0" t="s">
        <v>15</v>
      </c>
      <c r="C202" s="0" t="s">
        <v>16</v>
      </c>
      <c r="D202" s="0" t="s">
        <v>25</v>
      </c>
      <c r="E202" s="0" t="n">
        <v>22312.93</v>
      </c>
      <c r="F202" s="0" t="n">
        <v>5955</v>
      </c>
      <c r="G202" s="0" t="n">
        <v>0.123</v>
      </c>
      <c r="H202" s="0" t="n">
        <v>13</v>
      </c>
      <c r="I202" s="0" t="n">
        <v>84.2</v>
      </c>
      <c r="J202" s="0" t="n">
        <v>0.41</v>
      </c>
      <c r="K202" s="0" t="n">
        <v>1</v>
      </c>
      <c r="L202" s="0" t="n">
        <v>4.6</v>
      </c>
      <c r="M202" s="0" t="n">
        <v>598904.9</v>
      </c>
      <c r="N202" s="0" t="n">
        <v>72861</v>
      </c>
    </row>
    <row r="203" customFormat="false" ht="15" hidden="false" customHeight="false" outlineLevel="0" collapsed="false">
      <c r="A203" s="0" t="s">
        <v>76</v>
      </c>
      <c r="B203" s="0" t="s">
        <v>18</v>
      </c>
      <c r="C203" s="0" t="s">
        <v>16</v>
      </c>
      <c r="D203" s="0" t="s">
        <v>25</v>
      </c>
      <c r="E203" s="0" t="n">
        <v>78111.97</v>
      </c>
      <c r="F203" s="0" t="n">
        <v>6389</v>
      </c>
      <c r="G203" s="0" t="n">
        <v>0.15</v>
      </c>
      <c r="H203" s="0" t="n">
        <v>13</v>
      </c>
      <c r="I203" s="0" t="n">
        <v>83.9</v>
      </c>
      <c r="J203" s="0" t="n">
        <v>3.05</v>
      </c>
      <c r="K203" s="0" t="n">
        <v>0</v>
      </c>
      <c r="L203" s="0" t="n">
        <v>4.8</v>
      </c>
      <c r="M203" s="0" t="n">
        <v>787715.51</v>
      </c>
      <c r="N203" s="0" t="n">
        <v>128969.62</v>
      </c>
    </row>
    <row r="204" customFormat="false" ht="15" hidden="false" customHeight="false" outlineLevel="0" collapsed="false">
      <c r="A204" s="0" t="s">
        <v>76</v>
      </c>
      <c r="B204" s="0" t="s">
        <v>19</v>
      </c>
      <c r="C204" s="0" t="s">
        <v>16</v>
      </c>
      <c r="D204" s="0" t="s">
        <v>25</v>
      </c>
      <c r="E204" s="0" t="n">
        <v>35203.23</v>
      </c>
      <c r="F204" s="0" t="n">
        <v>6896</v>
      </c>
      <c r="G204" s="0" t="n">
        <v>0.032</v>
      </c>
      <c r="H204" s="0" t="n">
        <v>14</v>
      </c>
      <c r="I204" s="0" t="n">
        <v>80.8</v>
      </c>
      <c r="J204" s="0" t="n">
        <v>8.44</v>
      </c>
      <c r="K204" s="0" t="n">
        <v>1</v>
      </c>
      <c r="L204" s="0" t="n">
        <v>5</v>
      </c>
      <c r="M204" s="0" t="n">
        <v>607084.92</v>
      </c>
      <c r="N204" s="0" t="n">
        <v>98558.49</v>
      </c>
    </row>
    <row r="205" customFormat="false" ht="15" hidden="false" customHeight="false" outlineLevel="0" collapsed="false">
      <c r="A205" s="0" t="s">
        <v>76</v>
      </c>
      <c r="B205" s="0" t="s">
        <v>20</v>
      </c>
      <c r="C205" s="0" t="s">
        <v>16</v>
      </c>
      <c r="D205" s="0" t="s">
        <v>25</v>
      </c>
      <c r="E205" s="0" t="n">
        <v>64104.28</v>
      </c>
      <c r="F205" s="0" t="n">
        <v>6015</v>
      </c>
      <c r="G205" s="0" t="n">
        <v>0.127</v>
      </c>
      <c r="H205" s="0" t="n">
        <v>15</v>
      </c>
      <c r="I205" s="0" t="n">
        <v>88.7</v>
      </c>
      <c r="J205" s="0" t="n">
        <v>0.78</v>
      </c>
      <c r="K205" s="0" t="n">
        <v>0</v>
      </c>
      <c r="L205" s="0" t="n">
        <v>4</v>
      </c>
      <c r="M205" s="0" t="n">
        <v>650795.49</v>
      </c>
      <c r="N205" s="0" t="n">
        <v>103035.89</v>
      </c>
    </row>
    <row r="206" customFormat="false" ht="15" hidden="false" customHeight="false" outlineLevel="0" collapsed="false">
      <c r="A206" s="0" t="s">
        <v>77</v>
      </c>
      <c r="B206" s="0" t="s">
        <v>15</v>
      </c>
      <c r="C206" s="0" t="s">
        <v>16</v>
      </c>
      <c r="D206" s="0" t="s">
        <v>32</v>
      </c>
      <c r="E206" s="0" t="n">
        <v>92090.14</v>
      </c>
      <c r="F206" s="0" t="n">
        <v>9476</v>
      </c>
      <c r="G206" s="0" t="n">
        <v>0.07</v>
      </c>
      <c r="H206" s="0" t="n">
        <v>24</v>
      </c>
      <c r="I206" s="0" t="n">
        <v>94.3</v>
      </c>
      <c r="J206" s="0" t="n">
        <v>0.87</v>
      </c>
      <c r="K206" s="0" t="n">
        <v>0</v>
      </c>
      <c r="L206" s="0" t="n">
        <v>3.7</v>
      </c>
      <c r="M206" s="0" t="n">
        <v>825060.52</v>
      </c>
      <c r="N206" s="0" t="n">
        <v>143613.15</v>
      </c>
    </row>
    <row r="207" customFormat="false" ht="15" hidden="false" customHeight="false" outlineLevel="0" collapsed="false">
      <c r="A207" s="0" t="s">
        <v>77</v>
      </c>
      <c r="B207" s="0" t="s">
        <v>18</v>
      </c>
      <c r="C207" s="0" t="s">
        <v>16</v>
      </c>
      <c r="D207" s="0" t="s">
        <v>32</v>
      </c>
      <c r="E207" s="0" t="n">
        <v>54300.87</v>
      </c>
      <c r="F207" s="0" t="n">
        <v>7875</v>
      </c>
      <c r="G207" s="0" t="n">
        <v>0.107</v>
      </c>
      <c r="H207" s="0" t="n">
        <v>19</v>
      </c>
      <c r="I207" s="0" t="n">
        <v>94.1</v>
      </c>
      <c r="J207" s="0" t="n">
        <v>0.95</v>
      </c>
      <c r="K207" s="0" t="n">
        <v>0</v>
      </c>
      <c r="L207" s="0" t="n">
        <v>3.7</v>
      </c>
      <c r="M207" s="0" t="n">
        <v>795464.47</v>
      </c>
      <c r="N207" s="0" t="n">
        <v>161150.52</v>
      </c>
    </row>
    <row r="208" customFormat="false" ht="15" hidden="false" customHeight="false" outlineLevel="0" collapsed="false">
      <c r="A208" s="0" t="s">
        <v>77</v>
      </c>
      <c r="B208" s="0" t="s">
        <v>19</v>
      </c>
      <c r="C208" s="0" t="s">
        <v>16</v>
      </c>
      <c r="D208" s="0" t="s">
        <v>32</v>
      </c>
      <c r="E208" s="0" t="n">
        <v>37983.35</v>
      </c>
      <c r="F208" s="0" t="n">
        <v>9283</v>
      </c>
      <c r="G208" s="0" t="n">
        <v>0.149</v>
      </c>
      <c r="H208" s="0" t="n">
        <v>19</v>
      </c>
      <c r="I208" s="0" t="n">
        <v>83.2</v>
      </c>
      <c r="J208" s="0" t="n">
        <v>3.82</v>
      </c>
      <c r="K208" s="0" t="n">
        <v>0</v>
      </c>
      <c r="L208" s="0" t="n">
        <v>3.7</v>
      </c>
      <c r="M208" s="0" t="n">
        <v>671868.59</v>
      </c>
      <c r="N208" s="0" t="n">
        <v>71003.28</v>
      </c>
    </row>
    <row r="209" customFormat="false" ht="15" hidden="false" customHeight="false" outlineLevel="0" collapsed="false">
      <c r="A209" s="0" t="s">
        <v>77</v>
      </c>
      <c r="B209" s="0" t="s">
        <v>20</v>
      </c>
      <c r="C209" s="0" t="s">
        <v>16</v>
      </c>
      <c r="D209" s="0" t="s">
        <v>32</v>
      </c>
      <c r="E209" s="0" t="n">
        <v>56413.83</v>
      </c>
      <c r="F209" s="0" t="n">
        <v>8303</v>
      </c>
      <c r="G209" s="0" t="n">
        <v>0.116</v>
      </c>
      <c r="H209" s="0" t="n">
        <v>18</v>
      </c>
      <c r="I209" s="0" t="n">
        <v>93.6</v>
      </c>
      <c r="J209" s="0" t="n">
        <v>2.7</v>
      </c>
      <c r="K209" s="0" t="n">
        <v>0</v>
      </c>
      <c r="L209" s="0" t="n">
        <v>3.7</v>
      </c>
      <c r="M209" s="0" t="n">
        <v>675917.63</v>
      </c>
      <c r="N209" s="0" t="n">
        <v>112564.75</v>
      </c>
    </row>
    <row r="210" customFormat="false" ht="15" hidden="false" customHeight="false" outlineLevel="0" collapsed="false">
      <c r="A210" s="0" t="s">
        <v>78</v>
      </c>
      <c r="B210" s="0" t="s">
        <v>15</v>
      </c>
      <c r="C210" s="0" t="s">
        <v>16</v>
      </c>
      <c r="D210" s="0" t="s">
        <v>22</v>
      </c>
      <c r="E210" s="0" t="n">
        <v>63457.19</v>
      </c>
      <c r="F210" s="0" t="n">
        <v>10125</v>
      </c>
      <c r="G210" s="0" t="n">
        <v>0.097</v>
      </c>
      <c r="H210" s="0" t="n">
        <v>24</v>
      </c>
      <c r="I210" s="0" t="n">
        <v>87</v>
      </c>
      <c r="J210" s="0" t="n">
        <v>3.84</v>
      </c>
      <c r="K210" s="0" t="n">
        <v>1</v>
      </c>
      <c r="L210" s="0" t="n">
        <v>3.7</v>
      </c>
      <c r="M210" s="0" t="n">
        <v>810446.53</v>
      </c>
      <c r="N210" s="0" t="n">
        <v>200575.34</v>
      </c>
    </row>
    <row r="211" customFormat="false" ht="15" hidden="false" customHeight="false" outlineLevel="0" collapsed="false">
      <c r="A211" s="0" t="s">
        <v>78</v>
      </c>
      <c r="B211" s="0" t="s">
        <v>18</v>
      </c>
      <c r="C211" s="0" t="s">
        <v>16</v>
      </c>
      <c r="D211" s="0" t="s">
        <v>22</v>
      </c>
      <c r="E211" s="0" t="n">
        <v>62949.7</v>
      </c>
      <c r="F211" s="0" t="n">
        <v>9458</v>
      </c>
      <c r="G211" s="0" t="n">
        <v>0.171</v>
      </c>
      <c r="H211" s="0" t="n">
        <v>19</v>
      </c>
      <c r="I211" s="0" t="n">
        <v>84.9</v>
      </c>
      <c r="J211" s="0" t="n">
        <v>5.09</v>
      </c>
      <c r="K211" s="0" t="n">
        <v>0</v>
      </c>
      <c r="L211" s="0" t="n">
        <v>3.3</v>
      </c>
      <c r="M211" s="0" t="n">
        <v>691288.19</v>
      </c>
      <c r="N211" s="0" t="n">
        <v>159074.14</v>
      </c>
    </row>
    <row r="212" customFormat="false" ht="15" hidden="false" customHeight="false" outlineLevel="0" collapsed="false">
      <c r="A212" s="0" t="s">
        <v>78</v>
      </c>
      <c r="B212" s="0" t="s">
        <v>19</v>
      </c>
      <c r="C212" s="0" t="s">
        <v>16</v>
      </c>
      <c r="D212" s="0" t="s">
        <v>22</v>
      </c>
      <c r="E212" s="0" t="n">
        <v>107970.19</v>
      </c>
      <c r="F212" s="0" t="n">
        <v>12870</v>
      </c>
      <c r="G212" s="0" t="n">
        <v>0.029</v>
      </c>
      <c r="H212" s="0" t="n">
        <v>31</v>
      </c>
      <c r="I212" s="0" t="n">
        <v>91.7</v>
      </c>
      <c r="J212" s="0" t="n">
        <v>3.82</v>
      </c>
      <c r="K212" s="0" t="n">
        <v>1</v>
      </c>
      <c r="L212" s="0" t="n">
        <v>3.7</v>
      </c>
      <c r="M212" s="0" t="n">
        <v>946833.54</v>
      </c>
      <c r="N212" s="0" t="n">
        <v>184540.31</v>
      </c>
    </row>
    <row r="213" customFormat="false" ht="15" hidden="false" customHeight="false" outlineLevel="0" collapsed="false">
      <c r="A213" s="0" t="s">
        <v>78</v>
      </c>
      <c r="B213" s="0" t="s">
        <v>20</v>
      </c>
      <c r="C213" s="0" t="s">
        <v>16</v>
      </c>
      <c r="D213" s="0" t="s">
        <v>22</v>
      </c>
      <c r="E213" s="0" t="n">
        <v>49405.75</v>
      </c>
      <c r="F213" s="0" t="n">
        <v>9752</v>
      </c>
      <c r="G213" s="0" t="n">
        <v>0.093</v>
      </c>
      <c r="H213" s="0" t="n">
        <v>21</v>
      </c>
      <c r="I213" s="0" t="n">
        <v>87</v>
      </c>
      <c r="J213" s="0" t="n">
        <v>12.28</v>
      </c>
      <c r="K213" s="0" t="n">
        <v>0</v>
      </c>
      <c r="L213" s="0" t="n">
        <v>4.1</v>
      </c>
      <c r="M213" s="0" t="n">
        <v>761963.23</v>
      </c>
      <c r="N213" s="0" t="n">
        <v>150113.61</v>
      </c>
    </row>
    <row r="214" customFormat="false" ht="15" hidden="false" customHeight="false" outlineLevel="0" collapsed="false">
      <c r="A214" s="0" t="s">
        <v>79</v>
      </c>
      <c r="B214" s="0" t="s">
        <v>15</v>
      </c>
      <c r="C214" s="0" t="s">
        <v>31</v>
      </c>
      <c r="D214" s="0" t="s">
        <v>17</v>
      </c>
      <c r="E214" s="0" t="n">
        <v>50887.46</v>
      </c>
      <c r="F214" s="0" t="n">
        <v>9505</v>
      </c>
      <c r="G214" s="0" t="n">
        <v>0.091</v>
      </c>
      <c r="H214" s="0" t="n">
        <v>25</v>
      </c>
      <c r="I214" s="0" t="n">
        <v>89.7</v>
      </c>
      <c r="J214" s="0" t="n">
        <v>2.8</v>
      </c>
      <c r="K214" s="0" t="n">
        <v>0</v>
      </c>
      <c r="L214" s="0" t="n">
        <v>4.3</v>
      </c>
      <c r="M214" s="0" t="n">
        <v>812152.6</v>
      </c>
      <c r="N214" s="0" t="n">
        <v>138419.43</v>
      </c>
    </row>
    <row r="215" customFormat="false" ht="15" hidden="false" customHeight="false" outlineLevel="0" collapsed="false">
      <c r="A215" s="0" t="s">
        <v>79</v>
      </c>
      <c r="B215" s="0" t="s">
        <v>18</v>
      </c>
      <c r="C215" s="0" t="s">
        <v>31</v>
      </c>
      <c r="D215" s="0" t="s">
        <v>17</v>
      </c>
      <c r="E215" s="0" t="n">
        <v>41819.45</v>
      </c>
      <c r="F215" s="0" t="n">
        <v>9412</v>
      </c>
      <c r="G215" s="0" t="n">
        <v>0.15</v>
      </c>
      <c r="H215" s="0" t="n">
        <v>22</v>
      </c>
      <c r="I215" s="0" t="n">
        <v>91</v>
      </c>
      <c r="J215" s="0" t="n">
        <v>3.67</v>
      </c>
      <c r="K215" s="0" t="n">
        <v>0</v>
      </c>
      <c r="L215" s="0" t="n">
        <v>4.2</v>
      </c>
      <c r="M215" s="0" t="n">
        <v>804975.5</v>
      </c>
      <c r="N215" s="0" t="n">
        <v>140054.5</v>
      </c>
    </row>
    <row r="216" customFormat="false" ht="15" hidden="false" customHeight="false" outlineLevel="0" collapsed="false">
      <c r="A216" s="0" t="s">
        <v>79</v>
      </c>
      <c r="B216" s="0" t="s">
        <v>19</v>
      </c>
      <c r="C216" s="0" t="s">
        <v>31</v>
      </c>
      <c r="D216" s="0" t="s">
        <v>17</v>
      </c>
      <c r="E216" s="0" t="n">
        <v>35296.54</v>
      </c>
      <c r="F216" s="0" t="n">
        <v>9644</v>
      </c>
      <c r="G216" s="0" t="n">
        <v>0</v>
      </c>
      <c r="H216" s="0" t="n">
        <v>22</v>
      </c>
      <c r="I216" s="0" t="n">
        <v>88</v>
      </c>
      <c r="J216" s="0" t="n">
        <v>2.81</v>
      </c>
      <c r="K216" s="0" t="n">
        <v>0</v>
      </c>
      <c r="L216" s="0" t="n">
        <v>4.7</v>
      </c>
      <c r="M216" s="0" t="n">
        <v>752321.72</v>
      </c>
      <c r="N216" s="0" t="n">
        <v>137788.51</v>
      </c>
    </row>
    <row r="217" customFormat="false" ht="15" hidden="false" customHeight="false" outlineLevel="0" collapsed="false">
      <c r="A217" s="0" t="s">
        <v>79</v>
      </c>
      <c r="B217" s="0" t="s">
        <v>20</v>
      </c>
      <c r="C217" s="0" t="s">
        <v>31</v>
      </c>
      <c r="D217" s="0" t="s">
        <v>17</v>
      </c>
      <c r="E217" s="0" t="n">
        <v>47391.09</v>
      </c>
      <c r="F217" s="0" t="n">
        <v>11224</v>
      </c>
      <c r="G217" s="0" t="n">
        <v>0.147</v>
      </c>
      <c r="H217" s="0" t="n">
        <v>25</v>
      </c>
      <c r="I217" s="0" t="n">
        <v>88.4</v>
      </c>
      <c r="J217" s="0" t="n">
        <v>2.44</v>
      </c>
      <c r="K217" s="0" t="n">
        <v>0</v>
      </c>
      <c r="L217" s="0" t="n">
        <v>4.9</v>
      </c>
      <c r="M217" s="0" t="n">
        <v>836908.24</v>
      </c>
      <c r="N217" s="0" t="n">
        <v>141090.26</v>
      </c>
    </row>
    <row r="218" customFormat="false" ht="15" hidden="false" customHeight="false" outlineLevel="0" collapsed="false">
      <c r="A218" s="0" t="s">
        <v>80</v>
      </c>
      <c r="B218" s="0" t="s">
        <v>15</v>
      </c>
      <c r="C218" s="0" t="s">
        <v>24</v>
      </c>
      <c r="D218" s="0" t="s">
        <v>25</v>
      </c>
      <c r="E218" s="0" t="n">
        <v>69180.54</v>
      </c>
      <c r="F218" s="0" t="n">
        <v>5394</v>
      </c>
      <c r="G218" s="0" t="n">
        <v>0.126</v>
      </c>
      <c r="H218" s="0" t="n">
        <v>12</v>
      </c>
      <c r="I218" s="0" t="n">
        <v>82.9</v>
      </c>
      <c r="J218" s="0" t="n">
        <v>3.27</v>
      </c>
      <c r="K218" s="0" t="n">
        <v>0</v>
      </c>
      <c r="L218" s="0" t="n">
        <v>3.3</v>
      </c>
      <c r="M218" s="0" t="n">
        <v>674289.1</v>
      </c>
      <c r="N218" s="0" t="n">
        <v>117773.79</v>
      </c>
    </row>
    <row r="219" customFormat="false" ht="15" hidden="false" customHeight="false" outlineLevel="0" collapsed="false">
      <c r="A219" s="0" t="s">
        <v>80</v>
      </c>
      <c r="B219" s="0" t="s">
        <v>18</v>
      </c>
      <c r="C219" s="0" t="s">
        <v>24</v>
      </c>
      <c r="D219" s="0" t="s">
        <v>25</v>
      </c>
      <c r="E219" s="0" t="n">
        <v>33987.33</v>
      </c>
      <c r="F219" s="0" t="n">
        <v>5014</v>
      </c>
      <c r="G219" s="0" t="n">
        <v>0.246</v>
      </c>
      <c r="H219" s="0" t="n">
        <v>17</v>
      </c>
      <c r="I219" s="0" t="n">
        <v>94.3</v>
      </c>
      <c r="J219" s="0" t="n">
        <v>10.34</v>
      </c>
      <c r="K219" s="0" t="n">
        <v>0</v>
      </c>
      <c r="L219" s="0" t="n">
        <v>3.9</v>
      </c>
      <c r="M219" s="0" t="n">
        <v>622892.42</v>
      </c>
      <c r="N219" s="0" t="n">
        <v>101032.52</v>
      </c>
    </row>
    <row r="220" customFormat="false" ht="15" hidden="false" customHeight="false" outlineLevel="0" collapsed="false">
      <c r="A220" s="0" t="s">
        <v>80</v>
      </c>
      <c r="B220" s="0" t="s">
        <v>19</v>
      </c>
      <c r="C220" s="0" t="s">
        <v>24</v>
      </c>
      <c r="D220" s="0" t="s">
        <v>25</v>
      </c>
      <c r="E220" s="0" t="n">
        <v>58785.33</v>
      </c>
      <c r="F220" s="0" t="n">
        <v>4467</v>
      </c>
      <c r="G220" s="0" t="n">
        <v>0.229</v>
      </c>
      <c r="H220" s="0" t="n">
        <v>14</v>
      </c>
      <c r="I220" s="0" t="n">
        <v>90.7</v>
      </c>
      <c r="J220" s="0" t="n">
        <v>1.92</v>
      </c>
      <c r="K220" s="0" t="n">
        <v>0</v>
      </c>
      <c r="L220" s="0" t="n">
        <v>3.7</v>
      </c>
      <c r="M220" s="0" t="n">
        <v>673348.56</v>
      </c>
      <c r="N220" s="0" t="n">
        <v>69464.59</v>
      </c>
    </row>
    <row r="221" customFormat="false" ht="15" hidden="false" customHeight="false" outlineLevel="0" collapsed="false">
      <c r="A221" s="0" t="s">
        <v>80</v>
      </c>
      <c r="B221" s="0" t="s">
        <v>20</v>
      </c>
      <c r="C221" s="0" t="s">
        <v>24</v>
      </c>
      <c r="D221" s="0" t="s">
        <v>25</v>
      </c>
      <c r="E221" s="0" t="n">
        <v>16451.85</v>
      </c>
      <c r="F221" s="0" t="n">
        <v>4678</v>
      </c>
      <c r="G221" s="0" t="n">
        <v>0.133</v>
      </c>
      <c r="H221" s="0" t="n">
        <v>11</v>
      </c>
      <c r="I221" s="0" t="n">
        <v>95.9</v>
      </c>
      <c r="J221" s="0" t="n">
        <v>3.1</v>
      </c>
      <c r="K221" s="0" t="n">
        <v>0</v>
      </c>
      <c r="L221" s="0" t="n">
        <v>3.9</v>
      </c>
      <c r="M221" s="0" t="n">
        <v>606278.3</v>
      </c>
      <c r="N221" s="0" t="n">
        <v>102213.26</v>
      </c>
    </row>
    <row r="222" customFormat="false" ht="15" hidden="false" customHeight="false" outlineLevel="0" collapsed="false">
      <c r="A222" s="0" t="s">
        <v>81</v>
      </c>
      <c r="B222" s="0" t="s">
        <v>15</v>
      </c>
      <c r="C222" s="0" t="s">
        <v>16</v>
      </c>
      <c r="D222" s="0" t="s">
        <v>22</v>
      </c>
      <c r="E222" s="0" t="n">
        <v>53367.73</v>
      </c>
      <c r="F222" s="0" t="n">
        <v>7291</v>
      </c>
      <c r="G222" s="0" t="n">
        <v>0.146</v>
      </c>
      <c r="H222" s="0" t="n">
        <v>18</v>
      </c>
      <c r="I222" s="0" t="n">
        <v>90.6</v>
      </c>
      <c r="J222" s="0" t="n">
        <v>6.34</v>
      </c>
      <c r="K222" s="0" t="n">
        <v>1</v>
      </c>
      <c r="L222" s="0" t="n">
        <v>3.8</v>
      </c>
      <c r="M222" s="0" t="n">
        <v>712219.81</v>
      </c>
      <c r="N222" s="0" t="n">
        <v>85906.54</v>
      </c>
    </row>
    <row r="223" customFormat="false" ht="15" hidden="false" customHeight="false" outlineLevel="0" collapsed="false">
      <c r="A223" s="0" t="s">
        <v>81</v>
      </c>
      <c r="B223" s="0" t="s">
        <v>18</v>
      </c>
      <c r="C223" s="0" t="s">
        <v>16</v>
      </c>
      <c r="D223" s="0" t="s">
        <v>22</v>
      </c>
      <c r="E223" s="0" t="n">
        <v>27194.64</v>
      </c>
      <c r="F223" s="0" t="n">
        <v>7404</v>
      </c>
      <c r="G223" s="0" t="n">
        <v>0.088</v>
      </c>
      <c r="H223" s="0" t="n">
        <v>18</v>
      </c>
      <c r="I223" s="0" t="n">
        <v>90.2</v>
      </c>
      <c r="J223" s="0" t="n">
        <v>1.2</v>
      </c>
      <c r="K223" s="0" t="n">
        <v>0</v>
      </c>
      <c r="L223" s="0" t="n">
        <v>3.4</v>
      </c>
      <c r="M223" s="0" t="n">
        <v>672670.54</v>
      </c>
      <c r="N223" s="0" t="n">
        <v>132684.18</v>
      </c>
    </row>
    <row r="224" customFormat="false" ht="15" hidden="false" customHeight="false" outlineLevel="0" collapsed="false">
      <c r="A224" s="0" t="s">
        <v>81</v>
      </c>
      <c r="B224" s="0" t="s">
        <v>19</v>
      </c>
      <c r="C224" s="0" t="s">
        <v>16</v>
      </c>
      <c r="D224" s="0" t="s">
        <v>22</v>
      </c>
      <c r="E224" s="0" t="n">
        <v>66962.74</v>
      </c>
      <c r="F224" s="0" t="n">
        <v>7880</v>
      </c>
      <c r="G224" s="0" t="n">
        <v>0.116</v>
      </c>
      <c r="H224" s="0" t="n">
        <v>19</v>
      </c>
      <c r="I224" s="0" t="n">
        <v>90.4</v>
      </c>
      <c r="J224" s="0" t="n">
        <v>4.5</v>
      </c>
      <c r="K224" s="0" t="n">
        <v>0</v>
      </c>
      <c r="L224" s="0" t="n">
        <v>3.3</v>
      </c>
      <c r="M224" s="0" t="n">
        <v>732667.92</v>
      </c>
      <c r="N224" s="0" t="n">
        <v>128654.46</v>
      </c>
    </row>
    <row r="225" customFormat="false" ht="15" hidden="false" customHeight="false" outlineLevel="0" collapsed="false">
      <c r="A225" s="0" t="s">
        <v>81</v>
      </c>
      <c r="B225" s="0" t="s">
        <v>20</v>
      </c>
      <c r="C225" s="0" t="s">
        <v>16</v>
      </c>
      <c r="D225" s="0" t="s">
        <v>22</v>
      </c>
      <c r="E225" s="0" t="n">
        <v>73540.99</v>
      </c>
      <c r="F225" s="0" t="n">
        <v>8773</v>
      </c>
      <c r="G225" s="0" t="n">
        <v>0.035</v>
      </c>
      <c r="H225" s="0" t="n">
        <v>21</v>
      </c>
      <c r="I225" s="0" t="n">
        <v>84.4</v>
      </c>
      <c r="J225" s="0" t="n">
        <v>6.68</v>
      </c>
      <c r="K225" s="0" t="n">
        <v>0</v>
      </c>
      <c r="L225" s="0" t="n">
        <v>3.6</v>
      </c>
      <c r="M225" s="0" t="n">
        <v>723531.4</v>
      </c>
      <c r="N225" s="0" t="n">
        <v>108794.85</v>
      </c>
    </row>
    <row r="226" customFormat="false" ht="15" hidden="false" customHeight="false" outlineLevel="0" collapsed="false">
      <c r="A226" s="0" t="s">
        <v>82</v>
      </c>
      <c r="B226" s="0" t="s">
        <v>15</v>
      </c>
      <c r="C226" s="0" t="s">
        <v>16</v>
      </c>
      <c r="D226" s="0" t="s">
        <v>32</v>
      </c>
      <c r="E226" s="0" t="n">
        <v>68212.29</v>
      </c>
      <c r="F226" s="0" t="n">
        <v>4713</v>
      </c>
      <c r="G226" s="0" t="n">
        <v>0.198</v>
      </c>
      <c r="H226" s="0" t="n">
        <v>15</v>
      </c>
      <c r="I226" s="0" t="n">
        <v>82.6</v>
      </c>
      <c r="J226" s="0" t="n">
        <v>4.07</v>
      </c>
      <c r="K226" s="0" t="n">
        <v>1</v>
      </c>
      <c r="L226" s="0" t="n">
        <v>3</v>
      </c>
      <c r="M226" s="0" t="n">
        <v>641564.6</v>
      </c>
      <c r="N226" s="0" t="n">
        <v>90468.96</v>
      </c>
    </row>
    <row r="227" customFormat="false" ht="15" hidden="false" customHeight="false" outlineLevel="0" collapsed="false">
      <c r="A227" s="0" t="s">
        <v>82</v>
      </c>
      <c r="B227" s="0" t="s">
        <v>18</v>
      </c>
      <c r="C227" s="0" t="s">
        <v>16</v>
      </c>
      <c r="D227" s="0" t="s">
        <v>32</v>
      </c>
      <c r="E227" s="0" t="n">
        <v>57225.98</v>
      </c>
      <c r="F227" s="0" t="n">
        <v>2842</v>
      </c>
      <c r="G227" s="0" t="n">
        <v>0.112</v>
      </c>
      <c r="H227" s="0" t="n">
        <v>10</v>
      </c>
      <c r="I227" s="0" t="n">
        <v>79.5</v>
      </c>
      <c r="J227" s="0" t="n">
        <v>5.45</v>
      </c>
      <c r="K227" s="0" t="n">
        <v>0</v>
      </c>
      <c r="L227" s="0" t="n">
        <v>3.4</v>
      </c>
      <c r="M227" s="0" t="n">
        <v>536545.49</v>
      </c>
      <c r="N227" s="0" t="n">
        <v>97917.45</v>
      </c>
    </row>
    <row r="228" customFormat="false" ht="15" hidden="false" customHeight="false" outlineLevel="0" collapsed="false">
      <c r="A228" s="0" t="s">
        <v>82</v>
      </c>
      <c r="B228" s="0" t="s">
        <v>19</v>
      </c>
      <c r="C228" s="0" t="s">
        <v>16</v>
      </c>
      <c r="D228" s="0" t="s">
        <v>32</v>
      </c>
      <c r="E228" s="0" t="n">
        <v>42932.02</v>
      </c>
      <c r="F228" s="0" t="n">
        <v>3872</v>
      </c>
      <c r="G228" s="0" t="n">
        <v>0.171</v>
      </c>
      <c r="H228" s="0" t="n">
        <v>12</v>
      </c>
      <c r="I228" s="0" t="n">
        <v>83.2</v>
      </c>
      <c r="J228" s="0" t="n">
        <v>15.58</v>
      </c>
      <c r="K228" s="0" t="n">
        <v>0</v>
      </c>
      <c r="L228" s="0" t="n">
        <v>3.3</v>
      </c>
      <c r="M228" s="0" t="n">
        <v>527681.56</v>
      </c>
      <c r="N228" s="0" t="n">
        <v>63153.05</v>
      </c>
    </row>
    <row r="229" customFormat="false" ht="15" hidden="false" customHeight="false" outlineLevel="0" collapsed="false">
      <c r="A229" s="0" t="s">
        <v>82</v>
      </c>
      <c r="B229" s="0" t="s">
        <v>20</v>
      </c>
      <c r="C229" s="0" t="s">
        <v>16</v>
      </c>
      <c r="D229" s="0" t="s">
        <v>32</v>
      </c>
      <c r="E229" s="0" t="n">
        <v>39341.45</v>
      </c>
      <c r="F229" s="0" t="n">
        <v>1375</v>
      </c>
      <c r="G229" s="0" t="n">
        <v>0.093</v>
      </c>
      <c r="H229" s="0" t="n">
        <v>5</v>
      </c>
      <c r="I229" s="0" t="n">
        <v>95</v>
      </c>
      <c r="J229" s="0" t="n">
        <v>5.32</v>
      </c>
      <c r="K229" s="0" t="n">
        <v>0</v>
      </c>
      <c r="M229" s="0" t="n">
        <v>529598.94</v>
      </c>
      <c r="N229" s="0" t="n">
        <v>84334.33</v>
      </c>
    </row>
    <row r="230" customFormat="false" ht="15" hidden="false" customHeight="false" outlineLevel="0" collapsed="false">
      <c r="A230" s="0" t="s">
        <v>83</v>
      </c>
      <c r="B230" s="0" t="s">
        <v>15</v>
      </c>
      <c r="C230" s="0" t="s">
        <v>16</v>
      </c>
      <c r="D230" s="0" t="s">
        <v>22</v>
      </c>
      <c r="E230" s="0" t="n">
        <v>37324.23</v>
      </c>
      <c r="F230" s="0" t="n">
        <v>5957</v>
      </c>
      <c r="G230" s="0" t="n">
        <v>0.071</v>
      </c>
      <c r="H230" s="0" t="n">
        <v>12</v>
      </c>
      <c r="I230" s="0" t="n">
        <v>85.9</v>
      </c>
      <c r="J230" s="0" t="n">
        <v>0.37</v>
      </c>
      <c r="K230" s="0" t="n">
        <v>0</v>
      </c>
      <c r="L230" s="0" t="n">
        <v>3.8</v>
      </c>
      <c r="M230" s="0" t="n">
        <v>570963.31</v>
      </c>
      <c r="N230" s="0" t="n">
        <v>87342.25</v>
      </c>
    </row>
    <row r="231" customFormat="false" ht="15" hidden="false" customHeight="false" outlineLevel="0" collapsed="false">
      <c r="A231" s="0" t="s">
        <v>83</v>
      </c>
      <c r="B231" s="0" t="s">
        <v>18</v>
      </c>
      <c r="C231" s="0" t="s">
        <v>16</v>
      </c>
      <c r="D231" s="0" t="s">
        <v>22</v>
      </c>
      <c r="E231" s="0" t="n">
        <v>113736</v>
      </c>
      <c r="F231" s="0" t="n">
        <v>8961</v>
      </c>
      <c r="G231" s="0" t="n">
        <v>0.202</v>
      </c>
      <c r="H231" s="0" t="n">
        <v>24</v>
      </c>
      <c r="I231" s="0" t="n">
        <v>86.2</v>
      </c>
      <c r="J231" s="0" t="n">
        <v>21.63</v>
      </c>
      <c r="K231" s="0" t="n">
        <v>0</v>
      </c>
      <c r="L231" s="0" t="n">
        <v>4</v>
      </c>
      <c r="M231" s="0" t="n">
        <v>870937.4</v>
      </c>
      <c r="N231" s="0" t="n">
        <v>175282.74</v>
      </c>
    </row>
    <row r="232" customFormat="false" ht="15" hidden="false" customHeight="false" outlineLevel="0" collapsed="false">
      <c r="A232" s="0" t="s">
        <v>83</v>
      </c>
      <c r="B232" s="0" t="s">
        <v>19</v>
      </c>
      <c r="C232" s="0" t="s">
        <v>16</v>
      </c>
      <c r="D232" s="0" t="s">
        <v>22</v>
      </c>
      <c r="E232" s="0" t="n">
        <v>33173.95</v>
      </c>
      <c r="F232" s="0" t="n">
        <v>6545</v>
      </c>
      <c r="G232" s="0" t="n">
        <v>0.169</v>
      </c>
      <c r="H232" s="0" t="n">
        <v>15</v>
      </c>
      <c r="I232" s="0" t="n">
        <v>84.4</v>
      </c>
      <c r="J232" s="0" t="n">
        <v>2.48</v>
      </c>
      <c r="K232" s="0" t="n">
        <v>0</v>
      </c>
      <c r="L232" s="0" t="n">
        <v>3.9</v>
      </c>
      <c r="M232" s="0" t="n">
        <v>596969.27</v>
      </c>
      <c r="N232" s="0" t="n">
        <v>105669.51</v>
      </c>
    </row>
    <row r="233" customFormat="false" ht="15" hidden="false" customHeight="false" outlineLevel="0" collapsed="false">
      <c r="A233" s="0" t="s">
        <v>83</v>
      </c>
      <c r="B233" s="0" t="s">
        <v>20</v>
      </c>
      <c r="C233" s="0" t="s">
        <v>16</v>
      </c>
      <c r="D233" s="0" t="s">
        <v>22</v>
      </c>
      <c r="E233" s="0" t="n">
        <v>25818.08</v>
      </c>
      <c r="F233" s="0" t="n">
        <v>5457</v>
      </c>
      <c r="G233" s="0" t="n">
        <v>0</v>
      </c>
      <c r="H233" s="0" t="n">
        <v>11</v>
      </c>
      <c r="I233" s="0" t="n">
        <v>95.4</v>
      </c>
      <c r="K233" s="0" t="n">
        <v>0</v>
      </c>
      <c r="L233" s="0" t="n">
        <v>3.7</v>
      </c>
      <c r="M233" s="0" t="n">
        <v>647512.85</v>
      </c>
      <c r="N233" s="0" t="n">
        <v>153835.57</v>
      </c>
    </row>
    <row r="234" customFormat="false" ht="15" hidden="false" customHeight="false" outlineLevel="0" collapsed="false">
      <c r="A234" s="0" t="s">
        <v>84</v>
      </c>
      <c r="B234" s="0" t="s">
        <v>15</v>
      </c>
      <c r="C234" s="0" t="s">
        <v>31</v>
      </c>
      <c r="D234" s="0" t="s">
        <v>17</v>
      </c>
      <c r="E234" s="0" t="n">
        <v>47241.92</v>
      </c>
      <c r="F234" s="0" t="n">
        <v>4264</v>
      </c>
      <c r="G234" s="0" t="n">
        <v>0.069</v>
      </c>
      <c r="H234" s="0" t="n">
        <v>13</v>
      </c>
      <c r="I234" s="0" t="n">
        <v>95.3</v>
      </c>
      <c r="J234" s="0" t="n">
        <v>0.85</v>
      </c>
      <c r="K234" s="0" t="n">
        <v>0</v>
      </c>
      <c r="L234" s="0" t="n">
        <v>4.3</v>
      </c>
      <c r="M234" s="0" t="n">
        <v>658072.14</v>
      </c>
      <c r="N234" s="0" t="n">
        <v>110595.89</v>
      </c>
    </row>
    <row r="235" customFormat="false" ht="15" hidden="false" customHeight="false" outlineLevel="0" collapsed="false">
      <c r="A235" s="0" t="s">
        <v>84</v>
      </c>
      <c r="B235" s="0" t="s">
        <v>18</v>
      </c>
      <c r="C235" s="0" t="s">
        <v>31</v>
      </c>
      <c r="D235" s="0" t="s">
        <v>17</v>
      </c>
      <c r="E235" s="0" t="n">
        <v>61650.79</v>
      </c>
      <c r="F235" s="0" t="n">
        <v>5321</v>
      </c>
      <c r="G235" s="0" t="n">
        <v>0.126</v>
      </c>
      <c r="H235" s="0" t="n">
        <v>17</v>
      </c>
      <c r="I235" s="0" t="n">
        <v>89.2</v>
      </c>
      <c r="J235" s="0" t="n">
        <v>2.13</v>
      </c>
      <c r="K235" s="0" t="n">
        <v>0</v>
      </c>
      <c r="L235" s="0" t="n">
        <v>4</v>
      </c>
      <c r="M235" s="0" t="n">
        <v>723305.11</v>
      </c>
      <c r="N235" s="0" t="n">
        <v>128468.7</v>
      </c>
    </row>
    <row r="236" customFormat="false" ht="15" hidden="false" customHeight="false" outlineLevel="0" collapsed="false">
      <c r="A236" s="0" t="s">
        <v>84</v>
      </c>
      <c r="B236" s="0" t="s">
        <v>19</v>
      </c>
      <c r="C236" s="0" t="s">
        <v>31</v>
      </c>
      <c r="D236" s="0" t="s">
        <v>17</v>
      </c>
      <c r="E236" s="0" t="n">
        <v>62582.71</v>
      </c>
      <c r="F236" s="0" t="n">
        <v>5479</v>
      </c>
      <c r="G236" s="0" t="n">
        <v>0.048</v>
      </c>
      <c r="H236" s="0" t="n">
        <v>16</v>
      </c>
      <c r="I236" s="0" t="n">
        <v>81.2</v>
      </c>
      <c r="J236" s="0" t="n">
        <v>1.46</v>
      </c>
      <c r="K236" s="0" t="n">
        <v>0</v>
      </c>
      <c r="L236" s="0" t="n">
        <v>4.5</v>
      </c>
      <c r="M236" s="0" t="n">
        <v>640666.53</v>
      </c>
      <c r="N236" s="0" t="n">
        <v>134919.16</v>
      </c>
    </row>
    <row r="237" customFormat="false" ht="15" hidden="false" customHeight="false" outlineLevel="0" collapsed="false">
      <c r="A237" s="0" t="s">
        <v>84</v>
      </c>
      <c r="B237" s="0" t="s">
        <v>20</v>
      </c>
      <c r="C237" s="0" t="s">
        <v>31</v>
      </c>
      <c r="D237" s="0" t="s">
        <v>17</v>
      </c>
      <c r="E237" s="0" t="n">
        <v>47944.14</v>
      </c>
      <c r="F237" s="0" t="n">
        <v>6169</v>
      </c>
      <c r="G237" s="0" t="n">
        <v>0.119</v>
      </c>
      <c r="H237" s="0" t="n">
        <v>17</v>
      </c>
      <c r="I237" s="0" t="n">
        <v>92.2</v>
      </c>
      <c r="J237" s="0" t="n">
        <v>3.02</v>
      </c>
      <c r="K237" s="0" t="n">
        <v>0</v>
      </c>
      <c r="L237" s="0" t="n">
        <v>4.1</v>
      </c>
      <c r="M237" s="0" t="n">
        <v>670629.48</v>
      </c>
      <c r="N237" s="0" t="n">
        <v>100140.8</v>
      </c>
    </row>
    <row r="238" customFormat="false" ht="15" hidden="false" customHeight="false" outlineLevel="0" collapsed="false">
      <c r="A238" s="0" t="s">
        <v>85</v>
      </c>
      <c r="B238" s="0" t="s">
        <v>15</v>
      </c>
      <c r="C238" s="0" t="s">
        <v>31</v>
      </c>
      <c r="D238" s="0" t="s">
        <v>32</v>
      </c>
      <c r="E238" s="0" t="n">
        <v>46495.4</v>
      </c>
      <c r="F238" s="0" t="n">
        <v>9908</v>
      </c>
      <c r="G238" s="0" t="n">
        <v>0.121</v>
      </c>
      <c r="H238" s="0" t="n">
        <v>22</v>
      </c>
      <c r="I238" s="0" t="n">
        <v>89.4</v>
      </c>
      <c r="J238" s="0" t="n">
        <v>3.22</v>
      </c>
      <c r="K238" s="0" t="n">
        <v>0</v>
      </c>
      <c r="L238" s="0" t="n">
        <v>3.7</v>
      </c>
      <c r="M238" s="0" t="n">
        <v>721079.35</v>
      </c>
      <c r="N238" s="0" t="n">
        <v>115295.05</v>
      </c>
    </row>
    <row r="239" customFormat="false" ht="15" hidden="false" customHeight="false" outlineLevel="0" collapsed="false">
      <c r="A239" s="0" t="s">
        <v>85</v>
      </c>
      <c r="B239" s="0" t="s">
        <v>18</v>
      </c>
      <c r="C239" s="0" t="s">
        <v>31</v>
      </c>
      <c r="D239" s="0" t="s">
        <v>32</v>
      </c>
      <c r="E239" s="0" t="n">
        <v>72961.95</v>
      </c>
      <c r="F239" s="0" t="n">
        <v>9996</v>
      </c>
      <c r="G239" s="0" t="n">
        <v>0.106</v>
      </c>
      <c r="H239" s="0" t="n">
        <v>22</v>
      </c>
      <c r="I239" s="0" t="n">
        <v>89.1</v>
      </c>
      <c r="J239" s="0" t="n">
        <v>15.66</v>
      </c>
      <c r="K239" s="0" t="n">
        <v>0</v>
      </c>
      <c r="L239" s="0" t="n">
        <v>3.4</v>
      </c>
      <c r="M239" s="0" t="n">
        <v>810355.02</v>
      </c>
      <c r="N239" s="0" t="n">
        <v>131510</v>
      </c>
    </row>
    <row r="240" customFormat="false" ht="15" hidden="false" customHeight="false" outlineLevel="0" collapsed="false">
      <c r="A240" s="0" t="s">
        <v>85</v>
      </c>
      <c r="B240" s="0" t="s">
        <v>19</v>
      </c>
      <c r="C240" s="0" t="s">
        <v>31</v>
      </c>
      <c r="D240" s="0" t="s">
        <v>32</v>
      </c>
      <c r="E240" s="0" t="n">
        <v>59060.05</v>
      </c>
      <c r="F240" s="0" t="n">
        <v>9702</v>
      </c>
      <c r="G240" s="0" t="n">
        <v>0.201</v>
      </c>
      <c r="H240" s="0" t="n">
        <v>23</v>
      </c>
      <c r="I240" s="0" t="n">
        <v>80.9</v>
      </c>
      <c r="J240" s="0" t="n">
        <v>6.96</v>
      </c>
      <c r="K240" s="0" t="n">
        <v>0</v>
      </c>
      <c r="L240" s="0" t="n">
        <v>3.2</v>
      </c>
      <c r="M240" s="0" t="n">
        <v>761919.25</v>
      </c>
      <c r="N240" s="0" t="n">
        <v>111893.06</v>
      </c>
    </row>
    <row r="241" customFormat="false" ht="15" hidden="false" customHeight="false" outlineLevel="0" collapsed="false">
      <c r="A241" s="0" t="s">
        <v>85</v>
      </c>
      <c r="B241" s="0" t="s">
        <v>20</v>
      </c>
      <c r="C241" s="0" t="s">
        <v>31</v>
      </c>
      <c r="D241" s="0" t="s">
        <v>32</v>
      </c>
      <c r="E241" s="0" t="n">
        <v>26248.1</v>
      </c>
      <c r="F241" s="0" t="n">
        <v>9314</v>
      </c>
      <c r="G241" s="0" t="n">
        <v>0.186</v>
      </c>
      <c r="H241" s="0" t="n">
        <v>21</v>
      </c>
      <c r="I241" s="0" t="n">
        <v>83.7</v>
      </c>
      <c r="J241" s="0" t="n">
        <v>4.62</v>
      </c>
      <c r="K241" s="0" t="n">
        <v>0</v>
      </c>
      <c r="L241" s="0" t="n">
        <v>3.3</v>
      </c>
      <c r="M241" s="0" t="n">
        <v>737070.18</v>
      </c>
      <c r="N241" s="0" t="n">
        <v>117593.97</v>
      </c>
    </row>
    <row r="242" customFormat="false" ht="15" hidden="false" customHeight="false" outlineLevel="0" collapsed="false">
      <c r="A242" s="0" t="s">
        <v>86</v>
      </c>
      <c r="B242" s="0" t="s">
        <v>15</v>
      </c>
      <c r="C242" s="0" t="s">
        <v>28</v>
      </c>
      <c r="D242" s="0" t="s">
        <v>25</v>
      </c>
      <c r="E242" s="0" t="n">
        <v>69900.12</v>
      </c>
      <c r="F242" s="0" t="n">
        <v>8055</v>
      </c>
      <c r="G242" s="0" t="n">
        <v>0.281</v>
      </c>
      <c r="H242" s="0" t="n">
        <v>22</v>
      </c>
      <c r="I242" s="0" t="n">
        <v>85.6</v>
      </c>
      <c r="J242" s="0" t="n">
        <v>10.68</v>
      </c>
      <c r="K242" s="0" t="n">
        <v>1</v>
      </c>
      <c r="L242" s="0" t="n">
        <v>2.9</v>
      </c>
      <c r="M242" s="0" t="n">
        <v>776992.93</v>
      </c>
      <c r="N242" s="0" t="n">
        <v>101598.32</v>
      </c>
    </row>
    <row r="243" customFormat="false" ht="15" hidden="false" customHeight="false" outlineLevel="0" collapsed="false">
      <c r="A243" s="0" t="s">
        <v>86</v>
      </c>
      <c r="B243" s="0" t="s">
        <v>18</v>
      </c>
      <c r="C243" s="0" t="s">
        <v>28</v>
      </c>
      <c r="D243" s="0" t="s">
        <v>25</v>
      </c>
      <c r="E243" s="0" t="n">
        <v>51781.6</v>
      </c>
      <c r="F243" s="0" t="n">
        <v>5648</v>
      </c>
      <c r="G243" s="0" t="n">
        <v>0.059</v>
      </c>
      <c r="H243" s="0" t="n">
        <v>13</v>
      </c>
      <c r="I243" s="0" t="n">
        <v>85.5</v>
      </c>
      <c r="J243" s="0" t="n">
        <v>4.04</v>
      </c>
      <c r="K243" s="0" t="n">
        <v>0</v>
      </c>
      <c r="L243" s="0" t="n">
        <v>3.7</v>
      </c>
      <c r="M243" s="0" t="n">
        <v>676337.41</v>
      </c>
      <c r="N243" s="0" t="n">
        <v>104355.77</v>
      </c>
    </row>
    <row r="244" customFormat="false" ht="15" hidden="false" customHeight="false" outlineLevel="0" collapsed="false">
      <c r="A244" s="0" t="s">
        <v>86</v>
      </c>
      <c r="B244" s="0" t="s">
        <v>19</v>
      </c>
      <c r="C244" s="0" t="s">
        <v>28</v>
      </c>
      <c r="D244" s="0" t="s">
        <v>25</v>
      </c>
      <c r="E244" s="0" t="n">
        <v>70799.64</v>
      </c>
      <c r="F244" s="0" t="n">
        <v>10076</v>
      </c>
      <c r="G244" s="0" t="n">
        <v>0.152</v>
      </c>
      <c r="H244" s="0" t="n">
        <v>24</v>
      </c>
      <c r="I244" s="0" t="n">
        <v>84.8</v>
      </c>
      <c r="J244" s="0" t="n">
        <v>1.87</v>
      </c>
      <c r="K244" s="0" t="n">
        <v>0</v>
      </c>
      <c r="L244" s="0" t="n">
        <v>3.5</v>
      </c>
      <c r="M244" s="0" t="n">
        <v>828219.67</v>
      </c>
      <c r="N244" s="0" t="n">
        <v>179806.87</v>
      </c>
    </row>
    <row r="245" customFormat="false" ht="15" hidden="false" customHeight="false" outlineLevel="0" collapsed="false">
      <c r="A245" s="0" t="s">
        <v>86</v>
      </c>
      <c r="B245" s="0" t="s">
        <v>20</v>
      </c>
      <c r="C245" s="0" t="s">
        <v>28</v>
      </c>
      <c r="D245" s="0" t="s">
        <v>25</v>
      </c>
      <c r="E245" s="0" t="n">
        <v>53546.34</v>
      </c>
      <c r="F245" s="0" t="n">
        <v>8004</v>
      </c>
      <c r="G245" s="0" t="n">
        <v>0</v>
      </c>
      <c r="H245" s="0" t="n">
        <v>21</v>
      </c>
      <c r="I245" s="0" t="n">
        <v>95.2</v>
      </c>
      <c r="J245" s="0" t="n">
        <v>2.83</v>
      </c>
      <c r="K245" s="0" t="n">
        <v>0</v>
      </c>
      <c r="L245" s="0" t="n">
        <v>3</v>
      </c>
      <c r="M245" s="0" t="n">
        <v>763159.92</v>
      </c>
      <c r="N245" s="0" t="n">
        <v>177104.87</v>
      </c>
    </row>
    <row r="246" customFormat="false" ht="15" hidden="false" customHeight="false" outlineLevel="0" collapsed="false">
      <c r="A246" s="0" t="s">
        <v>87</v>
      </c>
      <c r="B246" s="0" t="s">
        <v>15</v>
      </c>
      <c r="C246" s="0" t="s">
        <v>16</v>
      </c>
      <c r="D246" s="0" t="s">
        <v>22</v>
      </c>
      <c r="E246" s="0" t="n">
        <v>76942.2</v>
      </c>
      <c r="F246" s="0" t="n">
        <v>8934</v>
      </c>
      <c r="G246" s="0" t="n">
        <v>0.084</v>
      </c>
      <c r="H246" s="0" t="n">
        <v>20</v>
      </c>
      <c r="I246" s="0" t="n">
        <v>91</v>
      </c>
      <c r="J246" s="0" t="n">
        <v>0.95</v>
      </c>
      <c r="K246" s="0" t="n">
        <v>0</v>
      </c>
      <c r="L246" s="0" t="n">
        <v>3.2</v>
      </c>
      <c r="M246" s="0" t="n">
        <v>802001.68</v>
      </c>
      <c r="N246" s="0" t="n">
        <v>159715.82</v>
      </c>
    </row>
    <row r="247" customFormat="false" ht="15" hidden="false" customHeight="false" outlineLevel="0" collapsed="false">
      <c r="A247" s="0" t="s">
        <v>87</v>
      </c>
      <c r="B247" s="0" t="s">
        <v>18</v>
      </c>
      <c r="C247" s="0" t="s">
        <v>16</v>
      </c>
      <c r="D247" s="0" t="s">
        <v>22</v>
      </c>
      <c r="E247" s="0" t="n">
        <v>48060.78</v>
      </c>
      <c r="F247" s="0" t="n">
        <v>8733</v>
      </c>
      <c r="G247" s="0" t="n">
        <v>0</v>
      </c>
      <c r="H247" s="0" t="n">
        <v>20</v>
      </c>
      <c r="I247" s="0" t="n">
        <v>89.9</v>
      </c>
      <c r="J247" s="0" t="n">
        <v>0.8</v>
      </c>
      <c r="K247" s="0" t="n">
        <v>0</v>
      </c>
      <c r="L247" s="0" t="n">
        <v>3.4</v>
      </c>
      <c r="M247" s="0" t="n">
        <v>750471.34</v>
      </c>
      <c r="N247" s="0" t="n">
        <v>133788.04</v>
      </c>
    </row>
    <row r="248" customFormat="false" ht="15" hidden="false" customHeight="false" outlineLevel="0" collapsed="false">
      <c r="A248" s="0" t="s">
        <v>87</v>
      </c>
      <c r="B248" s="0" t="s">
        <v>19</v>
      </c>
      <c r="C248" s="0" t="s">
        <v>16</v>
      </c>
      <c r="D248" s="0" t="s">
        <v>22</v>
      </c>
      <c r="E248" s="0" t="n">
        <v>57390.04</v>
      </c>
      <c r="F248" s="0" t="n">
        <v>7374</v>
      </c>
      <c r="G248" s="0" t="n">
        <v>0.21</v>
      </c>
      <c r="H248" s="0" t="n">
        <v>21</v>
      </c>
      <c r="I248" s="0" t="n">
        <v>91.8</v>
      </c>
      <c r="J248" s="0" t="n">
        <v>0.2</v>
      </c>
      <c r="K248" s="0" t="n">
        <v>0</v>
      </c>
      <c r="L248" s="0" t="n">
        <v>3.1</v>
      </c>
      <c r="M248" s="0" t="n">
        <v>679230.86</v>
      </c>
      <c r="N248" s="0" t="n">
        <v>106927.58</v>
      </c>
    </row>
    <row r="249" customFormat="false" ht="15" hidden="false" customHeight="false" outlineLevel="0" collapsed="false">
      <c r="A249" s="0" t="s">
        <v>87</v>
      </c>
      <c r="B249" s="0" t="s">
        <v>20</v>
      </c>
      <c r="C249" s="0" t="s">
        <v>16</v>
      </c>
      <c r="D249" s="0" t="s">
        <v>22</v>
      </c>
      <c r="E249" s="0" t="n">
        <v>21536.18</v>
      </c>
      <c r="F249" s="0" t="n">
        <v>8119</v>
      </c>
      <c r="G249" s="0" t="n">
        <v>0.227</v>
      </c>
      <c r="H249" s="0" t="n">
        <v>20</v>
      </c>
      <c r="I249" s="0" t="n">
        <v>90.4</v>
      </c>
      <c r="J249" s="0" t="n">
        <v>1.7</v>
      </c>
      <c r="K249" s="0" t="n">
        <v>0</v>
      </c>
      <c r="L249" s="0" t="n">
        <v>3.3</v>
      </c>
      <c r="M249" s="0" t="n">
        <v>679888.74</v>
      </c>
      <c r="N249" s="0" t="n">
        <v>83406.89</v>
      </c>
    </row>
    <row r="250" customFormat="false" ht="15" hidden="false" customHeight="false" outlineLevel="0" collapsed="false">
      <c r="A250" s="0" t="s">
        <v>88</v>
      </c>
      <c r="B250" s="0" t="s">
        <v>15</v>
      </c>
      <c r="C250" s="0" t="s">
        <v>24</v>
      </c>
      <c r="D250" s="0" t="s">
        <v>22</v>
      </c>
      <c r="E250" s="0" t="n">
        <v>40923.67</v>
      </c>
      <c r="F250" s="0" t="n">
        <v>3875</v>
      </c>
      <c r="G250" s="0" t="n">
        <v>0.15</v>
      </c>
      <c r="H250" s="0" t="n">
        <v>10</v>
      </c>
      <c r="I250" s="0" t="n">
        <v>96.1</v>
      </c>
      <c r="K250" s="0" t="n">
        <v>0</v>
      </c>
      <c r="L250" s="0" t="n">
        <v>3.8</v>
      </c>
      <c r="M250" s="0" t="n">
        <v>606783.67</v>
      </c>
      <c r="N250" s="0" t="n">
        <v>74515.87</v>
      </c>
    </row>
    <row r="251" customFormat="false" ht="15" hidden="false" customHeight="false" outlineLevel="0" collapsed="false">
      <c r="A251" s="0" t="s">
        <v>88</v>
      </c>
      <c r="B251" s="0" t="s">
        <v>18</v>
      </c>
      <c r="C251" s="0" t="s">
        <v>24</v>
      </c>
      <c r="D251" s="0" t="s">
        <v>22</v>
      </c>
      <c r="E251" s="0" t="n">
        <v>72932.55</v>
      </c>
      <c r="F251" s="0" t="n">
        <v>5765</v>
      </c>
      <c r="G251" s="0" t="n">
        <v>0.026</v>
      </c>
      <c r="H251" s="0" t="n">
        <v>17</v>
      </c>
      <c r="I251" s="0" t="n">
        <v>81.8</v>
      </c>
      <c r="J251" s="0" t="n">
        <v>5.1</v>
      </c>
      <c r="K251" s="0" t="n">
        <v>0</v>
      </c>
      <c r="L251" s="0" t="n">
        <v>3.6</v>
      </c>
      <c r="M251" s="0" t="n">
        <v>642751.42</v>
      </c>
      <c r="N251" s="0" t="n">
        <v>131942.15</v>
      </c>
    </row>
    <row r="252" customFormat="false" ht="15" hidden="false" customHeight="false" outlineLevel="0" collapsed="false">
      <c r="A252" s="0" t="s">
        <v>88</v>
      </c>
      <c r="B252" s="0" t="s">
        <v>19</v>
      </c>
      <c r="C252" s="0" t="s">
        <v>24</v>
      </c>
      <c r="D252" s="0" t="s">
        <v>22</v>
      </c>
      <c r="E252" s="0" t="n">
        <v>38361.93</v>
      </c>
      <c r="F252" s="0" t="n">
        <v>6322</v>
      </c>
      <c r="G252" s="0" t="n">
        <v>0.273</v>
      </c>
      <c r="H252" s="0" t="n">
        <v>15</v>
      </c>
      <c r="I252" s="0" t="n">
        <v>88.4</v>
      </c>
      <c r="J252" s="0" t="n">
        <v>0.83</v>
      </c>
      <c r="K252" s="0" t="n">
        <v>0</v>
      </c>
      <c r="L252" s="0" t="n">
        <v>4</v>
      </c>
      <c r="M252" s="0" t="n">
        <v>647953.78</v>
      </c>
      <c r="N252" s="0" t="n">
        <v>118497.43</v>
      </c>
    </row>
    <row r="253" customFormat="false" ht="15" hidden="false" customHeight="false" outlineLevel="0" collapsed="false">
      <c r="A253" s="0" t="s">
        <v>88</v>
      </c>
      <c r="B253" s="0" t="s">
        <v>20</v>
      </c>
      <c r="C253" s="0" t="s">
        <v>24</v>
      </c>
      <c r="D253" s="0" t="s">
        <v>22</v>
      </c>
      <c r="E253" s="0" t="n">
        <v>97480.94</v>
      </c>
      <c r="F253" s="0" t="n">
        <v>6840</v>
      </c>
      <c r="G253" s="0" t="n">
        <v>0.087</v>
      </c>
      <c r="H253" s="0" t="n">
        <v>14</v>
      </c>
      <c r="I253" s="0" t="n">
        <v>79.2</v>
      </c>
      <c r="J253" s="0" t="n">
        <v>1.14</v>
      </c>
      <c r="K253" s="0" t="n">
        <v>0</v>
      </c>
      <c r="L253" s="0" t="n">
        <v>4</v>
      </c>
      <c r="M253" s="0" t="n">
        <v>729440.45</v>
      </c>
      <c r="N253" s="0" t="n">
        <v>87614.29</v>
      </c>
    </row>
    <row r="254" customFormat="false" ht="15" hidden="false" customHeight="false" outlineLevel="0" collapsed="false">
      <c r="A254" s="0" t="s">
        <v>89</v>
      </c>
      <c r="B254" s="0" t="s">
        <v>15</v>
      </c>
      <c r="C254" s="0" t="s">
        <v>28</v>
      </c>
      <c r="D254" s="0" t="s">
        <v>25</v>
      </c>
      <c r="E254" s="0" t="n">
        <v>81801.8</v>
      </c>
      <c r="F254" s="0" t="n">
        <v>6782</v>
      </c>
      <c r="G254" s="0" t="n">
        <v>0.05</v>
      </c>
      <c r="H254" s="0" t="n">
        <v>16</v>
      </c>
      <c r="I254" s="0" t="n">
        <v>99</v>
      </c>
      <c r="J254" s="0" t="n">
        <v>9.54</v>
      </c>
      <c r="K254" s="0" t="n">
        <v>0</v>
      </c>
      <c r="L254" s="0" t="n">
        <v>3.7</v>
      </c>
      <c r="M254" s="0" t="n">
        <v>764949</v>
      </c>
      <c r="N254" s="0" t="n">
        <v>148322.43</v>
      </c>
    </row>
    <row r="255" customFormat="false" ht="15" hidden="false" customHeight="false" outlineLevel="0" collapsed="false">
      <c r="A255" s="0" t="s">
        <v>89</v>
      </c>
      <c r="B255" s="0" t="s">
        <v>18</v>
      </c>
      <c r="C255" s="0" t="s">
        <v>28</v>
      </c>
      <c r="D255" s="0" t="s">
        <v>25</v>
      </c>
      <c r="E255" s="0" t="n">
        <v>63582.11</v>
      </c>
      <c r="F255" s="0" t="n">
        <v>6856</v>
      </c>
      <c r="G255" s="0" t="n">
        <v>0.074</v>
      </c>
      <c r="H255" s="0" t="n">
        <v>17</v>
      </c>
      <c r="I255" s="0" t="n">
        <v>89.5</v>
      </c>
      <c r="J255" s="0" t="n">
        <v>5.48</v>
      </c>
      <c r="K255" s="0" t="n">
        <v>0</v>
      </c>
      <c r="L255" s="0" t="n">
        <v>3.2</v>
      </c>
      <c r="M255" s="0" t="n">
        <v>799046.94</v>
      </c>
      <c r="N255" s="0" t="n">
        <v>144553.64</v>
      </c>
    </row>
    <row r="256" customFormat="false" ht="15" hidden="false" customHeight="false" outlineLevel="0" collapsed="false">
      <c r="A256" s="0" t="s">
        <v>89</v>
      </c>
      <c r="B256" s="0" t="s">
        <v>19</v>
      </c>
      <c r="C256" s="0" t="s">
        <v>28</v>
      </c>
      <c r="D256" s="0" t="s">
        <v>25</v>
      </c>
      <c r="E256" s="0" t="n">
        <v>75412.74</v>
      </c>
      <c r="F256" s="0" t="n">
        <v>5641</v>
      </c>
      <c r="G256" s="0" t="n">
        <v>0.059</v>
      </c>
      <c r="H256" s="0" t="n">
        <v>13</v>
      </c>
      <c r="I256" s="0" t="n">
        <v>87.9</v>
      </c>
      <c r="J256" s="0" t="n">
        <v>0.84</v>
      </c>
      <c r="K256" s="0" t="n">
        <v>0</v>
      </c>
      <c r="L256" s="0" t="n">
        <v>3.6</v>
      </c>
      <c r="M256" s="0" t="n">
        <v>720079.54</v>
      </c>
      <c r="N256" s="0" t="n">
        <v>119499.47</v>
      </c>
    </row>
    <row r="257" customFormat="false" ht="15" hidden="false" customHeight="false" outlineLevel="0" collapsed="false">
      <c r="A257" s="0" t="s">
        <v>89</v>
      </c>
      <c r="B257" s="0" t="s">
        <v>20</v>
      </c>
      <c r="C257" s="0" t="s">
        <v>28</v>
      </c>
      <c r="D257" s="0" t="s">
        <v>25</v>
      </c>
      <c r="E257" s="0" t="n">
        <v>36290.08</v>
      </c>
      <c r="F257" s="0" t="n">
        <v>5787</v>
      </c>
      <c r="G257" s="0" t="n">
        <v>0</v>
      </c>
      <c r="H257" s="0" t="n">
        <v>17</v>
      </c>
      <c r="I257" s="0" t="n">
        <v>88.3</v>
      </c>
      <c r="J257" s="0" t="n">
        <v>4.19</v>
      </c>
      <c r="K257" s="0" t="n">
        <v>0</v>
      </c>
      <c r="L257" s="0" t="n">
        <v>4.1</v>
      </c>
      <c r="M257" s="0" t="n">
        <v>612390.14</v>
      </c>
      <c r="N257" s="0" t="n">
        <v>108985.74</v>
      </c>
    </row>
    <row r="258" customFormat="false" ht="15" hidden="false" customHeight="false" outlineLevel="0" collapsed="false">
      <c r="A258" s="0" t="s">
        <v>90</v>
      </c>
      <c r="B258" s="0" t="s">
        <v>15</v>
      </c>
      <c r="C258" s="0" t="s">
        <v>28</v>
      </c>
      <c r="D258" s="0" t="s">
        <v>32</v>
      </c>
      <c r="E258" s="0" t="n">
        <v>65272.58</v>
      </c>
      <c r="F258" s="0" t="n">
        <v>8165</v>
      </c>
      <c r="G258" s="0" t="n">
        <v>0.051</v>
      </c>
      <c r="H258" s="0" t="n">
        <v>19</v>
      </c>
      <c r="I258" s="0" t="n">
        <v>87.8</v>
      </c>
      <c r="J258" s="0" t="n">
        <v>1.26</v>
      </c>
      <c r="K258" s="0" t="n">
        <v>1</v>
      </c>
      <c r="L258" s="0" t="n">
        <v>4.3</v>
      </c>
      <c r="M258" s="0" t="n">
        <v>840108.12</v>
      </c>
      <c r="N258" s="0" t="n">
        <v>126587.01</v>
      </c>
    </row>
    <row r="259" customFormat="false" ht="15" hidden="false" customHeight="false" outlineLevel="0" collapsed="false">
      <c r="A259" s="0" t="s">
        <v>90</v>
      </c>
      <c r="B259" s="0" t="s">
        <v>18</v>
      </c>
      <c r="C259" s="0" t="s">
        <v>28</v>
      </c>
      <c r="D259" s="0" t="s">
        <v>32</v>
      </c>
      <c r="E259" s="0" t="n">
        <v>28670.43</v>
      </c>
      <c r="F259" s="0" t="n">
        <v>7574</v>
      </c>
      <c r="G259" s="0" t="n">
        <v>0.114</v>
      </c>
      <c r="H259" s="0" t="n">
        <v>19</v>
      </c>
      <c r="I259" s="0" t="n">
        <v>82.7</v>
      </c>
      <c r="J259" s="0" t="n">
        <v>2.74</v>
      </c>
      <c r="K259" s="0" t="n">
        <v>0</v>
      </c>
      <c r="L259" s="0" t="n">
        <v>4.6</v>
      </c>
      <c r="M259" s="0" t="n">
        <v>697888.09</v>
      </c>
      <c r="N259" s="0" t="n">
        <v>116249.87</v>
      </c>
    </row>
    <row r="260" customFormat="false" ht="15" hidden="false" customHeight="false" outlineLevel="0" collapsed="false">
      <c r="A260" s="0" t="s">
        <v>90</v>
      </c>
      <c r="B260" s="0" t="s">
        <v>19</v>
      </c>
      <c r="C260" s="0" t="s">
        <v>28</v>
      </c>
      <c r="D260" s="0" t="s">
        <v>32</v>
      </c>
      <c r="E260" s="0" t="n">
        <v>44189.34</v>
      </c>
      <c r="F260" s="0" t="n">
        <v>8634</v>
      </c>
      <c r="G260" s="0" t="n">
        <v>0.143</v>
      </c>
      <c r="H260" s="0" t="n">
        <v>19</v>
      </c>
      <c r="I260" s="0" t="n">
        <v>87.5</v>
      </c>
      <c r="J260" s="0" t="n">
        <v>3.69</v>
      </c>
      <c r="K260" s="0" t="n">
        <v>0</v>
      </c>
      <c r="L260" s="0" t="n">
        <v>4.4</v>
      </c>
      <c r="M260" s="0" t="n">
        <v>746115.59</v>
      </c>
      <c r="N260" s="0" t="n">
        <v>94662.96</v>
      </c>
    </row>
    <row r="261" customFormat="false" ht="15" hidden="false" customHeight="false" outlineLevel="0" collapsed="false">
      <c r="A261" s="0" t="s">
        <v>90</v>
      </c>
      <c r="B261" s="0" t="s">
        <v>20</v>
      </c>
      <c r="C261" s="0" t="s">
        <v>28</v>
      </c>
      <c r="D261" s="0" t="s">
        <v>32</v>
      </c>
      <c r="E261" s="0" t="n">
        <v>38397.82</v>
      </c>
      <c r="F261" s="0" t="n">
        <v>7836</v>
      </c>
      <c r="G261" s="0" t="n">
        <v>0.007</v>
      </c>
      <c r="H261" s="0" t="n">
        <v>21</v>
      </c>
      <c r="I261" s="0" t="n">
        <v>92.2</v>
      </c>
      <c r="J261" s="0" t="n">
        <v>1.82</v>
      </c>
      <c r="K261" s="0" t="n">
        <v>0</v>
      </c>
      <c r="L261" s="0" t="n">
        <v>3.6</v>
      </c>
      <c r="M261" s="0" t="n">
        <v>776110.32</v>
      </c>
      <c r="N261" s="0" t="n">
        <v>139676.21</v>
      </c>
    </row>
    <row r="262" customFormat="false" ht="15" hidden="false" customHeight="false" outlineLevel="0" collapsed="false">
      <c r="A262" s="0" t="s">
        <v>91</v>
      </c>
      <c r="B262" s="0" t="s">
        <v>15</v>
      </c>
      <c r="C262" s="0" t="s">
        <v>31</v>
      </c>
      <c r="D262" s="0" t="s">
        <v>22</v>
      </c>
      <c r="E262" s="0" t="n">
        <v>14519.37</v>
      </c>
      <c r="F262" s="0" t="n">
        <v>3047</v>
      </c>
      <c r="G262" s="0" t="n">
        <v>0.135</v>
      </c>
      <c r="H262" s="0" t="n">
        <v>10</v>
      </c>
      <c r="I262" s="0" t="n">
        <v>90.3</v>
      </c>
      <c r="J262" s="0" t="n">
        <v>6.62</v>
      </c>
      <c r="K262" s="0" t="n">
        <v>0</v>
      </c>
      <c r="L262" s="0" t="n">
        <v>4.2</v>
      </c>
      <c r="M262" s="0" t="n">
        <v>528852.62</v>
      </c>
      <c r="N262" s="0" t="n">
        <v>68426.21</v>
      </c>
    </row>
    <row r="263" customFormat="false" ht="15" hidden="false" customHeight="false" outlineLevel="0" collapsed="false">
      <c r="A263" s="0" t="s">
        <v>91</v>
      </c>
      <c r="B263" s="0" t="s">
        <v>18</v>
      </c>
      <c r="C263" s="0" t="s">
        <v>31</v>
      </c>
      <c r="D263" s="0" t="s">
        <v>22</v>
      </c>
      <c r="E263" s="0" t="n">
        <v>43288.2</v>
      </c>
      <c r="F263" s="0" t="n">
        <v>4783</v>
      </c>
      <c r="G263" s="0" t="n">
        <v>0.169</v>
      </c>
      <c r="H263" s="0" t="n">
        <v>13</v>
      </c>
      <c r="I263" s="0" t="n">
        <v>87.3</v>
      </c>
      <c r="K263" s="0" t="n">
        <v>0</v>
      </c>
      <c r="L263" s="0" t="n">
        <v>4.2</v>
      </c>
      <c r="M263" s="0" t="n">
        <v>605751.33</v>
      </c>
      <c r="N263" s="0" t="n">
        <v>60685.53</v>
      </c>
    </row>
    <row r="264" customFormat="false" ht="15" hidden="false" customHeight="false" outlineLevel="0" collapsed="false">
      <c r="A264" s="0" t="s">
        <v>91</v>
      </c>
      <c r="B264" s="0" t="s">
        <v>19</v>
      </c>
      <c r="C264" s="0" t="s">
        <v>31</v>
      </c>
      <c r="D264" s="0" t="s">
        <v>22</v>
      </c>
      <c r="E264" s="0" t="n">
        <v>51450.55</v>
      </c>
      <c r="F264" s="0" t="n">
        <v>4902</v>
      </c>
      <c r="G264" s="0" t="n">
        <v>0.086</v>
      </c>
      <c r="H264" s="0" t="n">
        <v>11</v>
      </c>
      <c r="I264" s="0" t="n">
        <v>83.7</v>
      </c>
      <c r="J264" s="0" t="n">
        <v>6.92</v>
      </c>
      <c r="K264" s="0" t="n">
        <v>1</v>
      </c>
      <c r="L264" s="0" t="n">
        <v>4.2</v>
      </c>
      <c r="M264" s="0" t="n">
        <v>677640.65</v>
      </c>
      <c r="N264" s="0" t="n">
        <v>111610.89</v>
      </c>
    </row>
    <row r="265" customFormat="false" ht="15" hidden="false" customHeight="false" outlineLevel="0" collapsed="false">
      <c r="A265" s="0" t="s">
        <v>91</v>
      </c>
      <c r="B265" s="0" t="s">
        <v>20</v>
      </c>
      <c r="C265" s="0" t="s">
        <v>31</v>
      </c>
      <c r="D265" s="0" t="s">
        <v>22</v>
      </c>
      <c r="E265" s="0" t="n">
        <v>58688.26</v>
      </c>
      <c r="F265" s="0" t="n">
        <v>4022</v>
      </c>
      <c r="G265" s="0" t="n">
        <v>0.217</v>
      </c>
      <c r="H265" s="0" t="n">
        <v>12</v>
      </c>
      <c r="I265" s="0" t="n">
        <v>93.8</v>
      </c>
      <c r="J265" s="0" t="n">
        <v>11.78</v>
      </c>
      <c r="K265" s="0" t="n">
        <v>0</v>
      </c>
      <c r="L265" s="0" t="n">
        <v>3.7</v>
      </c>
      <c r="M265" s="0" t="n">
        <v>636613.23</v>
      </c>
      <c r="N265" s="0" t="n">
        <v>78908.35</v>
      </c>
    </row>
    <row r="266" customFormat="false" ht="15" hidden="false" customHeight="false" outlineLevel="0" collapsed="false">
      <c r="A266" s="0" t="s">
        <v>92</v>
      </c>
      <c r="B266" s="0" t="s">
        <v>15</v>
      </c>
      <c r="C266" s="0" t="s">
        <v>16</v>
      </c>
      <c r="D266" s="0" t="s">
        <v>22</v>
      </c>
      <c r="E266" s="0" t="n">
        <v>58981.91</v>
      </c>
      <c r="F266" s="0" t="n">
        <v>7324</v>
      </c>
      <c r="G266" s="0" t="n">
        <v>0.094</v>
      </c>
      <c r="H266" s="0" t="n">
        <v>15</v>
      </c>
      <c r="I266" s="0" t="n">
        <v>95.8</v>
      </c>
      <c r="J266" s="0" t="n">
        <v>0.5</v>
      </c>
      <c r="K266" s="0" t="n">
        <v>0</v>
      </c>
      <c r="L266" s="0" t="n">
        <v>3.5</v>
      </c>
      <c r="M266" s="0" t="n">
        <v>708985.19</v>
      </c>
      <c r="N266" s="0" t="n">
        <v>125368.16</v>
      </c>
    </row>
    <row r="267" customFormat="false" ht="15" hidden="false" customHeight="false" outlineLevel="0" collapsed="false">
      <c r="A267" s="0" t="s">
        <v>92</v>
      </c>
      <c r="B267" s="0" t="s">
        <v>18</v>
      </c>
      <c r="C267" s="0" t="s">
        <v>16</v>
      </c>
      <c r="D267" s="0" t="s">
        <v>22</v>
      </c>
      <c r="E267" s="0" t="n">
        <v>73454.54</v>
      </c>
      <c r="F267" s="0" t="n">
        <v>8129</v>
      </c>
      <c r="G267" s="0" t="n">
        <v>0.211</v>
      </c>
      <c r="H267" s="0" t="n">
        <v>20</v>
      </c>
      <c r="I267" s="0" t="n">
        <v>85.2</v>
      </c>
      <c r="J267" s="0" t="n">
        <v>0.88</v>
      </c>
      <c r="K267" s="0" t="n">
        <v>0</v>
      </c>
      <c r="L267" s="0" t="n">
        <v>3.7</v>
      </c>
      <c r="M267" s="0" t="n">
        <v>767792.94</v>
      </c>
      <c r="N267" s="0" t="n">
        <v>96235.77</v>
      </c>
    </row>
    <row r="268" customFormat="false" ht="15" hidden="false" customHeight="false" outlineLevel="0" collapsed="false">
      <c r="A268" s="0" t="s">
        <v>92</v>
      </c>
      <c r="B268" s="0" t="s">
        <v>19</v>
      </c>
      <c r="C268" s="0" t="s">
        <v>16</v>
      </c>
      <c r="D268" s="0" t="s">
        <v>22</v>
      </c>
      <c r="E268" s="0" t="n">
        <v>56602.39</v>
      </c>
      <c r="F268" s="0" t="n">
        <v>7969</v>
      </c>
      <c r="G268" s="0" t="n">
        <v>0.17</v>
      </c>
      <c r="H268" s="0" t="n">
        <v>21</v>
      </c>
      <c r="I268" s="0" t="n">
        <v>88.3</v>
      </c>
      <c r="J268" s="0" t="n">
        <v>2.25</v>
      </c>
      <c r="K268" s="0" t="n">
        <v>0</v>
      </c>
      <c r="L268" s="0" t="n">
        <v>3.7</v>
      </c>
      <c r="M268" s="0" t="n">
        <v>745580.51</v>
      </c>
      <c r="N268" s="0" t="n">
        <v>116273.68</v>
      </c>
    </row>
    <row r="269" customFormat="false" ht="15" hidden="false" customHeight="false" outlineLevel="0" collapsed="false">
      <c r="A269" s="0" t="s">
        <v>92</v>
      </c>
      <c r="B269" s="0" t="s">
        <v>20</v>
      </c>
      <c r="C269" s="0" t="s">
        <v>16</v>
      </c>
      <c r="D269" s="0" t="s">
        <v>22</v>
      </c>
      <c r="E269" s="0" t="n">
        <v>67722.29</v>
      </c>
      <c r="F269" s="0" t="n">
        <v>7240</v>
      </c>
      <c r="G269" s="0" t="n">
        <v>0.026</v>
      </c>
      <c r="H269" s="0" t="n">
        <v>15</v>
      </c>
      <c r="I269" s="0" t="n">
        <v>92.9</v>
      </c>
      <c r="J269" s="0" t="n">
        <v>0.29</v>
      </c>
      <c r="K269" s="0" t="n">
        <v>0</v>
      </c>
      <c r="L269" s="0" t="n">
        <v>3.5</v>
      </c>
      <c r="M269" s="0" t="n">
        <v>762328.31</v>
      </c>
      <c r="N269" s="0" t="n">
        <v>159158.19</v>
      </c>
    </row>
    <row r="270" customFormat="false" ht="15" hidden="false" customHeight="false" outlineLevel="0" collapsed="false">
      <c r="A270" s="0" t="s">
        <v>93</v>
      </c>
      <c r="B270" s="0" t="s">
        <v>15</v>
      </c>
      <c r="C270" s="0" t="s">
        <v>16</v>
      </c>
      <c r="D270" s="0" t="s">
        <v>32</v>
      </c>
      <c r="E270" s="0" t="n">
        <v>48752.92</v>
      </c>
      <c r="F270" s="0" t="n">
        <v>8052</v>
      </c>
      <c r="G270" s="0" t="n">
        <v>0.106</v>
      </c>
      <c r="H270" s="0" t="n">
        <v>16</v>
      </c>
      <c r="I270" s="0" t="n">
        <v>94.9</v>
      </c>
      <c r="J270" s="0" t="n">
        <v>0.65</v>
      </c>
      <c r="K270" s="0" t="n">
        <v>0</v>
      </c>
      <c r="L270" s="0" t="n">
        <v>3.6</v>
      </c>
      <c r="M270" s="0" t="n">
        <v>660633.99</v>
      </c>
      <c r="N270" s="0" t="n">
        <v>118768.66</v>
      </c>
    </row>
    <row r="271" customFormat="false" ht="15" hidden="false" customHeight="false" outlineLevel="0" collapsed="false">
      <c r="A271" s="0" t="s">
        <v>93</v>
      </c>
      <c r="B271" s="0" t="s">
        <v>18</v>
      </c>
      <c r="C271" s="0" t="s">
        <v>16</v>
      </c>
      <c r="D271" s="0" t="s">
        <v>32</v>
      </c>
      <c r="E271" s="0" t="n">
        <v>23914.97</v>
      </c>
      <c r="F271" s="0" t="n">
        <v>8018</v>
      </c>
      <c r="G271" s="0" t="n">
        <v>0.139</v>
      </c>
      <c r="H271" s="0" t="n">
        <v>20</v>
      </c>
      <c r="I271" s="0" t="n">
        <v>89</v>
      </c>
      <c r="J271" s="0" t="n">
        <v>0.2</v>
      </c>
      <c r="K271" s="0" t="n">
        <v>0</v>
      </c>
      <c r="L271" s="0" t="n">
        <v>3.5</v>
      </c>
      <c r="M271" s="0" t="n">
        <v>739374.56</v>
      </c>
      <c r="N271" s="0" t="n">
        <v>121032.29</v>
      </c>
    </row>
    <row r="272" customFormat="false" ht="15" hidden="false" customHeight="false" outlineLevel="0" collapsed="false">
      <c r="A272" s="0" t="s">
        <v>93</v>
      </c>
      <c r="B272" s="0" t="s">
        <v>19</v>
      </c>
      <c r="C272" s="0" t="s">
        <v>16</v>
      </c>
      <c r="D272" s="0" t="s">
        <v>32</v>
      </c>
      <c r="E272" s="0" t="n">
        <v>61995.3</v>
      </c>
      <c r="F272" s="0" t="n">
        <v>10192</v>
      </c>
      <c r="G272" s="0" t="n">
        <v>0.198</v>
      </c>
      <c r="H272" s="0" t="n">
        <v>21</v>
      </c>
      <c r="I272" s="0" t="n">
        <v>87.6</v>
      </c>
      <c r="J272" s="0" t="n">
        <v>3.63</v>
      </c>
      <c r="K272" s="0" t="n">
        <v>1</v>
      </c>
      <c r="L272" s="0" t="n">
        <v>3.8</v>
      </c>
      <c r="M272" s="0" t="n">
        <v>799756.46</v>
      </c>
      <c r="N272" s="0" t="n">
        <v>105052.93</v>
      </c>
    </row>
    <row r="273" customFormat="false" ht="15" hidden="false" customHeight="false" outlineLevel="0" collapsed="false">
      <c r="A273" s="0" t="s">
        <v>93</v>
      </c>
      <c r="B273" s="0" t="s">
        <v>20</v>
      </c>
      <c r="C273" s="0" t="s">
        <v>16</v>
      </c>
      <c r="D273" s="0" t="s">
        <v>32</v>
      </c>
      <c r="E273" s="0" t="n">
        <v>29344.93</v>
      </c>
      <c r="F273" s="0" t="n">
        <v>7446</v>
      </c>
      <c r="G273" s="0" t="n">
        <v>0.111</v>
      </c>
      <c r="H273" s="0" t="n">
        <v>15</v>
      </c>
      <c r="I273" s="0" t="n">
        <v>86.2</v>
      </c>
      <c r="J273" s="0" t="n">
        <v>0.2</v>
      </c>
      <c r="K273" s="0" t="n">
        <v>0</v>
      </c>
      <c r="L273" s="0" t="n">
        <v>3.2</v>
      </c>
      <c r="M273" s="0" t="n">
        <v>593343</v>
      </c>
      <c r="N273" s="0" t="n">
        <v>82832.24</v>
      </c>
    </row>
    <row r="274" customFormat="false" ht="15" hidden="false" customHeight="false" outlineLevel="0" collapsed="false">
      <c r="A274" s="0" t="s">
        <v>94</v>
      </c>
      <c r="B274" s="0" t="s">
        <v>15</v>
      </c>
      <c r="C274" s="0" t="s">
        <v>31</v>
      </c>
      <c r="D274" s="0" t="s">
        <v>22</v>
      </c>
      <c r="E274" s="0" t="n">
        <v>50532.17</v>
      </c>
      <c r="F274" s="0" t="n">
        <v>5689</v>
      </c>
      <c r="G274" s="0" t="n">
        <v>0.052</v>
      </c>
      <c r="H274" s="0" t="n">
        <v>17</v>
      </c>
      <c r="I274" s="0" t="n">
        <v>85.6</v>
      </c>
      <c r="J274" s="0" t="n">
        <v>6.23</v>
      </c>
      <c r="K274" s="0" t="n">
        <v>0</v>
      </c>
      <c r="L274" s="0" t="n">
        <v>3.3</v>
      </c>
      <c r="M274" s="0" t="n">
        <v>645039.97</v>
      </c>
      <c r="N274" s="0" t="n">
        <v>83093.33</v>
      </c>
    </row>
    <row r="275" customFormat="false" ht="15" hidden="false" customHeight="false" outlineLevel="0" collapsed="false">
      <c r="A275" s="0" t="s">
        <v>94</v>
      </c>
      <c r="B275" s="0" t="s">
        <v>18</v>
      </c>
      <c r="C275" s="0" t="s">
        <v>31</v>
      </c>
      <c r="D275" s="0" t="s">
        <v>22</v>
      </c>
      <c r="E275" s="0" t="n">
        <v>17562.57</v>
      </c>
      <c r="F275" s="0" t="n">
        <v>3326</v>
      </c>
      <c r="G275" s="0" t="n">
        <v>0.153</v>
      </c>
      <c r="H275" s="0" t="n">
        <v>14</v>
      </c>
      <c r="I275" s="0" t="n">
        <v>88.1</v>
      </c>
      <c r="J275" s="0" t="n">
        <v>1.04</v>
      </c>
      <c r="K275" s="0" t="n">
        <v>0</v>
      </c>
      <c r="L275" s="0" t="n">
        <v>3.1</v>
      </c>
      <c r="M275" s="0" t="n">
        <v>561597.33</v>
      </c>
      <c r="N275" s="0" t="n">
        <v>75072.75</v>
      </c>
    </row>
    <row r="276" customFormat="false" ht="15" hidden="false" customHeight="false" outlineLevel="0" collapsed="false">
      <c r="A276" s="0" t="s">
        <v>94</v>
      </c>
      <c r="B276" s="0" t="s">
        <v>19</v>
      </c>
      <c r="C276" s="0" t="s">
        <v>31</v>
      </c>
      <c r="D276" s="0" t="s">
        <v>22</v>
      </c>
      <c r="E276" s="0" t="n">
        <v>47648.71</v>
      </c>
      <c r="F276" s="0" t="n">
        <v>5767</v>
      </c>
      <c r="G276" s="0" t="n">
        <v>0.141</v>
      </c>
      <c r="H276" s="0" t="n">
        <v>17</v>
      </c>
      <c r="I276" s="0" t="n">
        <v>89.8</v>
      </c>
      <c r="J276" s="0" t="n">
        <v>1.76</v>
      </c>
      <c r="K276" s="0" t="n">
        <v>0</v>
      </c>
      <c r="L276" s="0" t="n">
        <v>3.1</v>
      </c>
      <c r="M276" s="0" t="n">
        <v>635837.74</v>
      </c>
      <c r="N276" s="0" t="n">
        <v>114740.64</v>
      </c>
    </row>
    <row r="277" customFormat="false" ht="15" hidden="false" customHeight="false" outlineLevel="0" collapsed="false">
      <c r="A277" s="0" t="s">
        <v>94</v>
      </c>
      <c r="B277" s="0" t="s">
        <v>20</v>
      </c>
      <c r="C277" s="0" t="s">
        <v>31</v>
      </c>
      <c r="D277" s="0" t="s">
        <v>22</v>
      </c>
      <c r="E277" s="0" t="n">
        <v>38297.58</v>
      </c>
      <c r="F277" s="0" t="n">
        <v>5893</v>
      </c>
      <c r="G277" s="0" t="n">
        <v>0.247</v>
      </c>
      <c r="H277" s="0" t="n">
        <v>18</v>
      </c>
      <c r="I277" s="0" t="n">
        <v>77.6</v>
      </c>
      <c r="J277" s="0" t="n">
        <v>2.86</v>
      </c>
      <c r="K277" s="0" t="n">
        <v>0</v>
      </c>
      <c r="L277" s="0" t="n">
        <v>3</v>
      </c>
      <c r="M277" s="0" t="n">
        <v>686737.87</v>
      </c>
      <c r="N277" s="0" t="n">
        <v>83839.67</v>
      </c>
    </row>
    <row r="278" customFormat="false" ht="15" hidden="false" customHeight="false" outlineLevel="0" collapsed="false">
      <c r="A278" s="0" t="s">
        <v>95</v>
      </c>
      <c r="B278" s="0" t="s">
        <v>15</v>
      </c>
      <c r="C278" s="0" t="s">
        <v>28</v>
      </c>
      <c r="D278" s="0" t="s">
        <v>17</v>
      </c>
      <c r="E278" s="0" t="n">
        <v>61784.11</v>
      </c>
      <c r="F278" s="0" t="n">
        <v>8564</v>
      </c>
      <c r="G278" s="0" t="n">
        <v>0.13</v>
      </c>
      <c r="H278" s="0" t="n">
        <v>17</v>
      </c>
      <c r="I278" s="0" t="n">
        <v>87.4</v>
      </c>
      <c r="J278" s="0" t="n">
        <v>18.14</v>
      </c>
      <c r="K278" s="0" t="n">
        <v>1</v>
      </c>
      <c r="L278" s="0" t="n">
        <v>3.4</v>
      </c>
      <c r="M278" s="0" t="n">
        <v>673076.34</v>
      </c>
      <c r="N278" s="0" t="n">
        <v>93899.76</v>
      </c>
    </row>
    <row r="279" customFormat="false" ht="15" hidden="false" customHeight="false" outlineLevel="0" collapsed="false">
      <c r="A279" s="0" t="s">
        <v>95</v>
      </c>
      <c r="B279" s="0" t="s">
        <v>18</v>
      </c>
      <c r="C279" s="0" t="s">
        <v>28</v>
      </c>
      <c r="D279" s="0" t="s">
        <v>17</v>
      </c>
      <c r="E279" s="0" t="n">
        <v>36832.33</v>
      </c>
      <c r="F279" s="0" t="n">
        <v>8001</v>
      </c>
      <c r="G279" s="0" t="n">
        <v>0</v>
      </c>
      <c r="H279" s="0" t="n">
        <v>19</v>
      </c>
      <c r="I279" s="0" t="n">
        <v>88.7</v>
      </c>
      <c r="J279" s="0" t="n">
        <v>3.39</v>
      </c>
      <c r="K279" s="0" t="n">
        <v>0</v>
      </c>
      <c r="L279" s="0" t="n">
        <v>4</v>
      </c>
      <c r="M279" s="0" t="n">
        <v>738548.42</v>
      </c>
      <c r="N279" s="0" t="n">
        <v>134282.77</v>
      </c>
    </row>
    <row r="280" customFormat="false" ht="15" hidden="false" customHeight="false" outlineLevel="0" collapsed="false">
      <c r="A280" s="0" t="s">
        <v>95</v>
      </c>
      <c r="B280" s="0" t="s">
        <v>19</v>
      </c>
      <c r="C280" s="0" t="s">
        <v>28</v>
      </c>
      <c r="D280" s="0" t="s">
        <v>17</v>
      </c>
      <c r="E280" s="0" t="n">
        <v>48609.41</v>
      </c>
      <c r="F280" s="0" t="n">
        <v>9324</v>
      </c>
      <c r="G280" s="0" t="n">
        <v>0.213</v>
      </c>
      <c r="H280" s="0" t="n">
        <v>18</v>
      </c>
      <c r="I280" s="0" t="n">
        <v>86.5</v>
      </c>
      <c r="J280" s="0" t="n">
        <v>1.44</v>
      </c>
      <c r="K280" s="0" t="n">
        <v>0</v>
      </c>
      <c r="L280" s="0" t="n">
        <v>3.9</v>
      </c>
      <c r="M280" s="0" t="n">
        <v>756619.77</v>
      </c>
      <c r="N280" s="0" t="n">
        <v>112057.69</v>
      </c>
    </row>
    <row r="281" customFormat="false" ht="15" hidden="false" customHeight="false" outlineLevel="0" collapsed="false">
      <c r="A281" s="0" t="s">
        <v>95</v>
      </c>
      <c r="B281" s="0" t="s">
        <v>20</v>
      </c>
      <c r="C281" s="0" t="s">
        <v>28</v>
      </c>
      <c r="D281" s="0" t="s">
        <v>17</v>
      </c>
      <c r="E281" s="0" t="n">
        <v>70284.06</v>
      </c>
      <c r="F281" s="0" t="n">
        <v>9109</v>
      </c>
      <c r="G281" s="0" t="n">
        <v>0.004</v>
      </c>
      <c r="H281" s="0" t="n">
        <v>23</v>
      </c>
      <c r="I281" s="0" t="n">
        <v>87</v>
      </c>
      <c r="J281" s="0" t="n">
        <v>3.65</v>
      </c>
      <c r="K281" s="0" t="n">
        <v>0</v>
      </c>
      <c r="L281" s="0" t="n">
        <v>3.7</v>
      </c>
      <c r="M281" s="0" t="n">
        <v>761122.42</v>
      </c>
      <c r="N281" s="0" t="n">
        <v>149802.04</v>
      </c>
    </row>
    <row r="282" customFormat="false" ht="15" hidden="false" customHeight="false" outlineLevel="0" collapsed="false">
      <c r="A282" s="0" t="s">
        <v>96</v>
      </c>
      <c r="B282" s="0" t="s">
        <v>15</v>
      </c>
      <c r="C282" s="0" t="s">
        <v>28</v>
      </c>
      <c r="D282" s="0" t="s">
        <v>22</v>
      </c>
      <c r="E282" s="0" t="n">
        <v>45940.39</v>
      </c>
      <c r="F282" s="0" t="n">
        <v>4022</v>
      </c>
      <c r="G282" s="0" t="n">
        <v>0.069</v>
      </c>
      <c r="H282" s="0" t="n">
        <v>10</v>
      </c>
      <c r="I282" s="0" t="n">
        <v>83</v>
      </c>
      <c r="J282" s="0" t="n">
        <v>1.23</v>
      </c>
      <c r="K282" s="0" t="n">
        <v>1</v>
      </c>
      <c r="L282" s="0" t="n">
        <v>3.8</v>
      </c>
      <c r="M282" s="0" t="n">
        <v>524899.57</v>
      </c>
      <c r="N282" s="0" t="n">
        <v>63619.98</v>
      </c>
    </row>
    <row r="283" customFormat="false" ht="15" hidden="false" customHeight="false" outlineLevel="0" collapsed="false">
      <c r="A283" s="0" t="s">
        <v>96</v>
      </c>
      <c r="B283" s="0" t="s">
        <v>18</v>
      </c>
      <c r="C283" s="0" t="s">
        <v>28</v>
      </c>
      <c r="D283" s="0" t="s">
        <v>22</v>
      </c>
      <c r="E283" s="0" t="n">
        <v>34771.26</v>
      </c>
      <c r="F283" s="0" t="n">
        <v>4355</v>
      </c>
      <c r="G283" s="0" t="n">
        <v>0.051</v>
      </c>
      <c r="H283" s="0" t="n">
        <v>15</v>
      </c>
      <c r="I283" s="0" t="n">
        <v>87.9</v>
      </c>
      <c r="J283" s="0" t="n">
        <v>3.09</v>
      </c>
      <c r="K283" s="0" t="n">
        <v>0</v>
      </c>
      <c r="L283" s="0" t="n">
        <v>4</v>
      </c>
      <c r="M283" s="0" t="n">
        <v>555557.77</v>
      </c>
      <c r="N283" s="0" t="n">
        <v>86475.51</v>
      </c>
    </row>
    <row r="284" customFormat="false" ht="15" hidden="false" customHeight="false" outlineLevel="0" collapsed="false">
      <c r="A284" s="0" t="s">
        <v>96</v>
      </c>
      <c r="B284" s="0" t="s">
        <v>19</v>
      </c>
      <c r="C284" s="0" t="s">
        <v>28</v>
      </c>
      <c r="D284" s="0" t="s">
        <v>22</v>
      </c>
      <c r="E284" s="0" t="n">
        <v>66104.19</v>
      </c>
      <c r="F284" s="0" t="n">
        <v>5745</v>
      </c>
      <c r="G284" s="0" t="n">
        <v>0.07</v>
      </c>
      <c r="H284" s="0" t="n">
        <v>17</v>
      </c>
      <c r="I284" s="0" t="n">
        <v>95.8</v>
      </c>
      <c r="J284" s="0" t="n">
        <v>3.15</v>
      </c>
      <c r="K284" s="0" t="n">
        <v>0</v>
      </c>
      <c r="L284" s="0" t="n">
        <v>4</v>
      </c>
      <c r="M284" s="0" t="n">
        <v>714083.68</v>
      </c>
      <c r="N284" s="0" t="n">
        <v>127231.74</v>
      </c>
    </row>
    <row r="285" customFormat="false" ht="15" hidden="false" customHeight="false" outlineLevel="0" collapsed="false">
      <c r="A285" s="0" t="s">
        <v>96</v>
      </c>
      <c r="B285" s="0" t="s">
        <v>20</v>
      </c>
      <c r="C285" s="0" t="s">
        <v>28</v>
      </c>
      <c r="D285" s="0" t="s">
        <v>22</v>
      </c>
      <c r="E285" s="0" t="n">
        <v>18599.21</v>
      </c>
      <c r="F285" s="0" t="n">
        <v>3027</v>
      </c>
      <c r="G285" s="0" t="n">
        <v>0.122</v>
      </c>
      <c r="H285" s="0" t="n">
        <v>11</v>
      </c>
      <c r="I285" s="0" t="n">
        <v>80.9</v>
      </c>
      <c r="J285" s="0" t="n">
        <v>6.44</v>
      </c>
      <c r="K285" s="0" t="n">
        <v>0</v>
      </c>
      <c r="L285" s="0" t="n">
        <v>4.2</v>
      </c>
      <c r="M285" s="0" t="n">
        <v>497439.82</v>
      </c>
      <c r="N285" s="0" t="n">
        <v>93372.75</v>
      </c>
    </row>
    <row r="286" customFormat="false" ht="15" hidden="false" customHeight="false" outlineLevel="0" collapsed="false">
      <c r="A286" s="0" t="s">
        <v>97</v>
      </c>
      <c r="B286" s="0" t="s">
        <v>15</v>
      </c>
      <c r="C286" s="0" t="s">
        <v>31</v>
      </c>
      <c r="D286" s="0" t="s">
        <v>17</v>
      </c>
      <c r="E286" s="0" t="n">
        <v>60183.06</v>
      </c>
      <c r="F286" s="0" t="n">
        <v>5562</v>
      </c>
      <c r="G286" s="0" t="n">
        <v>0.009</v>
      </c>
      <c r="H286" s="0" t="n">
        <v>13</v>
      </c>
      <c r="I286" s="0" t="n">
        <v>86.3</v>
      </c>
      <c r="J286" s="0" t="n">
        <v>0.2</v>
      </c>
      <c r="K286" s="0" t="n">
        <v>1</v>
      </c>
      <c r="L286" s="0" t="n">
        <v>4.5</v>
      </c>
      <c r="M286" s="0" t="n">
        <v>636775.66</v>
      </c>
      <c r="N286" s="0" t="n">
        <v>122636.86</v>
      </c>
    </row>
    <row r="287" customFormat="false" ht="15" hidden="false" customHeight="false" outlineLevel="0" collapsed="false">
      <c r="A287" s="0" t="s">
        <v>97</v>
      </c>
      <c r="B287" s="0" t="s">
        <v>18</v>
      </c>
      <c r="C287" s="0" t="s">
        <v>31</v>
      </c>
      <c r="D287" s="0" t="s">
        <v>17</v>
      </c>
      <c r="E287" s="0" t="n">
        <v>74539.14</v>
      </c>
      <c r="F287" s="0" t="n">
        <v>4487</v>
      </c>
      <c r="G287" s="0" t="n">
        <v>0.14</v>
      </c>
      <c r="H287" s="0" t="n">
        <v>10</v>
      </c>
      <c r="I287" s="0" t="n">
        <v>90.4</v>
      </c>
      <c r="J287" s="0" t="n">
        <v>0.59</v>
      </c>
      <c r="K287" s="0" t="n">
        <v>0</v>
      </c>
      <c r="L287" s="0" t="n">
        <v>4.5</v>
      </c>
      <c r="M287" s="0" t="n">
        <v>633009.53</v>
      </c>
      <c r="N287" s="0" t="n">
        <v>123782.67</v>
      </c>
    </row>
    <row r="288" customFormat="false" ht="15" hidden="false" customHeight="false" outlineLevel="0" collapsed="false">
      <c r="A288" s="0" t="s">
        <v>97</v>
      </c>
      <c r="B288" s="0" t="s">
        <v>19</v>
      </c>
      <c r="C288" s="0" t="s">
        <v>31</v>
      </c>
      <c r="D288" s="0" t="s">
        <v>17</v>
      </c>
      <c r="E288" s="0" t="n">
        <v>55371.97</v>
      </c>
      <c r="F288" s="0" t="n">
        <v>4162</v>
      </c>
      <c r="G288" s="0" t="n">
        <v>0.183</v>
      </c>
      <c r="H288" s="0" t="n">
        <v>11</v>
      </c>
      <c r="I288" s="0" t="n">
        <v>92</v>
      </c>
      <c r="J288" s="0" t="n">
        <v>0.2</v>
      </c>
      <c r="K288" s="0" t="n">
        <v>1</v>
      </c>
      <c r="L288" s="0" t="n">
        <v>4.2</v>
      </c>
      <c r="M288" s="0" t="n">
        <v>609949</v>
      </c>
      <c r="N288" s="0" t="n">
        <v>126789.25</v>
      </c>
    </row>
    <row r="289" customFormat="false" ht="15" hidden="false" customHeight="false" outlineLevel="0" collapsed="false">
      <c r="A289" s="0" t="s">
        <v>97</v>
      </c>
      <c r="B289" s="0" t="s">
        <v>20</v>
      </c>
      <c r="C289" s="0" t="s">
        <v>31</v>
      </c>
      <c r="D289" s="0" t="s">
        <v>17</v>
      </c>
      <c r="E289" s="0" t="n">
        <v>40928.69</v>
      </c>
      <c r="F289" s="0" t="n">
        <v>4094</v>
      </c>
      <c r="G289" s="0" t="n">
        <v>0.174</v>
      </c>
      <c r="H289" s="0" t="n">
        <v>13</v>
      </c>
      <c r="I289" s="0" t="n">
        <v>82.4</v>
      </c>
      <c r="J289" s="0" t="n">
        <v>1.36</v>
      </c>
      <c r="K289" s="0" t="n">
        <v>0</v>
      </c>
      <c r="L289" s="0" t="n">
        <v>4.8</v>
      </c>
      <c r="M289" s="0" t="n">
        <v>548103.7</v>
      </c>
      <c r="N289" s="0" t="n">
        <v>99905.52</v>
      </c>
    </row>
    <row r="290" customFormat="false" ht="15" hidden="false" customHeight="false" outlineLevel="0" collapsed="false">
      <c r="A290" s="0" t="s">
        <v>98</v>
      </c>
      <c r="B290" s="0" t="s">
        <v>15</v>
      </c>
      <c r="C290" s="0" t="s">
        <v>16</v>
      </c>
      <c r="D290" s="0" t="s">
        <v>17</v>
      </c>
      <c r="E290" s="0" t="n">
        <v>70012.41</v>
      </c>
      <c r="F290" s="0" t="n">
        <v>8484</v>
      </c>
      <c r="G290" s="0" t="n">
        <v>0.273</v>
      </c>
      <c r="H290" s="0" t="n">
        <v>23</v>
      </c>
      <c r="I290" s="0" t="n">
        <v>72.9</v>
      </c>
      <c r="J290" s="0" t="n">
        <v>3.34</v>
      </c>
      <c r="K290" s="0" t="n">
        <v>0</v>
      </c>
      <c r="L290" s="0" t="n">
        <v>3.7</v>
      </c>
      <c r="M290" s="0" t="n">
        <v>729424.42</v>
      </c>
      <c r="N290" s="0" t="n">
        <v>75592.28</v>
      </c>
    </row>
    <row r="291" customFormat="false" ht="15" hidden="false" customHeight="false" outlineLevel="0" collapsed="false">
      <c r="A291" s="0" t="s">
        <v>98</v>
      </c>
      <c r="B291" s="0" t="s">
        <v>18</v>
      </c>
      <c r="C291" s="0" t="s">
        <v>16</v>
      </c>
      <c r="D291" s="0" t="s">
        <v>17</v>
      </c>
      <c r="E291" s="0" t="n">
        <v>68909.26</v>
      </c>
      <c r="F291" s="0" t="n">
        <v>7794</v>
      </c>
      <c r="G291" s="0" t="n">
        <v>0.284</v>
      </c>
      <c r="H291" s="0" t="n">
        <v>22</v>
      </c>
      <c r="I291" s="0" t="n">
        <v>89</v>
      </c>
      <c r="J291" s="0" t="n">
        <v>0.33</v>
      </c>
      <c r="K291" s="0" t="n">
        <v>0</v>
      </c>
      <c r="L291" s="0" t="n">
        <v>4</v>
      </c>
      <c r="M291" s="0" t="n">
        <v>696261.49</v>
      </c>
      <c r="N291" s="0" t="n">
        <v>72455.35</v>
      </c>
    </row>
    <row r="292" customFormat="false" ht="15" hidden="false" customHeight="false" outlineLevel="0" collapsed="false">
      <c r="A292" s="0" t="s">
        <v>98</v>
      </c>
      <c r="B292" s="0" t="s">
        <v>19</v>
      </c>
      <c r="C292" s="0" t="s">
        <v>16</v>
      </c>
      <c r="D292" s="0" t="s">
        <v>17</v>
      </c>
      <c r="E292" s="0" t="n">
        <v>56737.3</v>
      </c>
      <c r="F292" s="0" t="n">
        <v>8300</v>
      </c>
      <c r="G292" s="0" t="n">
        <v>0.032</v>
      </c>
      <c r="H292" s="0" t="n">
        <v>21</v>
      </c>
      <c r="I292" s="0" t="n">
        <v>83.2</v>
      </c>
      <c r="J292" s="0" t="n">
        <v>3.44</v>
      </c>
      <c r="K292" s="0" t="n">
        <v>1</v>
      </c>
      <c r="L292" s="0" t="n">
        <v>4.3</v>
      </c>
      <c r="M292" s="0" t="n">
        <v>813316.71</v>
      </c>
      <c r="N292" s="0" t="n">
        <v>110077.42</v>
      </c>
    </row>
    <row r="293" customFormat="false" ht="15" hidden="false" customHeight="false" outlineLevel="0" collapsed="false">
      <c r="A293" s="0" t="s">
        <v>98</v>
      </c>
      <c r="B293" s="0" t="s">
        <v>20</v>
      </c>
      <c r="C293" s="0" t="s">
        <v>16</v>
      </c>
      <c r="D293" s="0" t="s">
        <v>17</v>
      </c>
      <c r="E293" s="0" t="n">
        <v>54080.91</v>
      </c>
      <c r="F293" s="0" t="n">
        <v>7083</v>
      </c>
      <c r="G293" s="0" t="n">
        <v>0</v>
      </c>
      <c r="H293" s="0" t="n">
        <v>15</v>
      </c>
      <c r="I293" s="0" t="n">
        <v>97</v>
      </c>
      <c r="J293" s="0" t="n">
        <v>5.33</v>
      </c>
      <c r="K293" s="0" t="n">
        <v>0</v>
      </c>
      <c r="L293" s="0" t="n">
        <v>4.1</v>
      </c>
      <c r="M293" s="0" t="n">
        <v>702068.92</v>
      </c>
      <c r="N293" s="0" t="n">
        <v>111266.63</v>
      </c>
    </row>
    <row r="294" customFormat="false" ht="15" hidden="false" customHeight="false" outlineLevel="0" collapsed="false">
      <c r="A294" s="0" t="s">
        <v>99</v>
      </c>
      <c r="B294" s="0" t="s">
        <v>15</v>
      </c>
      <c r="C294" s="0" t="s">
        <v>31</v>
      </c>
      <c r="D294" s="0" t="s">
        <v>22</v>
      </c>
      <c r="E294" s="0" t="n">
        <v>51996.32</v>
      </c>
      <c r="F294" s="0" t="n">
        <v>3834</v>
      </c>
      <c r="G294" s="0" t="n">
        <v>0.096</v>
      </c>
      <c r="H294" s="0" t="n">
        <v>8</v>
      </c>
      <c r="I294" s="0" t="n">
        <v>86.7</v>
      </c>
      <c r="J294" s="0" t="n">
        <v>6.04</v>
      </c>
      <c r="K294" s="0" t="n">
        <v>0</v>
      </c>
      <c r="L294" s="0" t="n">
        <v>4.5</v>
      </c>
      <c r="M294" s="0" t="n">
        <v>546223.7</v>
      </c>
      <c r="N294" s="0" t="n">
        <v>100769.17</v>
      </c>
    </row>
    <row r="295" customFormat="false" ht="15" hidden="false" customHeight="false" outlineLevel="0" collapsed="false">
      <c r="A295" s="0" t="s">
        <v>99</v>
      </c>
      <c r="B295" s="0" t="s">
        <v>18</v>
      </c>
      <c r="C295" s="0" t="s">
        <v>31</v>
      </c>
      <c r="D295" s="0" t="s">
        <v>22</v>
      </c>
      <c r="E295" s="0" t="n">
        <v>40102.88</v>
      </c>
      <c r="F295" s="0" t="n">
        <v>2358</v>
      </c>
      <c r="G295" s="0" t="n">
        <v>0.119</v>
      </c>
      <c r="H295" s="0" t="n">
        <v>9</v>
      </c>
      <c r="I295" s="0" t="n">
        <v>88.7</v>
      </c>
      <c r="J295" s="0" t="n">
        <v>1.6</v>
      </c>
      <c r="K295" s="0" t="n">
        <v>0</v>
      </c>
      <c r="L295" s="0" t="n">
        <v>4.2</v>
      </c>
      <c r="M295" s="0" t="n">
        <v>533121.26</v>
      </c>
      <c r="N295" s="0" t="n">
        <v>55063.39</v>
      </c>
    </row>
    <row r="296" customFormat="false" ht="15" hidden="false" customHeight="false" outlineLevel="0" collapsed="false">
      <c r="A296" s="0" t="s">
        <v>99</v>
      </c>
      <c r="B296" s="0" t="s">
        <v>19</v>
      </c>
      <c r="C296" s="0" t="s">
        <v>31</v>
      </c>
      <c r="D296" s="0" t="s">
        <v>22</v>
      </c>
      <c r="E296" s="0" t="n">
        <v>59825.51</v>
      </c>
      <c r="F296" s="0" t="n">
        <v>1231</v>
      </c>
      <c r="G296" s="0" t="n">
        <v>0.214</v>
      </c>
      <c r="H296" s="0" t="n">
        <v>10</v>
      </c>
      <c r="I296" s="0" t="n">
        <v>84.8</v>
      </c>
      <c r="J296" s="0" t="n">
        <v>8.96</v>
      </c>
      <c r="K296" s="0" t="n">
        <v>0</v>
      </c>
      <c r="L296" s="0" t="n">
        <v>4.7</v>
      </c>
      <c r="M296" s="0" t="n">
        <v>498970.32</v>
      </c>
      <c r="N296" s="0" t="n">
        <v>69656.7</v>
      </c>
    </row>
    <row r="297" customFormat="false" ht="15" hidden="false" customHeight="false" outlineLevel="0" collapsed="false">
      <c r="A297" s="0" t="s">
        <v>99</v>
      </c>
      <c r="B297" s="0" t="s">
        <v>20</v>
      </c>
      <c r="C297" s="0" t="s">
        <v>31</v>
      </c>
      <c r="D297" s="0" t="s">
        <v>22</v>
      </c>
      <c r="E297" s="0" t="n">
        <v>27398.28</v>
      </c>
      <c r="F297" s="0" t="n">
        <v>1723</v>
      </c>
      <c r="G297" s="0" t="n">
        <v>0.171</v>
      </c>
      <c r="H297" s="0" t="n">
        <v>9</v>
      </c>
      <c r="I297" s="0" t="n">
        <v>81</v>
      </c>
      <c r="J297" s="0" t="n">
        <v>0.74</v>
      </c>
      <c r="K297" s="0" t="n">
        <v>0</v>
      </c>
      <c r="L297" s="0" t="n">
        <v>4.6</v>
      </c>
      <c r="M297" s="0" t="n">
        <v>487738.26</v>
      </c>
      <c r="N297" s="0" t="n">
        <v>96435.6</v>
      </c>
    </row>
    <row r="298" customFormat="false" ht="15" hidden="false" customHeight="false" outlineLevel="0" collapsed="false">
      <c r="A298" s="0" t="s">
        <v>100</v>
      </c>
      <c r="B298" s="0" t="s">
        <v>15</v>
      </c>
      <c r="C298" s="0" t="s">
        <v>31</v>
      </c>
      <c r="D298" s="0" t="s">
        <v>22</v>
      </c>
      <c r="E298" s="0" t="n">
        <v>55599.56</v>
      </c>
      <c r="F298" s="0" t="n">
        <v>5896</v>
      </c>
      <c r="G298" s="0" t="n">
        <v>0.036</v>
      </c>
      <c r="H298" s="0" t="n">
        <v>12</v>
      </c>
      <c r="I298" s="0" t="n">
        <v>93.1</v>
      </c>
      <c r="J298" s="0" t="n">
        <v>6.13</v>
      </c>
      <c r="K298" s="0" t="n">
        <v>0</v>
      </c>
      <c r="L298" s="0" t="n">
        <v>3.3</v>
      </c>
      <c r="M298" s="0" t="n">
        <v>668459.37</v>
      </c>
      <c r="N298" s="0" t="n">
        <v>126435.42</v>
      </c>
    </row>
    <row r="299" customFormat="false" ht="15" hidden="false" customHeight="false" outlineLevel="0" collapsed="false">
      <c r="A299" s="0" t="s">
        <v>100</v>
      </c>
      <c r="B299" s="0" t="s">
        <v>18</v>
      </c>
      <c r="C299" s="0" t="s">
        <v>31</v>
      </c>
      <c r="D299" s="0" t="s">
        <v>22</v>
      </c>
      <c r="E299" s="0" t="n">
        <v>55477.61</v>
      </c>
      <c r="F299" s="0" t="n">
        <v>5903</v>
      </c>
      <c r="G299" s="0" t="n">
        <v>0.102</v>
      </c>
      <c r="H299" s="0" t="n">
        <v>14</v>
      </c>
      <c r="I299" s="0" t="n">
        <v>96.2</v>
      </c>
      <c r="J299" s="0" t="n">
        <v>1.41</v>
      </c>
      <c r="K299" s="0" t="n">
        <v>0</v>
      </c>
      <c r="L299" s="0" t="n">
        <v>3.3</v>
      </c>
      <c r="M299" s="0" t="n">
        <v>763162.45</v>
      </c>
      <c r="N299" s="0" t="n">
        <v>162524.05</v>
      </c>
    </row>
    <row r="300" customFormat="false" ht="15" hidden="false" customHeight="false" outlineLevel="0" collapsed="false">
      <c r="A300" s="0" t="s">
        <v>100</v>
      </c>
      <c r="B300" s="0" t="s">
        <v>19</v>
      </c>
      <c r="C300" s="0" t="s">
        <v>31</v>
      </c>
      <c r="D300" s="0" t="s">
        <v>22</v>
      </c>
      <c r="E300" s="0" t="n">
        <v>46174.7</v>
      </c>
      <c r="F300" s="0" t="n">
        <v>4898</v>
      </c>
      <c r="G300" s="0" t="n">
        <v>0.114</v>
      </c>
      <c r="H300" s="0" t="n">
        <v>11</v>
      </c>
      <c r="I300" s="0" t="n">
        <v>91.7</v>
      </c>
      <c r="J300" s="0" t="n">
        <v>3.75</v>
      </c>
      <c r="K300" s="0" t="n">
        <v>0</v>
      </c>
      <c r="L300" s="0" t="n">
        <v>3.1</v>
      </c>
      <c r="M300" s="0" t="n">
        <v>599017.33</v>
      </c>
      <c r="N300" s="0" t="n">
        <v>134009.92</v>
      </c>
    </row>
    <row r="301" customFormat="false" ht="15" hidden="false" customHeight="false" outlineLevel="0" collapsed="false">
      <c r="A301" s="0" t="s">
        <v>100</v>
      </c>
      <c r="B301" s="0" t="s">
        <v>20</v>
      </c>
      <c r="C301" s="0" t="s">
        <v>31</v>
      </c>
      <c r="D301" s="0" t="s">
        <v>22</v>
      </c>
      <c r="E301" s="0" t="n">
        <v>24362.98</v>
      </c>
      <c r="F301" s="0" t="n">
        <v>1462</v>
      </c>
      <c r="G301" s="0" t="n">
        <v>0.117</v>
      </c>
      <c r="H301" s="0" t="n">
        <v>6</v>
      </c>
      <c r="I301" s="0" t="n">
        <v>89.3</v>
      </c>
      <c r="J301" s="0" t="n">
        <v>15.06</v>
      </c>
      <c r="K301" s="0" t="n">
        <v>0</v>
      </c>
      <c r="L301" s="0" t="n">
        <v>3.2</v>
      </c>
      <c r="M301" s="0" t="n">
        <v>401582.58</v>
      </c>
      <c r="N301" s="0" t="n">
        <v>68454.93</v>
      </c>
    </row>
    <row r="302" customFormat="false" ht="15" hidden="false" customHeight="false" outlineLevel="0" collapsed="false">
      <c r="A302" s="0" t="s">
        <v>101</v>
      </c>
      <c r="B302" s="0" t="s">
        <v>15</v>
      </c>
      <c r="C302" s="0" t="s">
        <v>24</v>
      </c>
      <c r="D302" s="0" t="s">
        <v>32</v>
      </c>
      <c r="E302" s="0" t="n">
        <v>40647.67</v>
      </c>
      <c r="F302" s="0" t="n">
        <v>8252</v>
      </c>
      <c r="G302" s="0" t="n">
        <v>0.141</v>
      </c>
      <c r="H302" s="0" t="n">
        <v>22</v>
      </c>
      <c r="I302" s="0" t="n">
        <v>88.2</v>
      </c>
      <c r="J302" s="0" t="n">
        <v>5.07</v>
      </c>
      <c r="K302" s="0" t="n">
        <v>1</v>
      </c>
      <c r="L302" s="0" t="n">
        <v>4.1</v>
      </c>
      <c r="M302" s="0" t="n">
        <v>703812.99</v>
      </c>
      <c r="N302" s="0" t="n">
        <v>133577.98</v>
      </c>
    </row>
    <row r="303" customFormat="false" ht="15" hidden="false" customHeight="false" outlineLevel="0" collapsed="false">
      <c r="A303" s="0" t="s">
        <v>101</v>
      </c>
      <c r="B303" s="0" t="s">
        <v>18</v>
      </c>
      <c r="C303" s="0" t="s">
        <v>24</v>
      </c>
      <c r="D303" s="0" t="s">
        <v>32</v>
      </c>
      <c r="E303" s="0" t="n">
        <v>63986.98</v>
      </c>
      <c r="F303" s="0" t="n">
        <v>7989</v>
      </c>
      <c r="G303" s="0" t="n">
        <v>0.074</v>
      </c>
      <c r="H303" s="0" t="n">
        <v>20</v>
      </c>
      <c r="I303" s="0" t="n">
        <v>83.3</v>
      </c>
      <c r="J303" s="0" t="n">
        <v>3.6</v>
      </c>
      <c r="K303" s="0" t="n">
        <v>0</v>
      </c>
      <c r="L303" s="0" t="n">
        <v>3.7</v>
      </c>
      <c r="M303" s="0" t="n">
        <v>724346.73</v>
      </c>
      <c r="N303" s="0" t="n">
        <v>155013.91</v>
      </c>
    </row>
    <row r="304" customFormat="false" ht="15" hidden="false" customHeight="false" outlineLevel="0" collapsed="false">
      <c r="A304" s="0" t="s">
        <v>101</v>
      </c>
      <c r="B304" s="0" t="s">
        <v>19</v>
      </c>
      <c r="C304" s="0" t="s">
        <v>24</v>
      </c>
      <c r="D304" s="0" t="s">
        <v>32</v>
      </c>
      <c r="E304" s="0" t="n">
        <v>52843.75</v>
      </c>
      <c r="F304" s="0" t="n">
        <v>8268</v>
      </c>
      <c r="G304" s="0" t="n">
        <v>0.138</v>
      </c>
      <c r="H304" s="0" t="n">
        <v>19</v>
      </c>
      <c r="I304" s="0" t="n">
        <v>87.3</v>
      </c>
      <c r="J304" s="0" t="n">
        <v>4.39</v>
      </c>
      <c r="K304" s="0" t="n">
        <v>1</v>
      </c>
      <c r="L304" s="0" t="n">
        <v>4.7</v>
      </c>
      <c r="M304" s="0" t="n">
        <v>730890.01</v>
      </c>
      <c r="N304" s="0" t="n">
        <v>105502.56</v>
      </c>
    </row>
    <row r="305" customFormat="false" ht="15" hidden="false" customHeight="false" outlineLevel="0" collapsed="false">
      <c r="A305" s="0" t="s">
        <v>101</v>
      </c>
      <c r="B305" s="0" t="s">
        <v>20</v>
      </c>
      <c r="C305" s="0" t="s">
        <v>24</v>
      </c>
      <c r="D305" s="0" t="s">
        <v>32</v>
      </c>
      <c r="E305" s="0" t="n">
        <v>31997.25</v>
      </c>
      <c r="F305" s="0" t="n">
        <v>8183</v>
      </c>
      <c r="G305" s="0" t="n">
        <v>0.198</v>
      </c>
      <c r="H305" s="0" t="n">
        <v>18</v>
      </c>
      <c r="I305" s="0" t="n">
        <v>93</v>
      </c>
      <c r="J305" s="0" t="n">
        <v>2.79</v>
      </c>
      <c r="K305" s="0" t="n">
        <v>0</v>
      </c>
      <c r="L305" s="0" t="n">
        <v>4.2</v>
      </c>
      <c r="M305" s="0" t="n">
        <v>780580.95</v>
      </c>
      <c r="N305" s="0" t="n">
        <v>138144.46</v>
      </c>
    </row>
    <row r="306" customFormat="false" ht="15" hidden="false" customHeight="false" outlineLevel="0" collapsed="false">
      <c r="A306" s="0" t="s">
        <v>102</v>
      </c>
      <c r="B306" s="0" t="s">
        <v>15</v>
      </c>
      <c r="C306" s="0" t="s">
        <v>28</v>
      </c>
      <c r="D306" s="0" t="s">
        <v>17</v>
      </c>
      <c r="E306" s="0" t="n">
        <v>54948.02</v>
      </c>
      <c r="F306" s="0" t="n">
        <v>6534</v>
      </c>
      <c r="G306" s="0" t="n">
        <v>0.183</v>
      </c>
      <c r="H306" s="0" t="n">
        <v>14</v>
      </c>
      <c r="I306" s="0" t="n">
        <v>94.5</v>
      </c>
      <c r="J306" s="0" t="n">
        <v>1.56</v>
      </c>
      <c r="K306" s="0" t="n">
        <v>0</v>
      </c>
      <c r="L306" s="0" t="n">
        <v>4</v>
      </c>
      <c r="M306" s="0" t="n">
        <v>727957.48</v>
      </c>
      <c r="N306" s="0" t="n">
        <v>74805.23</v>
      </c>
    </row>
    <row r="307" customFormat="false" ht="15" hidden="false" customHeight="false" outlineLevel="0" collapsed="false">
      <c r="A307" s="0" t="s">
        <v>102</v>
      </c>
      <c r="B307" s="0" t="s">
        <v>18</v>
      </c>
      <c r="C307" s="0" t="s">
        <v>28</v>
      </c>
      <c r="D307" s="0" t="s">
        <v>17</v>
      </c>
      <c r="E307" s="0" t="n">
        <v>46146.24</v>
      </c>
      <c r="F307" s="0" t="n">
        <v>5804</v>
      </c>
      <c r="G307" s="0" t="n">
        <v>0.047</v>
      </c>
      <c r="H307" s="0" t="n">
        <v>16</v>
      </c>
      <c r="I307" s="0" t="n">
        <v>86.9</v>
      </c>
      <c r="J307" s="0" t="n">
        <v>15.82</v>
      </c>
      <c r="K307" s="0" t="n">
        <v>0</v>
      </c>
      <c r="L307" s="0" t="n">
        <v>3.8</v>
      </c>
      <c r="M307" s="0" t="n">
        <v>538376</v>
      </c>
      <c r="N307" s="0" t="n">
        <v>87605.62</v>
      </c>
    </row>
    <row r="308" customFormat="false" ht="15" hidden="false" customHeight="false" outlineLevel="0" collapsed="false">
      <c r="A308" s="0" t="s">
        <v>102</v>
      </c>
      <c r="B308" s="0" t="s">
        <v>19</v>
      </c>
      <c r="C308" s="0" t="s">
        <v>28</v>
      </c>
      <c r="D308" s="0" t="s">
        <v>17</v>
      </c>
      <c r="E308" s="0" t="n">
        <v>22387.26</v>
      </c>
      <c r="F308" s="0" t="n">
        <v>6301</v>
      </c>
      <c r="G308" s="0" t="n">
        <v>0.146</v>
      </c>
      <c r="H308" s="0" t="n">
        <v>14</v>
      </c>
      <c r="I308" s="0" t="n">
        <v>85.9</v>
      </c>
      <c r="J308" s="0" t="n">
        <v>1.17</v>
      </c>
      <c r="K308" s="0" t="n">
        <v>1</v>
      </c>
      <c r="L308" s="0" t="n">
        <v>3.7</v>
      </c>
      <c r="M308" s="0" t="n">
        <v>665342.49</v>
      </c>
      <c r="N308" s="0" t="n">
        <v>93441.81</v>
      </c>
    </row>
    <row r="309" customFormat="false" ht="15" hidden="false" customHeight="false" outlineLevel="0" collapsed="false">
      <c r="A309" s="0" t="s">
        <v>102</v>
      </c>
      <c r="B309" s="0" t="s">
        <v>20</v>
      </c>
      <c r="C309" s="0" t="s">
        <v>28</v>
      </c>
      <c r="D309" s="0" t="s">
        <v>17</v>
      </c>
      <c r="E309" s="0" t="n">
        <v>60684.05</v>
      </c>
      <c r="F309" s="0" t="n">
        <v>6399</v>
      </c>
      <c r="G309" s="0" t="n">
        <v>0.075</v>
      </c>
      <c r="H309" s="0" t="n">
        <v>16</v>
      </c>
      <c r="I309" s="0" t="n">
        <v>99</v>
      </c>
      <c r="J309" s="0" t="n">
        <v>3.82</v>
      </c>
      <c r="K309" s="0" t="n">
        <v>0</v>
      </c>
      <c r="L309" s="0" t="n">
        <v>3.5</v>
      </c>
      <c r="M309" s="0" t="n">
        <v>651164.18</v>
      </c>
      <c r="N309" s="0" t="n">
        <v>109466.5</v>
      </c>
    </row>
    <row r="310" customFormat="false" ht="15" hidden="false" customHeight="false" outlineLevel="0" collapsed="false">
      <c r="A310" s="0" t="s">
        <v>103</v>
      </c>
      <c r="B310" s="0" t="s">
        <v>15</v>
      </c>
      <c r="C310" s="0" t="s">
        <v>28</v>
      </c>
      <c r="D310" s="0" t="s">
        <v>22</v>
      </c>
      <c r="E310" s="0" t="n">
        <v>48465.6</v>
      </c>
      <c r="F310" s="0" t="n">
        <v>5759</v>
      </c>
      <c r="G310" s="0" t="n">
        <v>0.154</v>
      </c>
      <c r="H310" s="0" t="n">
        <v>13</v>
      </c>
      <c r="I310" s="0" t="n">
        <v>87.5</v>
      </c>
      <c r="J310" s="0" t="n">
        <v>4.14</v>
      </c>
      <c r="K310" s="0" t="n">
        <v>0</v>
      </c>
      <c r="L310" s="0" t="n">
        <v>4</v>
      </c>
      <c r="M310" s="0" t="n">
        <v>628538.3</v>
      </c>
      <c r="N310" s="0" t="n">
        <v>112509.15</v>
      </c>
    </row>
    <row r="311" customFormat="false" ht="15" hidden="false" customHeight="false" outlineLevel="0" collapsed="false">
      <c r="A311" s="0" t="s">
        <v>103</v>
      </c>
      <c r="B311" s="0" t="s">
        <v>18</v>
      </c>
      <c r="C311" s="0" t="s">
        <v>28</v>
      </c>
      <c r="D311" s="0" t="s">
        <v>22</v>
      </c>
      <c r="E311" s="0" t="n">
        <v>23702.38</v>
      </c>
      <c r="F311" s="0" t="n">
        <v>5285</v>
      </c>
      <c r="G311" s="0" t="n">
        <v>0.167</v>
      </c>
      <c r="H311" s="0" t="n">
        <v>14</v>
      </c>
      <c r="I311" s="0" t="n">
        <v>79.7</v>
      </c>
      <c r="J311" s="0" t="n">
        <v>1.1</v>
      </c>
      <c r="K311" s="0" t="n">
        <v>0</v>
      </c>
      <c r="L311" s="0" t="n">
        <v>4.3</v>
      </c>
      <c r="M311" s="0" t="n">
        <v>536524.84</v>
      </c>
      <c r="N311" s="0" t="n">
        <v>92752.94</v>
      </c>
    </row>
    <row r="312" customFormat="false" ht="15" hidden="false" customHeight="false" outlineLevel="0" collapsed="false">
      <c r="A312" s="0" t="s">
        <v>103</v>
      </c>
      <c r="B312" s="0" t="s">
        <v>19</v>
      </c>
      <c r="C312" s="0" t="s">
        <v>28</v>
      </c>
      <c r="D312" s="0" t="s">
        <v>22</v>
      </c>
      <c r="E312" s="0" t="n">
        <v>54322.94</v>
      </c>
      <c r="F312" s="0" t="n">
        <v>5434</v>
      </c>
      <c r="G312" s="0" t="n">
        <v>0.2</v>
      </c>
      <c r="H312" s="0" t="n">
        <v>13</v>
      </c>
      <c r="I312" s="0" t="n">
        <v>85.7</v>
      </c>
      <c r="J312" s="0" t="n">
        <v>10.6</v>
      </c>
      <c r="K312" s="0" t="n">
        <v>0</v>
      </c>
      <c r="L312" s="0" t="n">
        <v>4.2</v>
      </c>
      <c r="M312" s="0" t="n">
        <v>621677.3</v>
      </c>
      <c r="N312" s="0" t="n">
        <v>105192.52</v>
      </c>
    </row>
    <row r="313" customFormat="false" ht="15" hidden="false" customHeight="false" outlineLevel="0" collapsed="false">
      <c r="A313" s="0" t="s">
        <v>103</v>
      </c>
      <c r="B313" s="0" t="s">
        <v>20</v>
      </c>
      <c r="C313" s="0" t="s">
        <v>28</v>
      </c>
      <c r="D313" s="0" t="s">
        <v>22</v>
      </c>
      <c r="E313" s="0" t="n">
        <v>86026.58</v>
      </c>
      <c r="F313" s="0" t="n">
        <v>7479</v>
      </c>
      <c r="G313" s="0" t="n">
        <v>0.142</v>
      </c>
      <c r="H313" s="0" t="n">
        <v>20</v>
      </c>
      <c r="I313" s="0" t="n">
        <v>89</v>
      </c>
      <c r="J313" s="0" t="n">
        <v>0.9</v>
      </c>
      <c r="K313" s="0" t="n">
        <v>0</v>
      </c>
      <c r="M313" s="0" t="n">
        <v>771129.07</v>
      </c>
      <c r="N313" s="0" t="n">
        <v>116851.13</v>
      </c>
    </row>
    <row r="314" customFormat="false" ht="15" hidden="false" customHeight="false" outlineLevel="0" collapsed="false">
      <c r="A314" s="0" t="s">
        <v>104</v>
      </c>
      <c r="B314" s="0" t="s">
        <v>15</v>
      </c>
      <c r="C314" s="0" t="s">
        <v>24</v>
      </c>
      <c r="D314" s="0" t="s">
        <v>17</v>
      </c>
      <c r="E314" s="0" t="n">
        <v>78967.52</v>
      </c>
      <c r="F314" s="0" t="n">
        <v>6164</v>
      </c>
      <c r="G314" s="0" t="n">
        <v>0.021</v>
      </c>
      <c r="H314" s="0" t="n">
        <v>16</v>
      </c>
      <c r="I314" s="0" t="n">
        <v>85.5</v>
      </c>
      <c r="J314" s="0" t="n">
        <v>0.2</v>
      </c>
      <c r="K314" s="0" t="n">
        <v>0</v>
      </c>
      <c r="L314" s="0" t="n">
        <v>3.4</v>
      </c>
      <c r="M314" s="0" t="n">
        <v>702052.47</v>
      </c>
      <c r="N314" s="0" t="n">
        <v>121732.51</v>
      </c>
    </row>
    <row r="315" customFormat="false" ht="15" hidden="false" customHeight="false" outlineLevel="0" collapsed="false">
      <c r="A315" s="0" t="s">
        <v>104</v>
      </c>
      <c r="B315" s="0" t="s">
        <v>18</v>
      </c>
      <c r="C315" s="0" t="s">
        <v>24</v>
      </c>
      <c r="D315" s="0" t="s">
        <v>17</v>
      </c>
      <c r="E315" s="0" t="n">
        <v>46767.99</v>
      </c>
      <c r="F315" s="0" t="n">
        <v>7973</v>
      </c>
      <c r="G315" s="0" t="n">
        <v>0.183</v>
      </c>
      <c r="H315" s="0" t="n">
        <v>18</v>
      </c>
      <c r="I315" s="0" t="n">
        <v>94.8</v>
      </c>
      <c r="J315" s="0" t="n">
        <v>4.67</v>
      </c>
      <c r="K315" s="0" t="n">
        <v>0</v>
      </c>
      <c r="M315" s="0" t="n">
        <v>688368.46</v>
      </c>
      <c r="N315" s="0" t="n">
        <v>93588.42</v>
      </c>
    </row>
    <row r="316" customFormat="false" ht="15" hidden="false" customHeight="false" outlineLevel="0" collapsed="false">
      <c r="A316" s="0" t="s">
        <v>104</v>
      </c>
      <c r="B316" s="0" t="s">
        <v>19</v>
      </c>
      <c r="C316" s="0" t="s">
        <v>24</v>
      </c>
      <c r="D316" s="0" t="s">
        <v>17</v>
      </c>
      <c r="E316" s="0" t="n">
        <v>62507.16</v>
      </c>
      <c r="F316" s="0" t="n">
        <v>6000</v>
      </c>
      <c r="G316" s="0" t="n">
        <v>0.091</v>
      </c>
      <c r="H316" s="0" t="n">
        <v>14</v>
      </c>
      <c r="I316" s="0" t="n">
        <v>98.2</v>
      </c>
      <c r="J316" s="0" t="n">
        <v>4.38</v>
      </c>
      <c r="K316" s="0" t="n">
        <v>1</v>
      </c>
      <c r="L316" s="0" t="n">
        <v>3.9</v>
      </c>
      <c r="M316" s="0" t="n">
        <v>712375.77</v>
      </c>
      <c r="N316" s="0" t="n">
        <v>104171.53</v>
      </c>
    </row>
    <row r="317" customFormat="false" ht="15" hidden="false" customHeight="false" outlineLevel="0" collapsed="false">
      <c r="A317" s="0" t="s">
        <v>104</v>
      </c>
      <c r="B317" s="0" t="s">
        <v>20</v>
      </c>
      <c r="C317" s="0" t="s">
        <v>24</v>
      </c>
      <c r="D317" s="0" t="s">
        <v>17</v>
      </c>
      <c r="E317" s="0" t="n">
        <v>66456.28</v>
      </c>
      <c r="F317" s="0" t="n">
        <v>9967</v>
      </c>
      <c r="G317" s="0" t="n">
        <v>0.108</v>
      </c>
      <c r="H317" s="0" t="n">
        <v>20</v>
      </c>
      <c r="I317" s="0" t="n">
        <v>94.7</v>
      </c>
      <c r="J317" s="0" t="n">
        <v>4.48</v>
      </c>
      <c r="K317" s="0" t="n">
        <v>0</v>
      </c>
      <c r="L317" s="0" t="n">
        <v>4.2</v>
      </c>
      <c r="M317" s="0" t="n">
        <v>844710.67</v>
      </c>
      <c r="N317" s="0" t="n">
        <v>137140.18</v>
      </c>
    </row>
    <row r="318" customFormat="false" ht="15" hidden="false" customHeight="false" outlineLevel="0" collapsed="false">
      <c r="A318" s="0" t="s">
        <v>105</v>
      </c>
      <c r="B318" s="0" t="s">
        <v>15</v>
      </c>
      <c r="C318" s="0" t="s">
        <v>16</v>
      </c>
      <c r="D318" s="0" t="s">
        <v>17</v>
      </c>
      <c r="E318" s="0" t="n">
        <v>76614.32</v>
      </c>
      <c r="F318" s="0" t="n">
        <v>5639</v>
      </c>
      <c r="G318" s="0" t="n">
        <v>0.174</v>
      </c>
      <c r="H318" s="0" t="n">
        <v>15</v>
      </c>
      <c r="I318" s="0" t="n">
        <v>92.9</v>
      </c>
      <c r="J318" s="0" t="n">
        <v>1.02</v>
      </c>
      <c r="K318" s="0" t="n">
        <v>1</v>
      </c>
      <c r="L318" s="0" t="n">
        <v>4</v>
      </c>
      <c r="M318" s="0" t="n">
        <v>620264.2</v>
      </c>
      <c r="N318" s="0" t="n">
        <v>91365.64</v>
      </c>
    </row>
    <row r="319" customFormat="false" ht="15" hidden="false" customHeight="false" outlineLevel="0" collapsed="false">
      <c r="A319" s="0" t="s">
        <v>105</v>
      </c>
      <c r="B319" s="0" t="s">
        <v>18</v>
      </c>
      <c r="C319" s="0" t="s">
        <v>16</v>
      </c>
      <c r="D319" s="0" t="s">
        <v>17</v>
      </c>
      <c r="E319" s="0" t="n">
        <v>24088.06</v>
      </c>
      <c r="F319" s="0" t="n">
        <v>3466</v>
      </c>
      <c r="G319" s="0" t="n">
        <v>0</v>
      </c>
      <c r="H319" s="0" t="n">
        <v>11</v>
      </c>
      <c r="I319" s="0" t="n">
        <v>88</v>
      </c>
      <c r="J319" s="0" t="n">
        <v>0.2</v>
      </c>
      <c r="K319" s="0" t="n">
        <v>0</v>
      </c>
      <c r="L319" s="0" t="n">
        <v>3.8</v>
      </c>
      <c r="M319" s="0" t="n">
        <v>536845.42</v>
      </c>
      <c r="N319" s="0" t="n">
        <v>107473.75</v>
      </c>
    </row>
    <row r="320" customFormat="false" ht="15" hidden="false" customHeight="false" outlineLevel="0" collapsed="false">
      <c r="A320" s="0" t="s">
        <v>105</v>
      </c>
      <c r="B320" s="0" t="s">
        <v>19</v>
      </c>
      <c r="C320" s="0" t="s">
        <v>16</v>
      </c>
      <c r="D320" s="0" t="s">
        <v>17</v>
      </c>
      <c r="E320" s="0" t="n">
        <v>81902.58</v>
      </c>
      <c r="F320" s="0" t="n">
        <v>7775</v>
      </c>
      <c r="G320" s="0" t="n">
        <v>0.215</v>
      </c>
      <c r="H320" s="0" t="n">
        <v>20</v>
      </c>
      <c r="I320" s="0" t="n">
        <v>85.2</v>
      </c>
      <c r="J320" s="0" t="n">
        <v>4.89</v>
      </c>
      <c r="K320" s="0" t="n">
        <v>1</v>
      </c>
      <c r="L320" s="0" t="n">
        <v>4.2</v>
      </c>
      <c r="M320" s="0" t="n">
        <v>726776.22</v>
      </c>
      <c r="N320" s="0" t="n">
        <v>90804.49</v>
      </c>
    </row>
    <row r="321" customFormat="false" ht="15" hidden="false" customHeight="false" outlineLevel="0" collapsed="false">
      <c r="A321" s="0" t="s">
        <v>105</v>
      </c>
      <c r="B321" s="0" t="s">
        <v>20</v>
      </c>
      <c r="C321" s="0" t="s">
        <v>16</v>
      </c>
      <c r="D321" s="0" t="s">
        <v>17</v>
      </c>
      <c r="E321" s="0" t="n">
        <v>40553.11</v>
      </c>
      <c r="F321" s="0" t="n">
        <v>5317</v>
      </c>
      <c r="G321" s="0" t="n">
        <v>0.165</v>
      </c>
      <c r="H321" s="0" t="n">
        <v>17</v>
      </c>
      <c r="I321" s="0" t="n">
        <v>84.3</v>
      </c>
      <c r="J321" s="0" t="n">
        <v>11.82</v>
      </c>
      <c r="K321" s="0" t="n">
        <v>0</v>
      </c>
      <c r="L321" s="0" t="n">
        <v>4.1</v>
      </c>
      <c r="M321" s="0" t="n">
        <v>559660.84</v>
      </c>
      <c r="N321" s="0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106</v>
      </c>
      <c r="P1" s="1" t="s">
        <v>107</v>
      </c>
    </row>
    <row r="2" customFormat="false" ht="15" hidden="false" customHeight="false" outlineLevel="0" collapsed="false">
      <c r="A2" s="0" t="str">
        <f aca="false">original_dataset!A2</f>
        <v>STR-1001</v>
      </c>
      <c r="B2" s="0" t="str">
        <f aca="false">original_dataset!B2</f>
        <v>2025-01-01</v>
      </c>
      <c r="C2" s="0" t="str">
        <f aca="false">original_dataset!C2</f>
        <v>East</v>
      </c>
      <c r="D2" s="0" t="str">
        <f aca="false">original_dataset!D2</f>
        <v>Residential</v>
      </c>
      <c r="E2" s="0" t="n">
        <f aca="false">original_dataset!E2</f>
        <v>70389.11</v>
      </c>
      <c r="F2" s="0" t="n">
        <f aca="false">original_dataset!F2</f>
        <v>8302</v>
      </c>
      <c r="G2" s="0" t="n">
        <f aca="false">original_dataset!G2</f>
        <v>0.042</v>
      </c>
      <c r="H2" s="0" t="n">
        <f aca="false">original_dataset!H2</f>
        <v>17</v>
      </c>
      <c r="I2" s="0" t="n">
        <f aca="false">original_dataset!I2</f>
        <v>75</v>
      </c>
      <c r="J2" s="0" t="n">
        <f aca="false">IF(ISBLANK(original_dataset!J2),MEDIAN(original_dataset!$J$2:$J$321),original_dataset!J2)</f>
        <v>5.28</v>
      </c>
      <c r="K2" s="0" t="n">
        <f aca="false">original_dataset!K2</f>
        <v>1</v>
      </c>
      <c r="L2" s="0" t="n">
        <f aca="false">IF(ISBLANK(original_dataset!L2),MEDIAN(original_dataset!$L$2:$L$321),original_dataset!L2)</f>
        <v>3.1</v>
      </c>
      <c r="M2" s="0" t="n">
        <f aca="false">original_dataset!M2</f>
        <v>658832.62</v>
      </c>
      <c r="N2" s="0" t="n">
        <f aca="false">original_dataset!N2</f>
        <v>84349.93</v>
      </c>
      <c r="O2" s="0" t="str">
        <f aca="false">IF(ISBLANK(original_dataset!J2),"Yes","No")</f>
        <v>No</v>
      </c>
      <c r="P2" s="0" t="str">
        <f aca="false">IF(ISBLANK(original_dataset!L2),"Yes","No")</f>
        <v>No</v>
      </c>
    </row>
    <row r="3" customFormat="false" ht="15" hidden="false" customHeight="false" outlineLevel="0" collapsed="false">
      <c r="A3" s="0" t="str">
        <f aca="false">original_dataset!A3</f>
        <v>STR-1001</v>
      </c>
      <c r="B3" s="0" t="str">
        <f aca="false">original_dataset!B3</f>
        <v>2025-02-01</v>
      </c>
      <c r="C3" s="0" t="str">
        <f aca="false">original_dataset!C3</f>
        <v>East</v>
      </c>
      <c r="D3" s="0" t="str">
        <f aca="false">original_dataset!D3</f>
        <v>Residential</v>
      </c>
      <c r="E3" s="0" t="n">
        <f aca="false">original_dataset!E3</f>
        <v>43827.89</v>
      </c>
      <c r="F3" s="0" t="n">
        <f aca="false">original_dataset!F3</f>
        <v>8487</v>
      </c>
      <c r="G3" s="0" t="n">
        <f aca="false">original_dataset!G3</f>
        <v>0.168</v>
      </c>
      <c r="H3" s="0" t="n">
        <f aca="false">original_dataset!H3</f>
        <v>23</v>
      </c>
      <c r="I3" s="0" t="n">
        <f aca="false">original_dataset!I3</f>
        <v>84.4</v>
      </c>
      <c r="J3" s="0" t="n">
        <f aca="false">IF(ISBLANK(original_dataset!J3),MEDIAN(original_dataset!$J$2:$J$321),original_dataset!J3)</f>
        <v>4.31</v>
      </c>
      <c r="K3" s="0" t="n">
        <f aca="false">original_dataset!K3</f>
        <v>0</v>
      </c>
      <c r="L3" s="0" t="n">
        <f aca="false">IF(ISBLANK(original_dataset!L3),MEDIAN(original_dataset!$L$2:$L$321),original_dataset!L3)</f>
        <v>2.8</v>
      </c>
      <c r="M3" s="0" t="n">
        <f aca="false">original_dataset!M3</f>
        <v>634436</v>
      </c>
      <c r="N3" s="0" t="n">
        <f aca="false">original_dataset!N3</f>
        <v>106130.54</v>
      </c>
      <c r="O3" s="0" t="str">
        <f aca="false">IF(ISBLANK(original_dataset!J3),"Yes","No")</f>
        <v>No</v>
      </c>
      <c r="P3" s="0" t="str">
        <f aca="false">IF(ISBLANK(original_dataset!L3),"Yes","No")</f>
        <v>No</v>
      </c>
    </row>
    <row r="4" customFormat="false" ht="15" hidden="false" customHeight="false" outlineLevel="0" collapsed="false">
      <c r="A4" s="0" t="str">
        <f aca="false">original_dataset!A4</f>
        <v>STR-1001</v>
      </c>
      <c r="B4" s="0" t="str">
        <f aca="false">original_dataset!B4</f>
        <v>2025-03-01</v>
      </c>
      <c r="C4" s="0" t="str">
        <f aca="false">original_dataset!C4</f>
        <v>East</v>
      </c>
      <c r="D4" s="0" t="str">
        <f aca="false">original_dataset!D4</f>
        <v>Residential</v>
      </c>
      <c r="E4" s="0" t="n">
        <f aca="false">original_dataset!E4</f>
        <v>59921.75</v>
      </c>
      <c r="F4" s="0" t="n">
        <f aca="false">original_dataset!F4</f>
        <v>9113</v>
      </c>
      <c r="G4" s="0" t="n">
        <f aca="false">original_dataset!G4</f>
        <v>0.133</v>
      </c>
      <c r="H4" s="0" t="n">
        <f aca="false">original_dataset!H4</f>
        <v>20</v>
      </c>
      <c r="I4" s="0" t="n">
        <f aca="false">original_dataset!I4</f>
        <v>88</v>
      </c>
      <c r="J4" s="0" t="n">
        <f aca="false">IF(ISBLANK(original_dataset!J4),MEDIAN(original_dataset!$J$2:$J$321),original_dataset!J4)</f>
        <v>12</v>
      </c>
      <c r="K4" s="0" t="n">
        <f aca="false">original_dataset!K4</f>
        <v>0</v>
      </c>
      <c r="L4" s="0" t="n">
        <f aca="false">IF(ISBLANK(original_dataset!L4),MEDIAN(original_dataset!$L$2:$L$321),original_dataset!L4)</f>
        <v>3.2</v>
      </c>
      <c r="M4" s="0" t="n">
        <f aca="false">original_dataset!M4</f>
        <v>678722.06</v>
      </c>
      <c r="N4" s="0" t="n">
        <f aca="false">original_dataset!N4</f>
        <v>101883.86</v>
      </c>
      <c r="O4" s="0" t="str">
        <f aca="false">IF(ISBLANK(original_dataset!J4),"Yes","No")</f>
        <v>No</v>
      </c>
      <c r="P4" s="0" t="str">
        <f aca="false">IF(ISBLANK(original_dataset!L4),"Yes","No")</f>
        <v>No</v>
      </c>
    </row>
    <row r="5" customFormat="false" ht="15" hidden="false" customHeight="false" outlineLevel="0" collapsed="false">
      <c r="A5" s="0" t="str">
        <f aca="false">original_dataset!A5</f>
        <v>STR-1001</v>
      </c>
      <c r="B5" s="0" t="str">
        <f aca="false">original_dataset!B5</f>
        <v>2025-04-01</v>
      </c>
      <c r="C5" s="0" t="str">
        <f aca="false">original_dataset!C5</f>
        <v>East</v>
      </c>
      <c r="D5" s="0" t="str">
        <f aca="false">original_dataset!D5</f>
        <v>Residential</v>
      </c>
      <c r="E5" s="0" t="n">
        <f aca="false">original_dataset!E5</f>
        <v>56856.63</v>
      </c>
      <c r="F5" s="0" t="n">
        <f aca="false">original_dataset!F5</f>
        <v>9431</v>
      </c>
      <c r="G5" s="0" t="n">
        <f aca="false">original_dataset!G5</f>
        <v>0.142</v>
      </c>
      <c r="H5" s="0" t="n">
        <f aca="false">original_dataset!H5</f>
        <v>23</v>
      </c>
      <c r="I5" s="0" t="n">
        <f aca="false">original_dataset!I5</f>
        <v>86.9</v>
      </c>
      <c r="J5" s="0" t="n">
        <f aca="false">IF(ISBLANK(original_dataset!J5),MEDIAN(original_dataset!$J$2:$J$321),original_dataset!J5)</f>
        <v>4.97</v>
      </c>
      <c r="K5" s="0" t="n">
        <f aca="false">original_dataset!K5</f>
        <v>0</v>
      </c>
      <c r="L5" s="0" t="n">
        <f aca="false">IF(ISBLANK(original_dataset!L5),MEDIAN(original_dataset!$L$2:$L$321),original_dataset!L5)</f>
        <v>3.4</v>
      </c>
      <c r="M5" s="0" t="n">
        <f aca="false">original_dataset!M5</f>
        <v>658920.3</v>
      </c>
      <c r="N5" s="0" t="n">
        <f aca="false">original_dataset!N5</f>
        <v>97910.37</v>
      </c>
      <c r="O5" s="0" t="str">
        <f aca="false">IF(ISBLANK(original_dataset!J5),"Yes","No")</f>
        <v>No</v>
      </c>
      <c r="P5" s="0" t="str">
        <f aca="false">IF(ISBLANK(original_dataset!L5),"Yes","No")</f>
        <v>No</v>
      </c>
    </row>
    <row r="6" customFormat="false" ht="15" hidden="false" customHeight="false" outlineLevel="0" collapsed="false">
      <c r="A6" s="0" t="str">
        <f aca="false">original_dataset!A6</f>
        <v>STR-1002</v>
      </c>
      <c r="B6" s="0" t="str">
        <f aca="false">original_dataset!B6</f>
        <v>2025-01-01</v>
      </c>
      <c r="C6" s="0" t="str">
        <f aca="false">original_dataset!C6</f>
        <v>East</v>
      </c>
      <c r="D6" s="0" t="str">
        <f aca="false">original_dataset!D6</f>
        <v>High Street</v>
      </c>
      <c r="E6" s="0" t="n">
        <f aca="false">original_dataset!E6</f>
        <v>48412.64</v>
      </c>
      <c r="F6" s="0" t="n">
        <f aca="false">original_dataset!F6</f>
        <v>9545</v>
      </c>
      <c r="G6" s="0" t="n">
        <f aca="false">original_dataset!G6</f>
        <v>0.231</v>
      </c>
      <c r="H6" s="0" t="n">
        <f aca="false">original_dataset!H6</f>
        <v>21</v>
      </c>
      <c r="I6" s="0" t="n">
        <f aca="false">original_dataset!I6</f>
        <v>97.6</v>
      </c>
      <c r="J6" s="0" t="n">
        <f aca="false">IF(ISBLANK(original_dataset!J6),MEDIAN(original_dataset!$J$2:$J$321),original_dataset!J6)</f>
        <v>6.94</v>
      </c>
      <c r="K6" s="0" t="n">
        <f aca="false">original_dataset!K6</f>
        <v>1</v>
      </c>
      <c r="L6" s="0" t="n">
        <f aca="false">IF(ISBLANK(original_dataset!L6),MEDIAN(original_dataset!$L$2:$L$321),original_dataset!L6)</f>
        <v>4.2</v>
      </c>
      <c r="M6" s="0" t="n">
        <f aca="false">original_dataset!M6</f>
        <v>741341.44</v>
      </c>
      <c r="N6" s="0" t="n">
        <f aca="false">original_dataset!N6</f>
        <v>119208.17</v>
      </c>
      <c r="O6" s="0" t="str">
        <f aca="false">IF(ISBLANK(original_dataset!J6),"Yes","No")</f>
        <v>No</v>
      </c>
      <c r="P6" s="0" t="str">
        <f aca="false">IF(ISBLANK(original_dataset!L6),"Yes","No")</f>
        <v>No</v>
      </c>
    </row>
    <row r="7" customFormat="false" ht="15" hidden="false" customHeight="false" outlineLevel="0" collapsed="false">
      <c r="A7" s="0" t="str">
        <f aca="false">original_dataset!A7</f>
        <v>STR-1002</v>
      </c>
      <c r="B7" s="0" t="str">
        <f aca="false">original_dataset!B7</f>
        <v>2025-02-01</v>
      </c>
      <c r="C7" s="0" t="str">
        <f aca="false">original_dataset!C7</f>
        <v>East</v>
      </c>
      <c r="D7" s="0" t="str">
        <f aca="false">original_dataset!D7</f>
        <v>High Street</v>
      </c>
      <c r="E7" s="0" t="n">
        <f aca="false">original_dataset!E7</f>
        <v>64811.21</v>
      </c>
      <c r="F7" s="0" t="n">
        <f aca="false">original_dataset!F7</f>
        <v>9792</v>
      </c>
      <c r="G7" s="0" t="n">
        <f aca="false">original_dataset!G7</f>
        <v>0.112</v>
      </c>
      <c r="H7" s="0" t="n">
        <f aca="false">original_dataset!H7</f>
        <v>20</v>
      </c>
      <c r="I7" s="0" t="n">
        <f aca="false">original_dataset!I7</f>
        <v>84.2</v>
      </c>
      <c r="J7" s="0" t="n">
        <f aca="false">IF(ISBLANK(original_dataset!J7),MEDIAN(original_dataset!$J$2:$J$321),original_dataset!J7)</f>
        <v>2.88</v>
      </c>
      <c r="K7" s="0" t="n">
        <f aca="false">original_dataset!K7</f>
        <v>0</v>
      </c>
      <c r="L7" s="0" t="n">
        <f aca="false">IF(ISBLANK(original_dataset!L7),MEDIAN(original_dataset!$L$2:$L$321),original_dataset!L7)</f>
        <v>4.2</v>
      </c>
      <c r="M7" s="0" t="n">
        <f aca="false">original_dataset!M7</f>
        <v>761835.34</v>
      </c>
      <c r="N7" s="0" t="n">
        <f aca="false">original_dataset!N7</f>
        <v>149602.23</v>
      </c>
      <c r="O7" s="0" t="str">
        <f aca="false">IF(ISBLANK(original_dataset!J7),"Yes","No")</f>
        <v>No</v>
      </c>
      <c r="P7" s="0" t="str">
        <f aca="false">IF(ISBLANK(original_dataset!L7),"Yes","No")</f>
        <v>No</v>
      </c>
    </row>
    <row r="8" customFormat="false" ht="15" hidden="false" customHeight="false" outlineLevel="0" collapsed="false">
      <c r="A8" s="0" t="str">
        <f aca="false">original_dataset!A8</f>
        <v>STR-1002</v>
      </c>
      <c r="B8" s="0" t="str">
        <f aca="false">original_dataset!B8</f>
        <v>2025-03-01</v>
      </c>
      <c r="C8" s="0" t="str">
        <f aca="false">original_dataset!C8</f>
        <v>East</v>
      </c>
      <c r="D8" s="0" t="str">
        <f aca="false">original_dataset!D8</f>
        <v>High Street</v>
      </c>
      <c r="E8" s="0" t="n">
        <f aca="false">original_dataset!E8</f>
        <v>46213.45</v>
      </c>
      <c r="F8" s="0" t="n">
        <f aca="false">original_dataset!F8</f>
        <v>10616</v>
      </c>
      <c r="G8" s="0" t="n">
        <f aca="false">original_dataset!G8</f>
        <v>0.122</v>
      </c>
      <c r="H8" s="0" t="n">
        <f aca="false">original_dataset!H8</f>
        <v>22</v>
      </c>
      <c r="I8" s="0" t="n">
        <f aca="false">original_dataset!I8</f>
        <v>85.2</v>
      </c>
      <c r="J8" s="0" t="n">
        <f aca="false">IF(ISBLANK(original_dataset!J8),MEDIAN(original_dataset!$J$2:$J$321),original_dataset!J8)</f>
        <v>0.2</v>
      </c>
      <c r="K8" s="0" t="n">
        <f aca="false">original_dataset!K8</f>
        <v>1</v>
      </c>
      <c r="L8" s="0" t="n">
        <f aca="false">IF(ISBLANK(original_dataset!L8),MEDIAN(original_dataset!$L$2:$L$321),original_dataset!L8)</f>
        <v>4.1</v>
      </c>
      <c r="M8" s="0" t="n">
        <f aca="false">original_dataset!M8</f>
        <v>806615.54</v>
      </c>
      <c r="N8" s="0" t="n">
        <f aca="false">original_dataset!N8</f>
        <v>131364.62</v>
      </c>
      <c r="O8" s="0" t="str">
        <f aca="false">IF(ISBLANK(original_dataset!J8),"Yes","No")</f>
        <v>No</v>
      </c>
      <c r="P8" s="0" t="str">
        <f aca="false">IF(ISBLANK(original_dataset!L8),"Yes","No")</f>
        <v>No</v>
      </c>
    </row>
    <row r="9" customFormat="false" ht="15" hidden="false" customHeight="false" outlineLevel="0" collapsed="false">
      <c r="A9" s="0" t="str">
        <f aca="false">original_dataset!A9</f>
        <v>STR-1002</v>
      </c>
      <c r="B9" s="0" t="str">
        <f aca="false">original_dataset!B9</f>
        <v>2025-04-01</v>
      </c>
      <c r="C9" s="0" t="str">
        <f aca="false">original_dataset!C9</f>
        <v>East</v>
      </c>
      <c r="D9" s="0" t="str">
        <f aca="false">original_dataset!D9</f>
        <v>High Street</v>
      </c>
      <c r="E9" s="0" t="n">
        <f aca="false">original_dataset!E9</f>
        <v>68148.52</v>
      </c>
      <c r="F9" s="0" t="n">
        <f aca="false">original_dataset!F9</f>
        <v>8567</v>
      </c>
      <c r="G9" s="0" t="n">
        <f aca="false">original_dataset!G9</f>
        <v>0.127</v>
      </c>
      <c r="H9" s="0" t="n">
        <f aca="false">original_dataset!H9</f>
        <v>23</v>
      </c>
      <c r="I9" s="0" t="n">
        <f aca="false">original_dataset!I9</f>
        <v>95.6</v>
      </c>
      <c r="J9" s="0" t="n">
        <f aca="false">IF(ISBLANK(original_dataset!J9),MEDIAN(original_dataset!$J$2:$J$321),original_dataset!J9)</f>
        <v>0.8</v>
      </c>
      <c r="K9" s="0" t="n">
        <f aca="false">original_dataset!K9</f>
        <v>0</v>
      </c>
      <c r="L9" s="0" t="n">
        <f aca="false">IF(ISBLANK(original_dataset!L9),MEDIAN(original_dataset!$L$2:$L$321),original_dataset!L9)</f>
        <v>3.9</v>
      </c>
      <c r="M9" s="0" t="n">
        <f aca="false">original_dataset!M9</f>
        <v>850164.26</v>
      </c>
      <c r="N9" s="0" t="n">
        <f aca="false">original_dataset!N9</f>
        <v>149262.75</v>
      </c>
      <c r="O9" s="0" t="str">
        <f aca="false">IF(ISBLANK(original_dataset!J9),"Yes","No")</f>
        <v>No</v>
      </c>
      <c r="P9" s="0" t="str">
        <f aca="false">IF(ISBLANK(original_dataset!L9),"Yes","No")</f>
        <v>No</v>
      </c>
    </row>
    <row r="10" customFormat="false" ht="15" hidden="false" customHeight="false" outlineLevel="0" collapsed="false">
      <c r="A10" s="0" t="str">
        <f aca="false">original_dataset!A10</f>
        <v>STR-1003</v>
      </c>
      <c r="B10" s="0" t="str">
        <f aca="false">original_dataset!B10</f>
        <v>2025-01-01</v>
      </c>
      <c r="C10" s="0" t="str">
        <f aca="false">original_dataset!C10</f>
        <v>North</v>
      </c>
      <c r="D10" s="0" t="str">
        <f aca="false">original_dataset!D10</f>
        <v>Airport</v>
      </c>
      <c r="E10" s="0" t="n">
        <f aca="false">original_dataset!E10</f>
        <v>71838.86</v>
      </c>
      <c r="F10" s="0" t="n">
        <f aca="false">original_dataset!F10</f>
        <v>10979</v>
      </c>
      <c r="G10" s="0" t="n">
        <f aca="false">original_dataset!G10</f>
        <v>0.215</v>
      </c>
      <c r="H10" s="0" t="n">
        <f aca="false">original_dataset!H10</f>
        <v>26</v>
      </c>
      <c r="I10" s="0" t="n">
        <f aca="false">original_dataset!I10</f>
        <v>88.6</v>
      </c>
      <c r="J10" s="0" t="n">
        <f aca="false">IF(ISBLANK(original_dataset!J10),MEDIAN(original_dataset!$J$2:$J$321),original_dataset!J10)</f>
        <v>7.7</v>
      </c>
      <c r="K10" s="0" t="n">
        <f aca="false">original_dataset!K10</f>
        <v>1</v>
      </c>
      <c r="L10" s="0" t="n">
        <f aca="false">IF(ISBLANK(original_dataset!L10),MEDIAN(original_dataset!$L$2:$L$321),original_dataset!L10)</f>
        <v>3.8</v>
      </c>
      <c r="M10" s="0" t="n">
        <f aca="false">original_dataset!M10</f>
        <v>930581.7</v>
      </c>
      <c r="N10" s="0" t="n">
        <f aca="false">original_dataset!N10</f>
        <v>136207.98</v>
      </c>
      <c r="O10" s="0" t="str">
        <f aca="false">IF(ISBLANK(original_dataset!J10),"Yes","No")</f>
        <v>No</v>
      </c>
      <c r="P10" s="0" t="str">
        <f aca="false">IF(ISBLANK(original_dataset!L10),"Yes","No")</f>
        <v>No</v>
      </c>
    </row>
    <row r="11" customFormat="false" ht="15" hidden="false" customHeight="false" outlineLevel="0" collapsed="false">
      <c r="A11" s="0" t="str">
        <f aca="false">original_dataset!A11</f>
        <v>STR-1003</v>
      </c>
      <c r="B11" s="0" t="str">
        <f aca="false">original_dataset!B11</f>
        <v>2025-02-01</v>
      </c>
      <c r="C11" s="0" t="str">
        <f aca="false">original_dataset!C11</f>
        <v>North</v>
      </c>
      <c r="D11" s="0" t="str">
        <f aca="false">original_dataset!D11</f>
        <v>Airport</v>
      </c>
      <c r="E11" s="0" t="n">
        <f aca="false">original_dataset!E11</f>
        <v>68133.44</v>
      </c>
      <c r="F11" s="0" t="n">
        <f aca="false">original_dataset!F11</f>
        <v>9459</v>
      </c>
      <c r="G11" s="0" t="n">
        <f aca="false">original_dataset!G11</f>
        <v>0.22</v>
      </c>
      <c r="H11" s="0" t="n">
        <f aca="false">original_dataset!H11</f>
        <v>21</v>
      </c>
      <c r="I11" s="0" t="n">
        <f aca="false">original_dataset!I11</f>
        <v>85</v>
      </c>
      <c r="J11" s="0" t="n">
        <f aca="false">IF(ISBLANK(original_dataset!J11),MEDIAN(original_dataset!$J$2:$J$321),original_dataset!J11)</f>
        <v>1.91</v>
      </c>
      <c r="K11" s="0" t="n">
        <f aca="false">original_dataset!K11</f>
        <v>0</v>
      </c>
      <c r="L11" s="0" t="n">
        <f aca="false">IF(ISBLANK(original_dataset!L11),MEDIAN(original_dataset!$L$2:$L$321),original_dataset!L11)</f>
        <v>4.2</v>
      </c>
      <c r="M11" s="0" t="n">
        <f aca="false">original_dataset!M11</f>
        <v>779010.94</v>
      </c>
      <c r="N11" s="0" t="n">
        <f aca="false">original_dataset!N11</f>
        <v>106328.09</v>
      </c>
      <c r="O11" s="0" t="str">
        <f aca="false">IF(ISBLANK(original_dataset!J11),"Yes","No")</f>
        <v>No</v>
      </c>
      <c r="P11" s="0" t="str">
        <f aca="false">IF(ISBLANK(original_dataset!L11),"Yes","No")</f>
        <v>No</v>
      </c>
    </row>
    <row r="12" customFormat="false" ht="15" hidden="false" customHeight="false" outlineLevel="0" collapsed="false">
      <c r="A12" s="0" t="str">
        <f aca="false">original_dataset!A12</f>
        <v>STR-1003</v>
      </c>
      <c r="B12" s="0" t="str">
        <f aca="false">original_dataset!B12</f>
        <v>2025-03-01</v>
      </c>
      <c r="C12" s="0" t="str">
        <f aca="false">original_dataset!C12</f>
        <v>North</v>
      </c>
      <c r="D12" s="0" t="str">
        <f aca="false">original_dataset!D12</f>
        <v>Airport</v>
      </c>
      <c r="E12" s="0" t="n">
        <f aca="false">original_dataset!E12</f>
        <v>34285.21</v>
      </c>
      <c r="F12" s="0" t="n">
        <f aca="false">original_dataset!F12</f>
        <v>9172</v>
      </c>
      <c r="G12" s="0" t="n">
        <f aca="false">original_dataset!G12</f>
        <v>0.213</v>
      </c>
      <c r="H12" s="0" t="n">
        <f aca="false">original_dataset!H12</f>
        <v>22</v>
      </c>
      <c r="I12" s="0" t="n">
        <f aca="false">original_dataset!I12</f>
        <v>88.3</v>
      </c>
      <c r="J12" s="0" t="n">
        <f aca="false">IF(ISBLANK(original_dataset!J12),MEDIAN(original_dataset!$J$2:$J$321),original_dataset!J12)</f>
        <v>10.46</v>
      </c>
      <c r="K12" s="0" t="n">
        <f aca="false">original_dataset!K12</f>
        <v>1</v>
      </c>
      <c r="L12" s="0" t="n">
        <f aca="false">IF(ISBLANK(original_dataset!L12),MEDIAN(original_dataset!$L$2:$L$321),original_dataset!L12)</f>
        <v>3.8</v>
      </c>
      <c r="M12" s="0" t="n">
        <f aca="false">original_dataset!M12</f>
        <v>723060.76</v>
      </c>
      <c r="N12" s="0" t="n">
        <f aca="false">original_dataset!N12</f>
        <v>123131.24</v>
      </c>
      <c r="O12" s="0" t="str">
        <f aca="false">IF(ISBLANK(original_dataset!J12),"Yes","No")</f>
        <v>No</v>
      </c>
      <c r="P12" s="0" t="str">
        <f aca="false">IF(ISBLANK(original_dataset!L12),"Yes","No")</f>
        <v>No</v>
      </c>
    </row>
    <row r="13" customFormat="false" ht="15" hidden="false" customHeight="false" outlineLevel="0" collapsed="false">
      <c r="A13" s="0" t="str">
        <f aca="false">original_dataset!A13</f>
        <v>STR-1003</v>
      </c>
      <c r="B13" s="0" t="str">
        <f aca="false">original_dataset!B13</f>
        <v>2025-04-01</v>
      </c>
      <c r="C13" s="0" t="str">
        <f aca="false">original_dataset!C13</f>
        <v>North</v>
      </c>
      <c r="D13" s="0" t="str">
        <f aca="false">original_dataset!D13</f>
        <v>Airport</v>
      </c>
      <c r="E13" s="0" t="n">
        <f aca="false">original_dataset!E13</f>
        <v>67979.88</v>
      </c>
      <c r="F13" s="0" t="n">
        <f aca="false">original_dataset!F13</f>
        <v>11230</v>
      </c>
      <c r="G13" s="0" t="n">
        <f aca="false">original_dataset!G13</f>
        <v>0.002</v>
      </c>
      <c r="H13" s="0" t="n">
        <f aca="false">original_dataset!H13</f>
        <v>28</v>
      </c>
      <c r="I13" s="0" t="n">
        <f aca="false">original_dataset!I13</f>
        <v>85.3</v>
      </c>
      <c r="J13" s="0" t="n">
        <f aca="false">IF(ISBLANK(original_dataset!J13),MEDIAN(original_dataset!$J$2:$J$321),original_dataset!J13)</f>
        <v>7.16</v>
      </c>
      <c r="K13" s="0" t="n">
        <f aca="false">original_dataset!K13</f>
        <v>0</v>
      </c>
      <c r="L13" s="0" t="n">
        <f aca="false">IF(ISBLANK(original_dataset!L13),MEDIAN(original_dataset!$L$2:$L$321),original_dataset!L13)</f>
        <v>3.8</v>
      </c>
      <c r="M13" s="0" t="n">
        <f aca="false">original_dataset!M13</f>
        <v>910791.94</v>
      </c>
      <c r="N13" s="0" t="n">
        <f aca="false">original_dataset!N13</f>
        <v>158891.28</v>
      </c>
      <c r="O13" s="0" t="str">
        <f aca="false">IF(ISBLANK(original_dataset!J13),"Yes","No")</f>
        <v>No</v>
      </c>
      <c r="P13" s="0" t="str">
        <f aca="false">IF(ISBLANK(original_dataset!L13),"Yes","No")</f>
        <v>No</v>
      </c>
    </row>
    <row r="14" customFormat="false" ht="15" hidden="false" customHeight="false" outlineLevel="0" collapsed="false">
      <c r="A14" s="0" t="str">
        <f aca="false">original_dataset!A14</f>
        <v>STR-1004</v>
      </c>
      <c r="B14" s="0" t="str">
        <f aca="false">original_dataset!B14</f>
        <v>2025-01-01</v>
      </c>
      <c r="C14" s="0" t="str">
        <f aca="false">original_dataset!C14</f>
        <v>East</v>
      </c>
      <c r="D14" s="0" t="str">
        <f aca="false">original_dataset!D14</f>
        <v>Residential</v>
      </c>
      <c r="E14" s="0" t="n">
        <f aca="false">original_dataset!E14</f>
        <v>71828.26</v>
      </c>
      <c r="F14" s="0" t="n">
        <f aca="false">original_dataset!F14</f>
        <v>12775</v>
      </c>
      <c r="G14" s="0" t="n">
        <f aca="false">original_dataset!G14</f>
        <v>0.116</v>
      </c>
      <c r="H14" s="0" t="n">
        <f aca="false">original_dataset!H14</f>
        <v>30</v>
      </c>
      <c r="I14" s="0" t="n">
        <f aca="false">original_dataset!I14</f>
        <v>81.7</v>
      </c>
      <c r="J14" s="0" t="n">
        <f aca="false">IF(ISBLANK(original_dataset!J14),MEDIAN(original_dataset!$J$2:$J$321),original_dataset!J14)</f>
        <v>4.24</v>
      </c>
      <c r="K14" s="0" t="n">
        <f aca="false">original_dataset!K14</f>
        <v>1</v>
      </c>
      <c r="L14" s="0" t="n">
        <f aca="false">IF(ISBLANK(original_dataset!L14),MEDIAN(original_dataset!$L$2:$L$321),original_dataset!L14)</f>
        <v>4.2</v>
      </c>
      <c r="M14" s="0" t="n">
        <f aca="false">original_dataset!M14</f>
        <v>922168.6</v>
      </c>
      <c r="N14" s="0" t="n">
        <f aca="false">original_dataset!N14</f>
        <v>107494.53</v>
      </c>
      <c r="O14" s="0" t="str">
        <f aca="false">IF(ISBLANK(original_dataset!J14),"Yes","No")</f>
        <v>No</v>
      </c>
      <c r="P14" s="0" t="str">
        <f aca="false">IF(ISBLANK(original_dataset!L14),"Yes","No")</f>
        <v>No</v>
      </c>
    </row>
    <row r="15" customFormat="false" ht="15" hidden="false" customHeight="false" outlineLevel="0" collapsed="false">
      <c r="A15" s="0" t="str">
        <f aca="false">original_dataset!A15</f>
        <v>STR-1004</v>
      </c>
      <c r="B15" s="0" t="str">
        <f aca="false">original_dataset!B15</f>
        <v>2025-02-01</v>
      </c>
      <c r="C15" s="0" t="str">
        <f aca="false">original_dataset!C15</f>
        <v>East</v>
      </c>
      <c r="D15" s="0" t="str">
        <f aca="false">original_dataset!D15</f>
        <v>Residential</v>
      </c>
      <c r="E15" s="0" t="n">
        <f aca="false">original_dataset!E15</f>
        <v>55716.82</v>
      </c>
      <c r="F15" s="0" t="n">
        <f aca="false">original_dataset!F15</f>
        <v>10054</v>
      </c>
      <c r="G15" s="0" t="n">
        <f aca="false">original_dataset!G15</f>
        <v>0.146</v>
      </c>
      <c r="H15" s="0" t="n">
        <f aca="false">original_dataset!H15</f>
        <v>24</v>
      </c>
      <c r="I15" s="0" t="n">
        <f aca="false">original_dataset!I15</f>
        <v>84.9</v>
      </c>
      <c r="J15" s="0" t="n">
        <f aca="false">IF(ISBLANK(original_dataset!J15),MEDIAN(original_dataset!$J$2:$J$321),original_dataset!J15)</f>
        <v>1.06</v>
      </c>
      <c r="K15" s="0" t="n">
        <f aca="false">original_dataset!K15</f>
        <v>0</v>
      </c>
      <c r="L15" s="0" t="n">
        <f aca="false">IF(ISBLANK(original_dataset!L15),MEDIAN(original_dataset!$L$2:$L$321),original_dataset!L15)</f>
        <v>4.3</v>
      </c>
      <c r="M15" s="0" t="n">
        <f aca="false">original_dataset!M15</f>
        <v>726606.28</v>
      </c>
      <c r="N15" s="0" t="n">
        <f aca="false">original_dataset!N15</f>
        <v>122729.29</v>
      </c>
      <c r="O15" s="0" t="str">
        <f aca="false">IF(ISBLANK(original_dataset!J15),"Yes","No")</f>
        <v>No</v>
      </c>
      <c r="P15" s="0" t="str">
        <f aca="false">IF(ISBLANK(original_dataset!L15),"Yes","No")</f>
        <v>No</v>
      </c>
    </row>
    <row r="16" customFormat="false" ht="15" hidden="false" customHeight="false" outlineLevel="0" collapsed="false">
      <c r="A16" s="0" t="str">
        <f aca="false">original_dataset!A16</f>
        <v>STR-1004</v>
      </c>
      <c r="B16" s="0" t="str">
        <f aca="false">original_dataset!B16</f>
        <v>2025-03-01</v>
      </c>
      <c r="C16" s="0" t="str">
        <f aca="false">original_dataset!C16</f>
        <v>East</v>
      </c>
      <c r="D16" s="0" t="str">
        <f aca="false">original_dataset!D16</f>
        <v>Residential</v>
      </c>
      <c r="E16" s="0" t="n">
        <f aca="false">original_dataset!E16</f>
        <v>59909.51</v>
      </c>
      <c r="F16" s="0" t="n">
        <f aca="false">original_dataset!F16</f>
        <v>8895</v>
      </c>
      <c r="G16" s="0" t="n">
        <f aca="false">original_dataset!G16</f>
        <v>0.228</v>
      </c>
      <c r="H16" s="0" t="n">
        <f aca="false">original_dataset!H16</f>
        <v>23</v>
      </c>
      <c r="I16" s="0" t="n">
        <f aca="false">original_dataset!I16</f>
        <v>88.8</v>
      </c>
      <c r="J16" s="0" t="n">
        <f aca="false">IF(ISBLANK(original_dataset!J16),MEDIAN(original_dataset!$J$2:$J$321),original_dataset!J16)</f>
        <v>0.27</v>
      </c>
      <c r="K16" s="0" t="n">
        <f aca="false">original_dataset!K16</f>
        <v>0</v>
      </c>
      <c r="L16" s="0" t="n">
        <f aca="false">IF(ISBLANK(original_dataset!L16),MEDIAN(original_dataset!$L$2:$L$321),original_dataset!L16)</f>
        <v>4.3</v>
      </c>
      <c r="M16" s="0" t="n">
        <f aca="false">original_dataset!M16</f>
        <v>746501.09</v>
      </c>
      <c r="N16" s="0" t="n">
        <f aca="false">original_dataset!N16</f>
        <v>136816.72</v>
      </c>
      <c r="O16" s="0" t="str">
        <f aca="false">IF(ISBLANK(original_dataset!J16),"Yes","No")</f>
        <v>No</v>
      </c>
      <c r="P16" s="0" t="str">
        <f aca="false">IF(ISBLANK(original_dataset!L16),"Yes","No")</f>
        <v>No</v>
      </c>
    </row>
    <row r="17" customFormat="false" ht="15" hidden="false" customHeight="false" outlineLevel="0" collapsed="false">
      <c r="A17" s="0" t="str">
        <f aca="false">original_dataset!A17</f>
        <v>STR-1004</v>
      </c>
      <c r="B17" s="0" t="str">
        <f aca="false">original_dataset!B17</f>
        <v>2025-04-01</v>
      </c>
      <c r="C17" s="0" t="str">
        <f aca="false">original_dataset!C17</f>
        <v>East</v>
      </c>
      <c r="D17" s="0" t="str">
        <f aca="false">original_dataset!D17</f>
        <v>Residential</v>
      </c>
      <c r="E17" s="0" t="n">
        <f aca="false">original_dataset!E17</f>
        <v>75305.71</v>
      </c>
      <c r="F17" s="0" t="n">
        <f aca="false">original_dataset!F17</f>
        <v>10940</v>
      </c>
      <c r="G17" s="0" t="n">
        <f aca="false">original_dataset!G17</f>
        <v>0.006</v>
      </c>
      <c r="H17" s="0" t="n">
        <f aca="false">original_dataset!H17</f>
        <v>26</v>
      </c>
      <c r="I17" s="0" t="n">
        <f aca="false">original_dataset!I17</f>
        <v>76.5</v>
      </c>
      <c r="J17" s="0" t="n">
        <f aca="false">IF(ISBLANK(original_dataset!J17),MEDIAN(original_dataset!$J$2:$J$321),original_dataset!J17)</f>
        <v>1.32</v>
      </c>
      <c r="K17" s="0" t="n">
        <f aca="false">original_dataset!K17</f>
        <v>0</v>
      </c>
      <c r="L17" s="0" t="n">
        <f aca="false">IF(ISBLANK(original_dataset!L17),MEDIAN(original_dataset!$L$2:$L$321),original_dataset!L17)</f>
        <v>4.5</v>
      </c>
      <c r="M17" s="0" t="n">
        <f aca="false">original_dataset!M17</f>
        <v>834017.02</v>
      </c>
      <c r="N17" s="0" t="n">
        <f aca="false">original_dataset!N17</f>
        <v>114745.03</v>
      </c>
      <c r="O17" s="0" t="str">
        <f aca="false">IF(ISBLANK(original_dataset!J17),"Yes","No")</f>
        <v>No</v>
      </c>
      <c r="P17" s="0" t="str">
        <f aca="false">IF(ISBLANK(original_dataset!L17),"Yes","No")</f>
        <v>No</v>
      </c>
    </row>
    <row r="18" customFormat="false" ht="15" hidden="false" customHeight="false" outlineLevel="0" collapsed="false">
      <c r="A18" s="0" t="str">
        <f aca="false">original_dataset!A18</f>
        <v>STR-1005</v>
      </c>
      <c r="B18" s="0" t="str">
        <f aca="false">original_dataset!B18</f>
        <v>2025-01-01</v>
      </c>
      <c r="C18" s="0" t="str">
        <f aca="false">original_dataset!C18</f>
        <v>South</v>
      </c>
      <c r="D18" s="0" t="str">
        <f aca="false">original_dataset!D18</f>
        <v>Residential</v>
      </c>
      <c r="E18" s="0" t="n">
        <f aca="false">original_dataset!E18</f>
        <v>48804.22</v>
      </c>
      <c r="F18" s="0" t="n">
        <f aca="false">original_dataset!F18</f>
        <v>7057</v>
      </c>
      <c r="G18" s="0" t="n">
        <f aca="false">original_dataset!G18</f>
        <v>0.005</v>
      </c>
      <c r="H18" s="0" t="n">
        <f aca="false">original_dataset!H18</f>
        <v>15</v>
      </c>
      <c r="I18" s="0" t="n">
        <f aca="false">original_dataset!I18</f>
        <v>87.7</v>
      </c>
      <c r="J18" s="0" t="n">
        <f aca="false">IF(ISBLANK(original_dataset!J18),MEDIAN(original_dataset!$J$2:$J$321),original_dataset!J18)</f>
        <v>1.22</v>
      </c>
      <c r="K18" s="0" t="n">
        <f aca="false">original_dataset!K18</f>
        <v>0</v>
      </c>
      <c r="L18" s="0" t="n">
        <f aca="false">IF(ISBLANK(original_dataset!L18),MEDIAN(original_dataset!$L$2:$L$321),original_dataset!L18)</f>
        <v>3.7</v>
      </c>
      <c r="M18" s="0" t="n">
        <f aca="false">original_dataset!M18</f>
        <v>666152.52</v>
      </c>
      <c r="N18" s="0" t="n">
        <f aca="false">original_dataset!N18</f>
        <v>107490.58</v>
      </c>
      <c r="O18" s="0" t="str">
        <f aca="false">IF(ISBLANK(original_dataset!J18),"Yes","No")</f>
        <v>No</v>
      </c>
      <c r="P18" s="0" t="str">
        <f aca="false">IF(ISBLANK(original_dataset!L18),"Yes","No")</f>
        <v>No</v>
      </c>
    </row>
    <row r="19" customFormat="false" ht="15" hidden="false" customHeight="false" outlineLevel="0" collapsed="false">
      <c r="A19" s="0" t="str">
        <f aca="false">original_dataset!A19</f>
        <v>STR-1005</v>
      </c>
      <c r="B19" s="0" t="str">
        <f aca="false">original_dataset!B19</f>
        <v>2025-02-01</v>
      </c>
      <c r="C19" s="0" t="str">
        <f aca="false">original_dataset!C19</f>
        <v>South</v>
      </c>
      <c r="D19" s="0" t="str">
        <f aca="false">original_dataset!D19</f>
        <v>Residential</v>
      </c>
      <c r="E19" s="0" t="n">
        <f aca="false">original_dataset!E19</f>
        <v>59117.9</v>
      </c>
      <c r="F19" s="0" t="n">
        <f aca="false">original_dataset!F19</f>
        <v>4263</v>
      </c>
      <c r="G19" s="0" t="n">
        <f aca="false">original_dataset!G19</f>
        <v>0.119</v>
      </c>
      <c r="H19" s="0" t="n">
        <f aca="false">original_dataset!H19</f>
        <v>9</v>
      </c>
      <c r="I19" s="0" t="n">
        <f aca="false">original_dataset!I19</f>
        <v>87.6</v>
      </c>
      <c r="J19" s="0" t="n">
        <f aca="false">IF(ISBLANK(original_dataset!J19),MEDIAN(original_dataset!$J$2:$J$321),original_dataset!J19)</f>
        <v>4.01</v>
      </c>
      <c r="K19" s="0" t="n">
        <f aca="false">original_dataset!K19</f>
        <v>0</v>
      </c>
      <c r="L19" s="0" t="n">
        <f aca="false">IF(ISBLANK(original_dataset!L19),MEDIAN(original_dataset!$L$2:$L$321),original_dataset!L19)</f>
        <v>3.6</v>
      </c>
      <c r="M19" s="0" t="n">
        <f aca="false">original_dataset!M19</f>
        <v>573155.19</v>
      </c>
      <c r="N19" s="0" t="n">
        <f aca="false">original_dataset!N19</f>
        <v>83680.75</v>
      </c>
      <c r="O19" s="0" t="str">
        <f aca="false">IF(ISBLANK(original_dataset!J19),"Yes","No")</f>
        <v>No</v>
      </c>
      <c r="P19" s="0" t="str">
        <f aca="false">IF(ISBLANK(original_dataset!L19),"Yes","No")</f>
        <v>No</v>
      </c>
    </row>
    <row r="20" customFormat="false" ht="15" hidden="false" customHeight="false" outlineLevel="0" collapsed="false">
      <c r="A20" s="0" t="str">
        <f aca="false">original_dataset!A20</f>
        <v>STR-1005</v>
      </c>
      <c r="B20" s="0" t="str">
        <f aca="false">original_dataset!B20</f>
        <v>2025-03-01</v>
      </c>
      <c r="C20" s="0" t="str">
        <f aca="false">original_dataset!C20</f>
        <v>South</v>
      </c>
      <c r="D20" s="0" t="str">
        <f aca="false">original_dataset!D20</f>
        <v>Residential</v>
      </c>
      <c r="E20" s="0" t="n">
        <f aca="false">original_dataset!E20</f>
        <v>78831.12</v>
      </c>
      <c r="F20" s="0" t="n">
        <f aca="false">original_dataset!F20</f>
        <v>5538</v>
      </c>
      <c r="G20" s="0" t="n">
        <f aca="false">original_dataset!G20</f>
        <v>0</v>
      </c>
      <c r="H20" s="0" t="n">
        <f aca="false">original_dataset!H20</f>
        <v>15</v>
      </c>
      <c r="I20" s="0" t="n">
        <f aca="false">original_dataset!I20</f>
        <v>94.1</v>
      </c>
      <c r="J20" s="0" t="n">
        <f aca="false">IF(ISBLANK(original_dataset!J20),MEDIAN(original_dataset!$J$2:$J$321),original_dataset!J20)</f>
        <v>0.2</v>
      </c>
      <c r="K20" s="0" t="n">
        <f aca="false">original_dataset!K20</f>
        <v>0</v>
      </c>
      <c r="L20" s="0" t="n">
        <f aca="false">IF(ISBLANK(original_dataset!L20),MEDIAN(original_dataset!$L$2:$L$321),original_dataset!L20)</f>
        <v>3.9</v>
      </c>
      <c r="M20" s="0" t="n">
        <f aca="false">original_dataset!M20</f>
        <v>666573.2</v>
      </c>
      <c r="N20" s="0" t="n">
        <f aca="false">original_dataset!N20</f>
        <v>140641.02</v>
      </c>
      <c r="O20" s="0" t="str">
        <f aca="false">IF(ISBLANK(original_dataset!J20),"Yes","No")</f>
        <v>No</v>
      </c>
      <c r="P20" s="0" t="str">
        <f aca="false">IF(ISBLANK(original_dataset!L20),"Yes","No")</f>
        <v>No</v>
      </c>
    </row>
    <row r="21" customFormat="false" ht="15" hidden="false" customHeight="false" outlineLevel="0" collapsed="false">
      <c r="A21" s="0" t="str">
        <f aca="false">original_dataset!A21</f>
        <v>STR-1005</v>
      </c>
      <c r="B21" s="0" t="str">
        <f aca="false">original_dataset!B21</f>
        <v>2025-04-01</v>
      </c>
      <c r="C21" s="0" t="str">
        <f aca="false">original_dataset!C21</f>
        <v>South</v>
      </c>
      <c r="D21" s="0" t="str">
        <f aca="false">original_dataset!D21</f>
        <v>Residential</v>
      </c>
      <c r="E21" s="0" t="n">
        <f aca="false">original_dataset!E21</f>
        <v>41441.93</v>
      </c>
      <c r="F21" s="0" t="n">
        <f aca="false">original_dataset!F21</f>
        <v>4865</v>
      </c>
      <c r="G21" s="0" t="n">
        <f aca="false">original_dataset!G21</f>
        <v>0.158</v>
      </c>
      <c r="H21" s="0" t="n">
        <f aca="false">original_dataset!H21</f>
        <v>16</v>
      </c>
      <c r="I21" s="0" t="n">
        <f aca="false">original_dataset!I21</f>
        <v>88.3</v>
      </c>
      <c r="J21" s="0" t="n">
        <f aca="false">IF(ISBLANK(original_dataset!J21),MEDIAN(original_dataset!$J$2:$J$321),original_dataset!J21)</f>
        <v>0.5</v>
      </c>
      <c r="K21" s="0" t="n">
        <f aca="false">original_dataset!K21</f>
        <v>0</v>
      </c>
      <c r="L21" s="0" t="n">
        <f aca="false">IF(ISBLANK(original_dataset!L21),MEDIAN(original_dataset!$L$2:$L$321),original_dataset!L21)</f>
        <v>4</v>
      </c>
      <c r="M21" s="0" t="n">
        <f aca="false">original_dataset!M21</f>
        <v>591619.95</v>
      </c>
      <c r="N21" s="0" t="n">
        <f aca="false">original_dataset!N21</f>
        <v>99521.35</v>
      </c>
      <c r="O21" s="0" t="str">
        <f aca="false">IF(ISBLANK(original_dataset!J21),"Yes","No")</f>
        <v>No</v>
      </c>
      <c r="P21" s="0" t="str">
        <f aca="false">IF(ISBLANK(original_dataset!L21),"Yes","No")</f>
        <v>No</v>
      </c>
    </row>
    <row r="22" customFormat="false" ht="15" hidden="false" customHeight="false" outlineLevel="0" collapsed="false">
      <c r="A22" s="0" t="str">
        <f aca="false">original_dataset!A22</f>
        <v>STR-1006</v>
      </c>
      <c r="B22" s="0" t="str">
        <f aca="false">original_dataset!B22</f>
        <v>2025-01-01</v>
      </c>
      <c r="C22" s="0" t="str">
        <f aca="false">original_dataset!C22</f>
        <v>North</v>
      </c>
      <c r="D22" s="0" t="str">
        <f aca="false">original_dataset!D22</f>
        <v>Residential</v>
      </c>
      <c r="E22" s="0" t="n">
        <f aca="false">original_dataset!E22</f>
        <v>30356.28</v>
      </c>
      <c r="F22" s="0" t="n">
        <f aca="false">original_dataset!F22</f>
        <v>2822</v>
      </c>
      <c r="G22" s="0" t="n">
        <f aca="false">original_dataset!G22</f>
        <v>0.231</v>
      </c>
      <c r="H22" s="0" t="n">
        <f aca="false">original_dataset!H22</f>
        <v>9</v>
      </c>
      <c r="I22" s="0" t="n">
        <f aca="false">original_dataset!I22</f>
        <v>84.8</v>
      </c>
      <c r="J22" s="0" t="n">
        <f aca="false">IF(ISBLANK(original_dataset!J22),MEDIAN(original_dataset!$J$2:$J$321),original_dataset!J22)</f>
        <v>6.95</v>
      </c>
      <c r="K22" s="0" t="n">
        <f aca="false">original_dataset!K22</f>
        <v>0</v>
      </c>
      <c r="L22" s="0" t="n">
        <f aca="false">IF(ISBLANK(original_dataset!L22),MEDIAN(original_dataset!$L$2:$L$321),original_dataset!L22)</f>
        <v>5</v>
      </c>
      <c r="M22" s="0" t="n">
        <f aca="false">original_dataset!M22</f>
        <v>415721.82</v>
      </c>
      <c r="N22" s="0" t="n">
        <f aca="false">original_dataset!N22</f>
        <v>61179.15</v>
      </c>
      <c r="O22" s="0" t="str">
        <f aca="false">IF(ISBLANK(original_dataset!J22),"Yes","No")</f>
        <v>No</v>
      </c>
      <c r="P22" s="0" t="str">
        <f aca="false">IF(ISBLANK(original_dataset!L22),"Yes","No")</f>
        <v>No</v>
      </c>
    </row>
    <row r="23" customFormat="false" ht="15" hidden="false" customHeight="false" outlineLevel="0" collapsed="false">
      <c r="A23" s="0" t="str">
        <f aca="false">original_dataset!A23</f>
        <v>STR-1006</v>
      </c>
      <c r="B23" s="0" t="str">
        <f aca="false">original_dataset!B23</f>
        <v>2025-02-01</v>
      </c>
      <c r="C23" s="0" t="str">
        <f aca="false">original_dataset!C23</f>
        <v>North</v>
      </c>
      <c r="D23" s="0" t="str">
        <f aca="false">original_dataset!D23</f>
        <v>Residential</v>
      </c>
      <c r="E23" s="0" t="n">
        <f aca="false">original_dataset!E23</f>
        <v>33518.88</v>
      </c>
      <c r="F23" s="0" t="n">
        <f aca="false">original_dataset!F23</f>
        <v>2121</v>
      </c>
      <c r="G23" s="0" t="n">
        <f aca="false">original_dataset!G23</f>
        <v>0.176</v>
      </c>
      <c r="H23" s="0" t="n">
        <f aca="false">original_dataset!H23</f>
        <v>8</v>
      </c>
      <c r="I23" s="0" t="n">
        <f aca="false">original_dataset!I23</f>
        <v>88.5</v>
      </c>
      <c r="J23" s="0" t="n">
        <f aca="false">IF(ISBLANK(original_dataset!J23),MEDIAN(original_dataset!$J$2:$J$321),original_dataset!J23)</f>
        <v>0.2</v>
      </c>
      <c r="K23" s="0" t="n">
        <f aca="false">original_dataset!K23</f>
        <v>0</v>
      </c>
      <c r="L23" s="0" t="n">
        <f aca="false">IF(ISBLANK(original_dataset!L23),MEDIAN(original_dataset!$L$2:$L$321),original_dataset!L23)</f>
        <v>5</v>
      </c>
      <c r="M23" s="0" t="n">
        <f aca="false">original_dataset!M23</f>
        <v>491905.13</v>
      </c>
      <c r="N23" s="0" t="n">
        <f aca="false">original_dataset!N23</f>
        <v>79212.26</v>
      </c>
      <c r="O23" s="0" t="str">
        <f aca="false">IF(ISBLANK(original_dataset!J23),"Yes","No")</f>
        <v>No</v>
      </c>
      <c r="P23" s="0" t="str">
        <f aca="false">IF(ISBLANK(original_dataset!L23),"Yes","No")</f>
        <v>No</v>
      </c>
    </row>
    <row r="24" customFormat="false" ht="15" hidden="false" customHeight="false" outlineLevel="0" collapsed="false">
      <c r="A24" s="0" t="str">
        <f aca="false">original_dataset!A24</f>
        <v>STR-1006</v>
      </c>
      <c r="B24" s="0" t="str">
        <f aca="false">original_dataset!B24</f>
        <v>2025-03-01</v>
      </c>
      <c r="C24" s="0" t="str">
        <f aca="false">original_dataset!C24</f>
        <v>North</v>
      </c>
      <c r="D24" s="0" t="str">
        <f aca="false">original_dataset!D24</f>
        <v>Residential</v>
      </c>
      <c r="E24" s="0" t="n">
        <f aca="false">original_dataset!E24</f>
        <v>42267.37</v>
      </c>
      <c r="F24" s="0" t="n">
        <f aca="false">original_dataset!F24</f>
        <v>3364</v>
      </c>
      <c r="G24" s="0" t="n">
        <f aca="false">original_dataset!G24</f>
        <v>0.16</v>
      </c>
      <c r="H24" s="0" t="n">
        <f aca="false">original_dataset!H24</f>
        <v>13</v>
      </c>
      <c r="I24" s="0" t="n">
        <f aca="false">original_dataset!I24</f>
        <v>82</v>
      </c>
      <c r="J24" s="0" t="n">
        <f aca="false">IF(ISBLANK(original_dataset!J24),MEDIAN(original_dataset!$J$2:$J$321),original_dataset!J24)</f>
        <v>1.61</v>
      </c>
      <c r="K24" s="0" t="n">
        <f aca="false">original_dataset!K24</f>
        <v>1</v>
      </c>
      <c r="L24" s="0" t="n">
        <f aca="false">IF(ISBLANK(original_dataset!L24),MEDIAN(original_dataset!$L$2:$L$321),original_dataset!L24)</f>
        <v>4.6</v>
      </c>
      <c r="M24" s="0" t="n">
        <f aca="false">original_dataset!M24</f>
        <v>555929.4</v>
      </c>
      <c r="N24" s="0" t="n">
        <f aca="false">original_dataset!N24</f>
        <v>115201.76</v>
      </c>
      <c r="O24" s="0" t="str">
        <f aca="false">IF(ISBLANK(original_dataset!J24),"Yes","No")</f>
        <v>No</v>
      </c>
      <c r="P24" s="0" t="str">
        <f aca="false">IF(ISBLANK(original_dataset!L24),"Yes","No")</f>
        <v>No</v>
      </c>
    </row>
    <row r="25" customFormat="false" ht="15" hidden="false" customHeight="false" outlineLevel="0" collapsed="false">
      <c r="A25" s="0" t="str">
        <f aca="false">original_dataset!A25</f>
        <v>STR-1006</v>
      </c>
      <c r="B25" s="0" t="str">
        <f aca="false">original_dataset!B25</f>
        <v>2025-04-01</v>
      </c>
      <c r="C25" s="0" t="str">
        <f aca="false">original_dataset!C25</f>
        <v>North</v>
      </c>
      <c r="D25" s="0" t="str">
        <f aca="false">original_dataset!D25</f>
        <v>Residential</v>
      </c>
      <c r="E25" s="0" t="n">
        <f aca="false">original_dataset!E25</f>
        <v>62060.43</v>
      </c>
      <c r="F25" s="0" t="n">
        <f aca="false">original_dataset!F25</f>
        <v>2613</v>
      </c>
      <c r="G25" s="0" t="n">
        <f aca="false">original_dataset!G25</f>
        <v>0.216</v>
      </c>
      <c r="H25" s="0" t="n">
        <f aca="false">original_dataset!H25</f>
        <v>12</v>
      </c>
      <c r="I25" s="0" t="n">
        <f aca="false">original_dataset!I25</f>
        <v>92.1</v>
      </c>
      <c r="J25" s="0" t="n">
        <f aca="false">IF(ISBLANK(original_dataset!J25),MEDIAN(original_dataset!$J$2:$J$321),original_dataset!J25)</f>
        <v>1.55</v>
      </c>
      <c r="K25" s="0" t="n">
        <f aca="false">original_dataset!K25</f>
        <v>0</v>
      </c>
      <c r="L25" s="0" t="n">
        <f aca="false">IF(ISBLANK(original_dataset!L25),MEDIAN(original_dataset!$L$2:$L$321),original_dataset!L25)</f>
        <v>4.7</v>
      </c>
      <c r="M25" s="0" t="n">
        <f aca="false">original_dataset!M25</f>
        <v>565810.99</v>
      </c>
      <c r="N25" s="0" t="n">
        <f aca="false">original_dataset!N25</f>
        <v>77825.46</v>
      </c>
      <c r="O25" s="0" t="str">
        <f aca="false">IF(ISBLANK(original_dataset!J25),"Yes","No")</f>
        <v>No</v>
      </c>
      <c r="P25" s="0" t="str">
        <f aca="false">IF(ISBLANK(original_dataset!L25),"Yes","No")</f>
        <v>No</v>
      </c>
    </row>
    <row r="26" customFormat="false" ht="15" hidden="false" customHeight="false" outlineLevel="0" collapsed="false">
      <c r="A26" s="0" t="str">
        <f aca="false">original_dataset!A26</f>
        <v>STR-1007</v>
      </c>
      <c r="B26" s="0" t="str">
        <f aca="false">original_dataset!B26</f>
        <v>2025-01-01</v>
      </c>
      <c r="C26" s="0" t="str">
        <f aca="false">original_dataset!C26</f>
        <v>West</v>
      </c>
      <c r="D26" s="0" t="str">
        <f aca="false">original_dataset!D26</f>
        <v>Mall</v>
      </c>
      <c r="E26" s="0" t="n">
        <f aca="false">original_dataset!E26</f>
        <v>57696.69</v>
      </c>
      <c r="F26" s="0" t="n">
        <f aca="false">original_dataset!F26</f>
        <v>10218</v>
      </c>
      <c r="G26" s="0" t="n">
        <f aca="false">original_dataset!G26</f>
        <v>0.121</v>
      </c>
      <c r="H26" s="0" t="n">
        <f aca="false">original_dataset!H26</f>
        <v>25</v>
      </c>
      <c r="I26" s="0" t="n">
        <f aca="false">original_dataset!I26</f>
        <v>94.8</v>
      </c>
      <c r="J26" s="0" t="n">
        <f aca="false">IF(ISBLANK(original_dataset!J26),MEDIAN(original_dataset!$J$2:$J$321),original_dataset!J26)</f>
        <v>2.99</v>
      </c>
      <c r="K26" s="0" t="n">
        <f aca="false">original_dataset!K26</f>
        <v>0</v>
      </c>
      <c r="L26" s="0" t="n">
        <f aca="false">IF(ISBLANK(original_dataset!L26),MEDIAN(original_dataset!$L$2:$L$321),original_dataset!L26)</f>
        <v>3.5</v>
      </c>
      <c r="M26" s="0" t="n">
        <f aca="false">original_dataset!M26</f>
        <v>811771.14</v>
      </c>
      <c r="N26" s="0" t="n">
        <f aca="false">original_dataset!N26</f>
        <v>148756.24</v>
      </c>
      <c r="O26" s="0" t="str">
        <f aca="false">IF(ISBLANK(original_dataset!J26),"Yes","No")</f>
        <v>No</v>
      </c>
      <c r="P26" s="0" t="str">
        <f aca="false">IF(ISBLANK(original_dataset!L26),"Yes","No")</f>
        <v>No</v>
      </c>
    </row>
    <row r="27" customFormat="false" ht="15" hidden="false" customHeight="false" outlineLevel="0" collapsed="false">
      <c r="A27" s="0" t="str">
        <f aca="false">original_dataset!A27</f>
        <v>STR-1007</v>
      </c>
      <c r="B27" s="0" t="str">
        <f aca="false">original_dataset!B27</f>
        <v>2025-02-01</v>
      </c>
      <c r="C27" s="0" t="str">
        <f aca="false">original_dataset!C27</f>
        <v>West</v>
      </c>
      <c r="D27" s="0" t="str">
        <f aca="false">original_dataset!D27</f>
        <v>Mall</v>
      </c>
      <c r="E27" s="0" t="n">
        <f aca="false">original_dataset!E27</f>
        <v>172415.52</v>
      </c>
      <c r="F27" s="0" t="n">
        <f aca="false">original_dataset!F27</f>
        <v>8927</v>
      </c>
      <c r="G27" s="0" t="n">
        <f aca="false">original_dataset!G27</f>
        <v>0.14</v>
      </c>
      <c r="H27" s="0" t="n">
        <f aca="false">original_dataset!H27</f>
        <v>22</v>
      </c>
      <c r="I27" s="0" t="n">
        <f aca="false">original_dataset!I27</f>
        <v>86.2</v>
      </c>
      <c r="J27" s="0" t="n">
        <f aca="false">IF(ISBLANK(original_dataset!J27),MEDIAN(original_dataset!$J$2:$J$321),original_dataset!J27)</f>
        <v>7.04</v>
      </c>
      <c r="K27" s="0" t="n">
        <f aca="false">original_dataset!K27</f>
        <v>0</v>
      </c>
      <c r="L27" s="0" t="n">
        <f aca="false">IF(ISBLANK(original_dataset!L27),MEDIAN(original_dataset!$L$2:$L$321),original_dataset!L27)</f>
        <v>3.9</v>
      </c>
      <c r="M27" s="0" t="n">
        <f aca="false">original_dataset!M27</f>
        <v>800451.94</v>
      </c>
      <c r="N27" s="0" t="n">
        <f aca="false">original_dataset!N27</f>
        <v>111572.29</v>
      </c>
      <c r="O27" s="0" t="str">
        <f aca="false">IF(ISBLANK(original_dataset!J27),"Yes","No")</f>
        <v>No</v>
      </c>
      <c r="P27" s="0" t="str">
        <f aca="false">IF(ISBLANK(original_dataset!L27),"Yes","No")</f>
        <v>No</v>
      </c>
    </row>
    <row r="28" customFormat="false" ht="15" hidden="false" customHeight="false" outlineLevel="0" collapsed="false">
      <c r="A28" s="0" t="str">
        <f aca="false">original_dataset!A28</f>
        <v>STR-1007</v>
      </c>
      <c r="B28" s="0" t="str">
        <f aca="false">original_dataset!B28</f>
        <v>2025-03-01</v>
      </c>
      <c r="C28" s="0" t="str">
        <f aca="false">original_dataset!C28</f>
        <v>West</v>
      </c>
      <c r="D28" s="0" t="str">
        <f aca="false">original_dataset!D28</f>
        <v>Mall</v>
      </c>
      <c r="E28" s="0" t="n">
        <f aca="false">original_dataset!E28</f>
        <v>55270.52</v>
      </c>
      <c r="F28" s="0" t="n">
        <f aca="false">original_dataset!F28</f>
        <v>9315</v>
      </c>
      <c r="G28" s="0" t="n">
        <f aca="false">original_dataset!G28</f>
        <v>0.169</v>
      </c>
      <c r="H28" s="0" t="n">
        <f aca="false">original_dataset!H28</f>
        <v>23</v>
      </c>
      <c r="I28" s="0" t="n">
        <f aca="false">original_dataset!I28</f>
        <v>91.9</v>
      </c>
      <c r="J28" s="0" t="n">
        <f aca="false">IF(ISBLANK(original_dataset!J28),MEDIAN(original_dataset!$J$2:$J$321),original_dataset!J28)</f>
        <v>4.94</v>
      </c>
      <c r="K28" s="0" t="n">
        <f aca="false">original_dataset!K28</f>
        <v>0</v>
      </c>
      <c r="L28" s="0" t="n">
        <f aca="false">IF(ISBLANK(original_dataset!L28),MEDIAN(original_dataset!$L$2:$L$321),original_dataset!L28)</f>
        <v>4</v>
      </c>
      <c r="M28" s="0" t="n">
        <f aca="false">original_dataset!M28</f>
        <v>783672.82</v>
      </c>
      <c r="N28" s="0" t="n">
        <f aca="false">original_dataset!N28</f>
        <v>112577.14</v>
      </c>
      <c r="O28" s="0" t="str">
        <f aca="false">IF(ISBLANK(original_dataset!J28),"Yes","No")</f>
        <v>No</v>
      </c>
      <c r="P28" s="0" t="str">
        <f aca="false">IF(ISBLANK(original_dataset!L28),"Yes","No")</f>
        <v>No</v>
      </c>
    </row>
    <row r="29" customFormat="false" ht="15" hidden="false" customHeight="false" outlineLevel="0" collapsed="false">
      <c r="A29" s="0" t="str">
        <f aca="false">original_dataset!A29</f>
        <v>STR-1007</v>
      </c>
      <c r="B29" s="0" t="str">
        <f aca="false">original_dataset!B29</f>
        <v>2025-04-01</v>
      </c>
      <c r="C29" s="0" t="str">
        <f aca="false">original_dataset!C29</f>
        <v>West</v>
      </c>
      <c r="D29" s="0" t="str">
        <f aca="false">original_dataset!D29</f>
        <v>Mall</v>
      </c>
      <c r="E29" s="0" t="n">
        <f aca="false">original_dataset!E29</f>
        <v>52715.1</v>
      </c>
      <c r="F29" s="0" t="n">
        <f aca="false">original_dataset!F29</f>
        <v>7223</v>
      </c>
      <c r="G29" s="0" t="n">
        <f aca="false">original_dataset!G29</f>
        <v>0.122</v>
      </c>
      <c r="H29" s="0" t="n">
        <f aca="false">original_dataset!H29</f>
        <v>16</v>
      </c>
      <c r="I29" s="0" t="n">
        <f aca="false">original_dataset!I29</f>
        <v>84.2</v>
      </c>
      <c r="J29" s="0" t="n">
        <f aca="false">IF(ISBLANK(original_dataset!J29),MEDIAN(original_dataset!$J$2:$J$321),original_dataset!J29)</f>
        <v>16.15</v>
      </c>
      <c r="K29" s="0" t="n">
        <f aca="false">original_dataset!K29</f>
        <v>0</v>
      </c>
      <c r="L29" s="0" t="n">
        <f aca="false">IF(ISBLANK(original_dataset!L29),MEDIAN(original_dataset!$L$2:$L$321),original_dataset!L29)</f>
        <v>3.7</v>
      </c>
      <c r="M29" s="0" t="n">
        <f aca="false">original_dataset!M29</f>
        <v>701641.97</v>
      </c>
      <c r="N29" s="0" t="n">
        <f aca="false">original_dataset!N29</f>
        <v>106111.86</v>
      </c>
      <c r="O29" s="0" t="str">
        <f aca="false">IF(ISBLANK(original_dataset!J29),"Yes","No")</f>
        <v>No</v>
      </c>
      <c r="P29" s="0" t="str">
        <f aca="false">IF(ISBLANK(original_dataset!L29),"Yes","No")</f>
        <v>No</v>
      </c>
    </row>
    <row r="30" customFormat="false" ht="15" hidden="false" customHeight="false" outlineLevel="0" collapsed="false">
      <c r="A30" s="0" t="str">
        <f aca="false">original_dataset!A30</f>
        <v>STR-1008</v>
      </c>
      <c r="B30" s="0" t="str">
        <f aca="false">original_dataset!B30</f>
        <v>2025-01-01</v>
      </c>
      <c r="C30" s="0" t="str">
        <f aca="false">original_dataset!C30</f>
        <v>East</v>
      </c>
      <c r="D30" s="0" t="str">
        <f aca="false">original_dataset!D30</f>
        <v>Residential</v>
      </c>
      <c r="E30" s="0" t="n">
        <f aca="false">original_dataset!E30</f>
        <v>68600.62</v>
      </c>
      <c r="F30" s="0" t="n">
        <f aca="false">original_dataset!F30</f>
        <v>3988</v>
      </c>
      <c r="G30" s="0" t="n">
        <f aca="false">original_dataset!G30</f>
        <v>0.124</v>
      </c>
      <c r="H30" s="0" t="n">
        <f aca="false">original_dataset!H30</f>
        <v>11</v>
      </c>
      <c r="I30" s="0" t="n">
        <f aca="false">original_dataset!I30</f>
        <v>85</v>
      </c>
      <c r="J30" s="0" t="n">
        <f aca="false">IF(ISBLANK(original_dataset!J30),MEDIAN(original_dataset!$J$2:$J$321),original_dataset!J30)</f>
        <v>0.48</v>
      </c>
      <c r="K30" s="0" t="n">
        <f aca="false">original_dataset!K30</f>
        <v>0</v>
      </c>
      <c r="L30" s="0" t="n">
        <f aca="false">IF(ISBLANK(original_dataset!L30),MEDIAN(original_dataset!$L$2:$L$321),original_dataset!L30)</f>
        <v>3.6</v>
      </c>
      <c r="M30" s="0" t="n">
        <f aca="false">original_dataset!M30</f>
        <v>511844.41</v>
      </c>
      <c r="N30" s="0" t="n">
        <f aca="false">original_dataset!N30</f>
        <v>72774.44</v>
      </c>
      <c r="O30" s="0" t="str">
        <f aca="false">IF(ISBLANK(original_dataset!J30),"Yes","No")</f>
        <v>No</v>
      </c>
      <c r="P30" s="0" t="str">
        <f aca="false">IF(ISBLANK(original_dataset!L30),"Yes","No")</f>
        <v>No</v>
      </c>
    </row>
    <row r="31" customFormat="false" ht="15" hidden="false" customHeight="false" outlineLevel="0" collapsed="false">
      <c r="A31" s="0" t="str">
        <f aca="false">original_dataset!A31</f>
        <v>STR-1008</v>
      </c>
      <c r="B31" s="0" t="str">
        <f aca="false">original_dataset!B31</f>
        <v>2025-02-01</v>
      </c>
      <c r="C31" s="0" t="str">
        <f aca="false">original_dataset!C31</f>
        <v>East</v>
      </c>
      <c r="D31" s="0" t="str">
        <f aca="false">original_dataset!D31</f>
        <v>Residential</v>
      </c>
      <c r="E31" s="0" t="n">
        <f aca="false">original_dataset!E31</f>
        <v>63176.73</v>
      </c>
      <c r="F31" s="0" t="n">
        <f aca="false">original_dataset!F31</f>
        <v>2390</v>
      </c>
      <c r="G31" s="0" t="n">
        <f aca="false">original_dataset!G31</f>
        <v>0.216</v>
      </c>
      <c r="H31" s="0" t="n">
        <f aca="false">original_dataset!H31</f>
        <v>9</v>
      </c>
      <c r="I31" s="0" t="n">
        <f aca="false">original_dataset!I31</f>
        <v>87.5</v>
      </c>
      <c r="J31" s="0" t="n">
        <f aca="false">IF(ISBLANK(original_dataset!J31),MEDIAN(original_dataset!$J$2:$J$321),original_dataset!J31)</f>
        <v>0.31</v>
      </c>
      <c r="K31" s="0" t="n">
        <f aca="false">original_dataset!K31</f>
        <v>0</v>
      </c>
      <c r="L31" s="0" t="n">
        <f aca="false">IF(ISBLANK(original_dataset!L31),MEDIAN(original_dataset!$L$2:$L$321),original_dataset!L31)</f>
        <v>3.1</v>
      </c>
      <c r="M31" s="0" t="n">
        <f aca="false">original_dataset!M31</f>
        <v>537383.79</v>
      </c>
      <c r="N31" s="0" t="n">
        <f aca="false">original_dataset!N31</f>
        <v>63773.27</v>
      </c>
      <c r="O31" s="0" t="str">
        <f aca="false">IF(ISBLANK(original_dataset!J31),"Yes","No")</f>
        <v>No</v>
      </c>
      <c r="P31" s="0" t="str">
        <f aca="false">IF(ISBLANK(original_dataset!L31),"Yes","No")</f>
        <v>No</v>
      </c>
    </row>
    <row r="32" customFormat="false" ht="15" hidden="false" customHeight="false" outlineLevel="0" collapsed="false">
      <c r="A32" s="0" t="str">
        <f aca="false">original_dataset!A32</f>
        <v>STR-1008</v>
      </c>
      <c r="B32" s="0" t="str">
        <f aca="false">original_dataset!B32</f>
        <v>2025-03-01</v>
      </c>
      <c r="C32" s="0" t="str">
        <f aca="false">original_dataset!C32</f>
        <v>East</v>
      </c>
      <c r="D32" s="0" t="str">
        <f aca="false">original_dataset!D32</f>
        <v>Residential</v>
      </c>
      <c r="E32" s="0" t="n">
        <f aca="false">original_dataset!E32</f>
        <v>44970.08</v>
      </c>
      <c r="F32" s="0" t="n">
        <f aca="false">original_dataset!F32</f>
        <v>2471</v>
      </c>
      <c r="G32" s="0" t="n">
        <f aca="false">original_dataset!G32</f>
        <v>0.136</v>
      </c>
      <c r="H32" s="0" t="n">
        <f aca="false">original_dataset!H32</f>
        <v>11</v>
      </c>
      <c r="I32" s="0" t="n">
        <f aca="false">original_dataset!I32</f>
        <v>87.6</v>
      </c>
      <c r="J32" s="0" t="n">
        <f aca="false">IF(ISBLANK(original_dataset!J32),MEDIAN(original_dataset!$J$2:$J$321),original_dataset!J32)</f>
        <v>3.01</v>
      </c>
      <c r="K32" s="0" t="n">
        <f aca="false">original_dataset!K32</f>
        <v>1</v>
      </c>
      <c r="L32" s="0" t="n">
        <f aca="false">IF(ISBLANK(original_dataset!L32),MEDIAN(original_dataset!$L$2:$L$321),original_dataset!L32)</f>
        <v>3.7</v>
      </c>
      <c r="M32" s="0" t="n">
        <f aca="false">original_dataset!M32</f>
        <v>500173.02</v>
      </c>
      <c r="N32" s="0" t="n">
        <f aca="false">original_dataset!N32</f>
        <v>70982.05</v>
      </c>
      <c r="O32" s="0" t="str">
        <f aca="false">IF(ISBLANK(original_dataset!J32),"Yes","No")</f>
        <v>No</v>
      </c>
      <c r="P32" s="0" t="str">
        <f aca="false">IF(ISBLANK(original_dataset!L32),"Yes","No")</f>
        <v>No</v>
      </c>
    </row>
    <row r="33" customFormat="false" ht="15" hidden="false" customHeight="false" outlineLevel="0" collapsed="false">
      <c r="A33" s="0" t="str">
        <f aca="false">original_dataset!A33</f>
        <v>STR-1008</v>
      </c>
      <c r="B33" s="0" t="str">
        <f aca="false">original_dataset!B33</f>
        <v>2025-04-01</v>
      </c>
      <c r="C33" s="0" t="str">
        <f aca="false">original_dataset!C33</f>
        <v>East</v>
      </c>
      <c r="D33" s="0" t="str">
        <f aca="false">original_dataset!D33</f>
        <v>Residential</v>
      </c>
      <c r="E33" s="0" t="n">
        <f aca="false">original_dataset!E33</f>
        <v>69816.35</v>
      </c>
      <c r="F33" s="0" t="n">
        <f aca="false">original_dataset!F33</f>
        <v>971</v>
      </c>
      <c r="G33" s="0" t="n">
        <f aca="false">original_dataset!G33</f>
        <v>0.168</v>
      </c>
      <c r="H33" s="0" t="n">
        <f aca="false">original_dataset!H33</f>
        <v>5</v>
      </c>
      <c r="I33" s="0" t="n">
        <f aca="false">original_dataset!I33</f>
        <v>89.9</v>
      </c>
      <c r="J33" s="0" t="n">
        <f aca="false">IF(ISBLANK(original_dataset!J33),MEDIAN(original_dataset!$J$2:$J$321),original_dataset!J33)</f>
        <v>12.15</v>
      </c>
      <c r="K33" s="0" t="n">
        <f aca="false">original_dataset!K33</f>
        <v>0</v>
      </c>
      <c r="L33" s="0" t="n">
        <f aca="false">IF(ISBLANK(original_dataset!L33),MEDIAN(original_dataset!$L$2:$L$321),original_dataset!L33)</f>
        <v>3.6</v>
      </c>
      <c r="M33" s="0" t="n">
        <f aca="false">original_dataset!M33</f>
        <v>427917.38</v>
      </c>
      <c r="N33" s="0" t="n">
        <f aca="false">original_dataset!N33</f>
        <v>81824.31</v>
      </c>
      <c r="O33" s="0" t="str">
        <f aca="false">IF(ISBLANK(original_dataset!J33),"Yes","No")</f>
        <v>No</v>
      </c>
      <c r="P33" s="0" t="str">
        <f aca="false">IF(ISBLANK(original_dataset!L33),"Yes","No")</f>
        <v>No</v>
      </c>
    </row>
    <row r="34" customFormat="false" ht="15" hidden="false" customHeight="false" outlineLevel="0" collapsed="false">
      <c r="A34" s="0" t="str">
        <f aca="false">original_dataset!A34</f>
        <v>STR-1009</v>
      </c>
      <c r="B34" s="0" t="str">
        <f aca="false">original_dataset!B34</f>
        <v>2025-01-01</v>
      </c>
      <c r="C34" s="0" t="str">
        <f aca="false">original_dataset!C34</f>
        <v>North</v>
      </c>
      <c r="D34" s="0" t="str">
        <f aca="false">original_dataset!D34</f>
        <v>Residential</v>
      </c>
      <c r="E34" s="0" t="n">
        <f aca="false">original_dataset!E34</f>
        <v>54597.83</v>
      </c>
      <c r="F34" s="0" t="n">
        <f aca="false">original_dataset!F34</f>
        <v>9429</v>
      </c>
      <c r="G34" s="0" t="n">
        <f aca="false">original_dataset!G34</f>
        <v>0.188</v>
      </c>
      <c r="H34" s="0" t="n">
        <f aca="false">original_dataset!H34</f>
        <v>21</v>
      </c>
      <c r="I34" s="0" t="n">
        <f aca="false">original_dataset!I34</f>
        <v>83.3</v>
      </c>
      <c r="J34" s="0" t="n">
        <f aca="false">IF(ISBLANK(original_dataset!J34),MEDIAN(original_dataset!$J$2:$J$321),original_dataset!J34)</f>
        <v>11.71</v>
      </c>
      <c r="K34" s="0" t="n">
        <f aca="false">original_dataset!K34</f>
        <v>0</v>
      </c>
      <c r="L34" s="0" t="n">
        <f aca="false">IF(ISBLANK(original_dataset!L34),MEDIAN(original_dataset!$L$2:$L$321),original_dataset!L34)</f>
        <v>4.2</v>
      </c>
      <c r="M34" s="0" t="n">
        <f aca="false">original_dataset!M34</f>
        <v>641865.03</v>
      </c>
      <c r="N34" s="0" t="n">
        <f aca="false">original_dataset!N34</f>
        <v>81342.58</v>
      </c>
      <c r="O34" s="0" t="str">
        <f aca="false">IF(ISBLANK(original_dataset!J34),"Yes","No")</f>
        <v>No</v>
      </c>
      <c r="P34" s="0" t="str">
        <f aca="false">IF(ISBLANK(original_dataset!L34),"Yes","No")</f>
        <v>No</v>
      </c>
    </row>
    <row r="35" customFormat="false" ht="15" hidden="false" customHeight="false" outlineLevel="0" collapsed="false">
      <c r="A35" s="0" t="str">
        <f aca="false">original_dataset!A35</f>
        <v>STR-1009</v>
      </c>
      <c r="B35" s="0" t="str">
        <f aca="false">original_dataset!B35</f>
        <v>2025-02-01</v>
      </c>
      <c r="C35" s="0" t="str">
        <f aca="false">original_dataset!C35</f>
        <v>North</v>
      </c>
      <c r="D35" s="0" t="str">
        <f aca="false">original_dataset!D35</f>
        <v>Residential</v>
      </c>
      <c r="E35" s="0" t="n">
        <f aca="false">original_dataset!E35</f>
        <v>73771.91</v>
      </c>
      <c r="F35" s="0" t="n">
        <f aca="false">original_dataset!F35</f>
        <v>11695</v>
      </c>
      <c r="G35" s="0" t="n">
        <f aca="false">original_dataset!G35</f>
        <v>0.07</v>
      </c>
      <c r="H35" s="0" t="n">
        <f aca="false">original_dataset!H35</f>
        <v>25</v>
      </c>
      <c r="I35" s="0" t="n">
        <f aca="false">original_dataset!I35</f>
        <v>84.7</v>
      </c>
      <c r="J35" s="0" t="n">
        <f aca="false">IF(ISBLANK(original_dataset!J35),MEDIAN(original_dataset!$J$2:$J$321),original_dataset!J35)</f>
        <v>0.62</v>
      </c>
      <c r="K35" s="0" t="n">
        <f aca="false">original_dataset!K35</f>
        <v>0</v>
      </c>
      <c r="L35" s="0" t="n">
        <f aca="false">IF(ISBLANK(original_dataset!L35),MEDIAN(original_dataset!$L$2:$L$321),original_dataset!L35)</f>
        <v>3.9</v>
      </c>
      <c r="M35" s="0" t="n">
        <f aca="false">original_dataset!M35</f>
        <v>799477.76</v>
      </c>
      <c r="N35" s="0" t="n">
        <f aca="false">original_dataset!N35</f>
        <v>164974.41</v>
      </c>
      <c r="O35" s="0" t="str">
        <f aca="false">IF(ISBLANK(original_dataset!J35),"Yes","No")</f>
        <v>No</v>
      </c>
      <c r="P35" s="0" t="str">
        <f aca="false">IF(ISBLANK(original_dataset!L35),"Yes","No")</f>
        <v>Yes</v>
      </c>
    </row>
    <row r="36" customFormat="false" ht="15" hidden="false" customHeight="false" outlineLevel="0" collapsed="false">
      <c r="A36" s="0" t="str">
        <f aca="false">original_dataset!A36</f>
        <v>STR-1009</v>
      </c>
      <c r="B36" s="0" t="str">
        <f aca="false">original_dataset!B36</f>
        <v>2025-03-01</v>
      </c>
      <c r="C36" s="0" t="str">
        <f aca="false">original_dataset!C36</f>
        <v>North</v>
      </c>
      <c r="D36" s="0" t="str">
        <f aca="false">original_dataset!D36</f>
        <v>Residential</v>
      </c>
      <c r="E36" s="0" t="n">
        <f aca="false">original_dataset!E36</f>
        <v>74413.88</v>
      </c>
      <c r="F36" s="0" t="n">
        <f aca="false">original_dataset!F36</f>
        <v>9449</v>
      </c>
      <c r="G36" s="0" t="n">
        <f aca="false">original_dataset!G36</f>
        <v>0.039</v>
      </c>
      <c r="H36" s="0" t="n">
        <f aca="false">original_dataset!H36</f>
        <v>23</v>
      </c>
      <c r="I36" s="0" t="n">
        <f aca="false">original_dataset!I36</f>
        <v>92.1</v>
      </c>
      <c r="J36" s="0" t="n">
        <f aca="false">IF(ISBLANK(original_dataset!J36),MEDIAN(original_dataset!$J$2:$J$321),original_dataset!J36)</f>
        <v>2.12</v>
      </c>
      <c r="K36" s="0" t="n">
        <f aca="false">original_dataset!K36</f>
        <v>0</v>
      </c>
      <c r="L36" s="0" t="n">
        <f aca="false">IF(ISBLANK(original_dataset!L36),MEDIAN(original_dataset!$L$2:$L$321),original_dataset!L36)</f>
        <v>3.5</v>
      </c>
      <c r="M36" s="0" t="n">
        <f aca="false">original_dataset!M36</f>
        <v>798952.17</v>
      </c>
      <c r="N36" s="0" t="n">
        <f aca="false">original_dataset!N36</f>
        <v>161499.04</v>
      </c>
      <c r="O36" s="0" t="str">
        <f aca="false">IF(ISBLANK(original_dataset!J36),"Yes","No")</f>
        <v>No</v>
      </c>
      <c r="P36" s="0" t="str">
        <f aca="false">IF(ISBLANK(original_dataset!L36),"Yes","No")</f>
        <v>No</v>
      </c>
    </row>
    <row r="37" customFormat="false" ht="15" hidden="false" customHeight="false" outlineLevel="0" collapsed="false">
      <c r="A37" s="0" t="str">
        <f aca="false">original_dataset!A37</f>
        <v>STR-1009</v>
      </c>
      <c r="B37" s="0" t="str">
        <f aca="false">original_dataset!B37</f>
        <v>2025-04-01</v>
      </c>
      <c r="C37" s="0" t="str">
        <f aca="false">original_dataset!C37</f>
        <v>North</v>
      </c>
      <c r="D37" s="0" t="str">
        <f aca="false">original_dataset!D37</f>
        <v>Residential</v>
      </c>
      <c r="E37" s="0" t="n">
        <f aca="false">original_dataset!E37</f>
        <v>52483.77</v>
      </c>
      <c r="F37" s="0" t="n">
        <f aca="false">original_dataset!F37</f>
        <v>10453</v>
      </c>
      <c r="G37" s="0" t="n">
        <f aca="false">original_dataset!G37</f>
        <v>0.247</v>
      </c>
      <c r="H37" s="0" t="n">
        <f aca="false">original_dataset!H37</f>
        <v>25</v>
      </c>
      <c r="I37" s="0" t="n">
        <f aca="false">original_dataset!I37</f>
        <v>99</v>
      </c>
      <c r="J37" s="0" t="n">
        <f aca="false">IF(ISBLANK(original_dataset!J37),MEDIAN(original_dataset!$J$2:$J$321),original_dataset!J37)</f>
        <v>6.31</v>
      </c>
      <c r="K37" s="0" t="n">
        <f aca="false">original_dataset!K37</f>
        <v>0</v>
      </c>
      <c r="L37" s="0" t="n">
        <f aca="false">IF(ISBLANK(original_dataset!L37),MEDIAN(original_dataset!$L$2:$L$321),original_dataset!L37)</f>
        <v>3.6</v>
      </c>
      <c r="M37" s="0" t="n">
        <f aca="false">original_dataset!M37</f>
        <v>800979.78</v>
      </c>
      <c r="N37" s="0" t="n">
        <f aca="false">original_dataset!N37</f>
        <v>149242.27</v>
      </c>
      <c r="O37" s="0" t="str">
        <f aca="false">IF(ISBLANK(original_dataset!J37),"Yes","No")</f>
        <v>No</v>
      </c>
      <c r="P37" s="0" t="str">
        <f aca="false">IF(ISBLANK(original_dataset!L37),"Yes","No")</f>
        <v>No</v>
      </c>
    </row>
    <row r="38" customFormat="false" ht="15" hidden="false" customHeight="false" outlineLevel="0" collapsed="false">
      <c r="A38" s="0" t="str">
        <f aca="false">original_dataset!A38</f>
        <v>STR-1010</v>
      </c>
      <c r="B38" s="0" t="str">
        <f aca="false">original_dataset!B38</f>
        <v>2025-01-01</v>
      </c>
      <c r="C38" s="0" t="str">
        <f aca="false">original_dataset!C38</f>
        <v>North</v>
      </c>
      <c r="D38" s="0" t="str">
        <f aca="false">original_dataset!D38</f>
        <v>Mall</v>
      </c>
      <c r="E38" s="0" t="n">
        <f aca="false">original_dataset!E38</f>
        <v>75269.87</v>
      </c>
      <c r="F38" s="0" t="n">
        <f aca="false">original_dataset!F38</f>
        <v>8838</v>
      </c>
      <c r="G38" s="0" t="n">
        <f aca="false">original_dataset!G38</f>
        <v>0.092</v>
      </c>
      <c r="H38" s="0" t="n">
        <f aca="false">original_dataset!H38</f>
        <v>21</v>
      </c>
      <c r="I38" s="0" t="n">
        <f aca="false">original_dataset!I38</f>
        <v>83.1</v>
      </c>
      <c r="J38" s="0" t="n">
        <f aca="false">IF(ISBLANK(original_dataset!J38),MEDIAN(original_dataset!$J$2:$J$321),original_dataset!J38)</f>
        <v>9.56</v>
      </c>
      <c r="K38" s="0" t="n">
        <f aca="false">original_dataset!K38</f>
        <v>1</v>
      </c>
      <c r="L38" s="0" t="n">
        <f aca="false">IF(ISBLANK(original_dataset!L38),MEDIAN(original_dataset!$L$2:$L$321),original_dataset!L38)</f>
        <v>4.2</v>
      </c>
      <c r="M38" s="0" t="n">
        <f aca="false">original_dataset!M38</f>
        <v>820593.93</v>
      </c>
      <c r="N38" s="0" t="n">
        <f aca="false">original_dataset!N38</f>
        <v>115860.06</v>
      </c>
      <c r="O38" s="0" t="str">
        <f aca="false">IF(ISBLANK(original_dataset!J38),"Yes","No")</f>
        <v>No</v>
      </c>
      <c r="P38" s="0" t="str">
        <f aca="false">IF(ISBLANK(original_dataset!L38),"Yes","No")</f>
        <v>No</v>
      </c>
    </row>
    <row r="39" customFormat="false" ht="15" hidden="false" customHeight="false" outlineLevel="0" collapsed="false">
      <c r="A39" s="0" t="str">
        <f aca="false">original_dataset!A39</f>
        <v>STR-1010</v>
      </c>
      <c r="B39" s="0" t="str">
        <f aca="false">original_dataset!B39</f>
        <v>2025-02-01</v>
      </c>
      <c r="C39" s="0" t="str">
        <f aca="false">original_dataset!C39</f>
        <v>North</v>
      </c>
      <c r="D39" s="0" t="str">
        <f aca="false">original_dataset!D39</f>
        <v>Mall</v>
      </c>
      <c r="E39" s="0" t="n">
        <f aca="false">original_dataset!E39</f>
        <v>61245.41</v>
      </c>
      <c r="F39" s="0" t="n">
        <f aca="false">original_dataset!F39</f>
        <v>8156</v>
      </c>
      <c r="G39" s="0" t="n">
        <f aca="false">original_dataset!G39</f>
        <v>0.156</v>
      </c>
      <c r="H39" s="0" t="n">
        <f aca="false">original_dataset!H39</f>
        <v>19</v>
      </c>
      <c r="I39" s="0" t="n">
        <f aca="false">original_dataset!I39</f>
        <v>92.9</v>
      </c>
      <c r="J39" s="0" t="n">
        <f aca="false">IF(ISBLANK(original_dataset!J39),MEDIAN(original_dataset!$J$2:$J$321),original_dataset!J39)</f>
        <v>9.05</v>
      </c>
      <c r="K39" s="0" t="n">
        <f aca="false">original_dataset!K39</f>
        <v>0</v>
      </c>
      <c r="L39" s="0" t="n">
        <f aca="false">IF(ISBLANK(original_dataset!L39),MEDIAN(original_dataset!$L$2:$L$321),original_dataset!L39)</f>
        <v>3.8</v>
      </c>
      <c r="M39" s="0" t="n">
        <f aca="false">original_dataset!M39</f>
        <v>718330.53</v>
      </c>
      <c r="N39" s="0" t="n">
        <f aca="false">original_dataset!N39</f>
        <v>93247.9</v>
      </c>
      <c r="O39" s="0" t="str">
        <f aca="false">IF(ISBLANK(original_dataset!J39),"Yes","No")</f>
        <v>No</v>
      </c>
      <c r="P39" s="0" t="str">
        <f aca="false">IF(ISBLANK(original_dataset!L39),"Yes","No")</f>
        <v>No</v>
      </c>
    </row>
    <row r="40" customFormat="false" ht="15" hidden="false" customHeight="false" outlineLevel="0" collapsed="false">
      <c r="A40" s="0" t="str">
        <f aca="false">original_dataset!A40</f>
        <v>STR-1010</v>
      </c>
      <c r="B40" s="0" t="str">
        <f aca="false">original_dataset!B40</f>
        <v>2025-03-01</v>
      </c>
      <c r="C40" s="0" t="str">
        <f aca="false">original_dataset!C40</f>
        <v>North</v>
      </c>
      <c r="D40" s="0" t="str">
        <f aca="false">original_dataset!D40</f>
        <v>Mall</v>
      </c>
      <c r="E40" s="0" t="n">
        <f aca="false">original_dataset!E40</f>
        <v>93381.26</v>
      </c>
      <c r="F40" s="0" t="n">
        <f aca="false">original_dataset!F40</f>
        <v>7562</v>
      </c>
      <c r="G40" s="0" t="n">
        <f aca="false">original_dataset!G40</f>
        <v>0.198</v>
      </c>
      <c r="H40" s="0" t="n">
        <f aca="false">original_dataset!H40</f>
        <v>19</v>
      </c>
      <c r="I40" s="0" t="n">
        <f aca="false">original_dataset!I40</f>
        <v>82.9</v>
      </c>
      <c r="J40" s="0" t="n">
        <f aca="false">IF(ISBLANK(original_dataset!J40),MEDIAN(original_dataset!$J$2:$J$321),original_dataset!J40)</f>
        <v>5.05</v>
      </c>
      <c r="K40" s="0" t="n">
        <f aca="false">original_dataset!K40</f>
        <v>0</v>
      </c>
      <c r="L40" s="0" t="n">
        <f aca="false">IF(ISBLANK(original_dataset!L40),MEDIAN(original_dataset!$L$2:$L$321),original_dataset!L40)</f>
        <v>4</v>
      </c>
      <c r="M40" s="0" t="n">
        <f aca="false">original_dataset!M40</f>
        <v>736633.4</v>
      </c>
      <c r="N40" s="0" t="n">
        <f aca="false">original_dataset!N40</f>
        <v>115654.66</v>
      </c>
      <c r="O40" s="0" t="str">
        <f aca="false">IF(ISBLANK(original_dataset!J40),"Yes","No")</f>
        <v>No</v>
      </c>
      <c r="P40" s="0" t="str">
        <f aca="false">IF(ISBLANK(original_dataset!L40),"Yes","No")</f>
        <v>No</v>
      </c>
    </row>
    <row r="41" customFormat="false" ht="15" hidden="false" customHeight="false" outlineLevel="0" collapsed="false">
      <c r="A41" s="0" t="str">
        <f aca="false">original_dataset!A41</f>
        <v>STR-1010</v>
      </c>
      <c r="B41" s="0" t="str">
        <f aca="false">original_dataset!B41</f>
        <v>2025-04-01</v>
      </c>
      <c r="C41" s="0" t="str">
        <f aca="false">original_dataset!C41</f>
        <v>North</v>
      </c>
      <c r="D41" s="0" t="str">
        <f aca="false">original_dataset!D41</f>
        <v>Mall</v>
      </c>
      <c r="E41" s="0" t="n">
        <f aca="false">original_dataset!E41</f>
        <v>65012.19</v>
      </c>
      <c r="F41" s="0" t="n">
        <f aca="false">original_dataset!F41</f>
        <v>9598</v>
      </c>
      <c r="G41" s="0" t="n">
        <f aca="false">original_dataset!G41</f>
        <v>0.085</v>
      </c>
      <c r="H41" s="0" t="n">
        <f aca="false">original_dataset!H41</f>
        <v>24</v>
      </c>
      <c r="I41" s="0" t="n">
        <f aca="false">original_dataset!I41</f>
        <v>98.3</v>
      </c>
      <c r="J41" s="0" t="n">
        <f aca="false">IF(ISBLANK(original_dataset!J41),MEDIAN(original_dataset!$J$2:$J$321),original_dataset!J41)</f>
        <v>0.89</v>
      </c>
      <c r="K41" s="0" t="n">
        <f aca="false">original_dataset!K41</f>
        <v>0</v>
      </c>
      <c r="L41" s="0" t="n">
        <f aca="false">IF(ISBLANK(original_dataset!L41),MEDIAN(original_dataset!$L$2:$L$321),original_dataset!L41)</f>
        <v>3.8</v>
      </c>
      <c r="M41" s="0" t="n">
        <f aca="false">original_dataset!M41</f>
        <v>828623.85</v>
      </c>
      <c r="N41" s="0" t="n">
        <f aca="false">original_dataset!N41</f>
        <v>167320.52</v>
      </c>
      <c r="O41" s="0" t="str">
        <f aca="false">IF(ISBLANK(original_dataset!J41),"Yes","No")</f>
        <v>No</v>
      </c>
      <c r="P41" s="0" t="str">
        <f aca="false">IF(ISBLANK(original_dataset!L41),"Yes","No")</f>
        <v>No</v>
      </c>
    </row>
    <row r="42" customFormat="false" ht="15" hidden="false" customHeight="false" outlineLevel="0" collapsed="false">
      <c r="A42" s="0" t="str">
        <f aca="false">original_dataset!A42</f>
        <v>STR-1011</v>
      </c>
      <c r="B42" s="0" t="str">
        <f aca="false">original_dataset!B42</f>
        <v>2025-01-01</v>
      </c>
      <c r="C42" s="0" t="str">
        <f aca="false">original_dataset!C42</f>
        <v>East</v>
      </c>
      <c r="D42" s="0" t="str">
        <f aca="false">original_dataset!D42</f>
        <v>Mall</v>
      </c>
      <c r="E42" s="0" t="n">
        <f aca="false">original_dataset!E42</f>
        <v>40462.94</v>
      </c>
      <c r="F42" s="0" t="n">
        <f aca="false">original_dataset!F42</f>
        <v>3660</v>
      </c>
      <c r="G42" s="0" t="n">
        <f aca="false">original_dataset!G42</f>
        <v>0.218</v>
      </c>
      <c r="H42" s="0" t="n">
        <f aca="false">original_dataset!H42</f>
        <v>11</v>
      </c>
      <c r="I42" s="0" t="n">
        <f aca="false">original_dataset!I42</f>
        <v>95.2</v>
      </c>
      <c r="J42" s="0" t="n">
        <f aca="false">IF(ISBLANK(original_dataset!J42),MEDIAN(original_dataset!$J$2:$J$321),original_dataset!J42)</f>
        <v>5.57</v>
      </c>
      <c r="K42" s="0" t="n">
        <f aca="false">original_dataset!K42</f>
        <v>0</v>
      </c>
      <c r="L42" s="0" t="n">
        <f aca="false">IF(ISBLANK(original_dataset!L42),MEDIAN(original_dataset!$L$2:$L$321),original_dataset!L42)</f>
        <v>4.4</v>
      </c>
      <c r="M42" s="0" t="n">
        <f aca="false">original_dataset!M42</f>
        <v>592195.85</v>
      </c>
      <c r="N42" s="0" t="n">
        <f aca="false">original_dataset!N42</f>
        <v>92291.56</v>
      </c>
      <c r="O42" s="0" t="str">
        <f aca="false">IF(ISBLANK(original_dataset!J42),"Yes","No")</f>
        <v>No</v>
      </c>
      <c r="P42" s="0" t="str">
        <f aca="false">IF(ISBLANK(original_dataset!L42),"Yes","No")</f>
        <v>No</v>
      </c>
    </row>
    <row r="43" customFormat="false" ht="15" hidden="false" customHeight="false" outlineLevel="0" collapsed="false">
      <c r="A43" s="0" t="str">
        <f aca="false">original_dataset!A43</f>
        <v>STR-1011</v>
      </c>
      <c r="B43" s="0" t="str">
        <f aca="false">original_dataset!B43</f>
        <v>2025-02-01</v>
      </c>
      <c r="C43" s="0" t="str">
        <f aca="false">original_dataset!C43</f>
        <v>East</v>
      </c>
      <c r="D43" s="0" t="str">
        <f aca="false">original_dataset!D43</f>
        <v>Mall</v>
      </c>
      <c r="E43" s="0" t="n">
        <f aca="false">original_dataset!E43</f>
        <v>46123.88</v>
      </c>
      <c r="F43" s="0" t="n">
        <f aca="false">original_dataset!F43</f>
        <v>3227</v>
      </c>
      <c r="G43" s="0" t="n">
        <f aca="false">original_dataset!G43</f>
        <v>0.143</v>
      </c>
      <c r="H43" s="0" t="n">
        <f aca="false">original_dataset!H43</f>
        <v>10</v>
      </c>
      <c r="I43" s="0" t="n">
        <f aca="false">original_dataset!I43</f>
        <v>75.4</v>
      </c>
      <c r="J43" s="0" t="n">
        <f aca="false">IF(ISBLANK(original_dataset!J43),MEDIAN(original_dataset!$J$2:$J$321),original_dataset!J43)</f>
        <v>1.06</v>
      </c>
      <c r="K43" s="0" t="n">
        <f aca="false">original_dataset!K43</f>
        <v>0</v>
      </c>
      <c r="L43" s="0" t="n">
        <f aca="false">IF(ISBLANK(original_dataset!L43),MEDIAN(original_dataset!$L$2:$L$321),original_dataset!L43)</f>
        <v>4.4</v>
      </c>
      <c r="M43" s="0" t="n">
        <f aca="false">original_dataset!M43</f>
        <v>532644.46</v>
      </c>
      <c r="N43" s="0" t="n">
        <f aca="false">original_dataset!N43</f>
        <v>60681.32</v>
      </c>
      <c r="O43" s="0" t="str">
        <f aca="false">IF(ISBLANK(original_dataset!J43),"Yes","No")</f>
        <v>No</v>
      </c>
      <c r="P43" s="0" t="str">
        <f aca="false">IF(ISBLANK(original_dataset!L43),"Yes","No")</f>
        <v>No</v>
      </c>
    </row>
    <row r="44" customFormat="false" ht="15" hidden="false" customHeight="false" outlineLevel="0" collapsed="false">
      <c r="A44" s="0" t="str">
        <f aca="false">original_dataset!A44</f>
        <v>STR-1011</v>
      </c>
      <c r="B44" s="0" t="str">
        <f aca="false">original_dataset!B44</f>
        <v>2025-03-01</v>
      </c>
      <c r="C44" s="0" t="str">
        <f aca="false">original_dataset!C44</f>
        <v>East</v>
      </c>
      <c r="D44" s="0" t="str">
        <f aca="false">original_dataset!D44</f>
        <v>Mall</v>
      </c>
      <c r="E44" s="0" t="n">
        <f aca="false">original_dataset!E44</f>
        <v>68077.54</v>
      </c>
      <c r="F44" s="0" t="n">
        <f aca="false">original_dataset!F44</f>
        <v>3360</v>
      </c>
      <c r="G44" s="0" t="n">
        <f aca="false">original_dataset!G44</f>
        <v>0.128</v>
      </c>
      <c r="H44" s="0" t="n">
        <f aca="false">original_dataset!H44</f>
        <v>14</v>
      </c>
      <c r="I44" s="0" t="n">
        <f aca="false">original_dataset!I44</f>
        <v>88.2</v>
      </c>
      <c r="J44" s="0" t="n">
        <f aca="false">IF(ISBLANK(original_dataset!J44),MEDIAN(original_dataset!$J$2:$J$321),original_dataset!J44)</f>
        <v>1.24</v>
      </c>
      <c r="K44" s="0" t="n">
        <f aca="false">original_dataset!K44</f>
        <v>1</v>
      </c>
      <c r="L44" s="0" t="n">
        <f aca="false">IF(ISBLANK(original_dataset!L44),MEDIAN(original_dataset!$L$2:$L$321),original_dataset!L44)</f>
        <v>4</v>
      </c>
      <c r="M44" s="0" t="n">
        <f aca="false">original_dataset!M44</f>
        <v>657429.18</v>
      </c>
      <c r="N44" s="0" t="n">
        <f aca="false">original_dataset!N44</f>
        <v>88919.74</v>
      </c>
      <c r="O44" s="0" t="str">
        <f aca="false">IF(ISBLANK(original_dataset!J44),"Yes","No")</f>
        <v>No</v>
      </c>
      <c r="P44" s="0" t="str">
        <f aca="false">IF(ISBLANK(original_dataset!L44),"Yes","No")</f>
        <v>No</v>
      </c>
    </row>
    <row r="45" customFormat="false" ht="15" hidden="false" customHeight="false" outlineLevel="0" collapsed="false">
      <c r="A45" s="0" t="str">
        <f aca="false">original_dataset!A45</f>
        <v>STR-1011</v>
      </c>
      <c r="B45" s="0" t="str">
        <f aca="false">original_dataset!B45</f>
        <v>2025-04-01</v>
      </c>
      <c r="C45" s="0" t="str">
        <f aca="false">original_dataset!C45</f>
        <v>East</v>
      </c>
      <c r="D45" s="0" t="str">
        <f aca="false">original_dataset!D45</f>
        <v>Mall</v>
      </c>
      <c r="E45" s="0" t="n">
        <f aca="false">original_dataset!E45</f>
        <v>64882.14</v>
      </c>
      <c r="F45" s="0" t="n">
        <f aca="false">original_dataset!F45</f>
        <v>3642</v>
      </c>
      <c r="G45" s="0" t="n">
        <f aca="false">original_dataset!G45</f>
        <v>0.019</v>
      </c>
      <c r="H45" s="0" t="n">
        <f aca="false">original_dataset!H45</f>
        <v>13</v>
      </c>
      <c r="I45" s="0" t="n">
        <f aca="false">original_dataset!I45</f>
        <v>87.8</v>
      </c>
      <c r="J45" s="0" t="n">
        <f aca="false">IF(ISBLANK(original_dataset!J45),MEDIAN(original_dataset!$J$2:$J$321),original_dataset!J45)</f>
        <v>4.52</v>
      </c>
      <c r="K45" s="0" t="n">
        <f aca="false">original_dataset!K45</f>
        <v>0</v>
      </c>
      <c r="L45" s="0" t="n">
        <f aca="false">IF(ISBLANK(original_dataset!L45),MEDIAN(original_dataset!$L$2:$L$321),original_dataset!L45)</f>
        <v>4.2</v>
      </c>
      <c r="M45" s="0" t="n">
        <f aca="false">original_dataset!M45</f>
        <v>605178</v>
      </c>
      <c r="N45" s="0" t="n">
        <f aca="false">original_dataset!N45</f>
        <v>106958.74</v>
      </c>
      <c r="O45" s="0" t="str">
        <f aca="false">IF(ISBLANK(original_dataset!J45),"Yes","No")</f>
        <v>No</v>
      </c>
      <c r="P45" s="0" t="str">
        <f aca="false">IF(ISBLANK(original_dataset!L45),"Yes","No")</f>
        <v>No</v>
      </c>
    </row>
    <row r="46" customFormat="false" ht="15" hidden="false" customHeight="false" outlineLevel="0" collapsed="false">
      <c r="A46" s="0" t="str">
        <f aca="false">original_dataset!A46</f>
        <v>STR-1012</v>
      </c>
      <c r="B46" s="0" t="str">
        <f aca="false">original_dataset!B46</f>
        <v>2025-01-01</v>
      </c>
      <c r="C46" s="0" t="str">
        <f aca="false">original_dataset!C46</f>
        <v>West</v>
      </c>
      <c r="D46" s="0" t="str">
        <f aca="false">original_dataset!D46</f>
        <v>Residential</v>
      </c>
      <c r="E46" s="0" t="n">
        <f aca="false">original_dataset!E46</f>
        <v>138855.51</v>
      </c>
      <c r="F46" s="0" t="n">
        <f aca="false">original_dataset!F46</f>
        <v>5145</v>
      </c>
      <c r="G46" s="0" t="n">
        <f aca="false">original_dataset!G46</f>
        <v>0.06</v>
      </c>
      <c r="H46" s="0" t="n">
        <f aca="false">original_dataset!H46</f>
        <v>17</v>
      </c>
      <c r="I46" s="0" t="n">
        <f aca="false">original_dataset!I46</f>
        <v>88.2</v>
      </c>
      <c r="J46" s="0" t="n">
        <f aca="false">IF(ISBLANK(original_dataset!J46),MEDIAN(original_dataset!$J$2:$J$321),original_dataset!J46)</f>
        <v>9.58</v>
      </c>
      <c r="K46" s="0" t="n">
        <f aca="false">original_dataset!K46</f>
        <v>0</v>
      </c>
      <c r="L46" s="0" t="n">
        <f aca="false">IF(ISBLANK(original_dataset!L46),MEDIAN(original_dataset!$L$2:$L$321),original_dataset!L46)</f>
        <v>3.2</v>
      </c>
      <c r="M46" s="0" t="n">
        <f aca="false">original_dataset!M46</f>
        <v>595467.6</v>
      </c>
      <c r="N46" s="0" t="n">
        <f aca="false">original_dataset!N46</f>
        <v>104276.46</v>
      </c>
      <c r="O46" s="0" t="str">
        <f aca="false">IF(ISBLANK(original_dataset!J46),"Yes","No")</f>
        <v>No</v>
      </c>
      <c r="P46" s="0" t="str">
        <f aca="false">IF(ISBLANK(original_dataset!L46),"Yes","No")</f>
        <v>No</v>
      </c>
    </row>
    <row r="47" customFormat="false" ht="15" hidden="false" customHeight="false" outlineLevel="0" collapsed="false">
      <c r="A47" s="0" t="str">
        <f aca="false">original_dataset!A47</f>
        <v>STR-1012</v>
      </c>
      <c r="B47" s="0" t="str">
        <f aca="false">original_dataset!B47</f>
        <v>2025-02-01</v>
      </c>
      <c r="C47" s="0" t="str">
        <f aca="false">original_dataset!C47</f>
        <v>West</v>
      </c>
      <c r="D47" s="0" t="str">
        <f aca="false">original_dataset!D47</f>
        <v>Residential</v>
      </c>
      <c r="E47" s="0" t="n">
        <f aca="false">original_dataset!E47</f>
        <v>63630.21</v>
      </c>
      <c r="F47" s="0" t="n">
        <f aca="false">original_dataset!F47</f>
        <v>4460</v>
      </c>
      <c r="G47" s="0" t="n">
        <f aca="false">original_dataset!G47</f>
        <v>0.235</v>
      </c>
      <c r="H47" s="0" t="n">
        <f aca="false">original_dataset!H47</f>
        <v>14</v>
      </c>
      <c r="I47" s="0" t="n">
        <f aca="false">original_dataset!I47</f>
        <v>98.6</v>
      </c>
      <c r="J47" s="0" t="n">
        <f aca="false">IF(ISBLANK(original_dataset!J47),MEDIAN(original_dataset!$J$2:$J$321),original_dataset!J47)</f>
        <v>5.52</v>
      </c>
      <c r="K47" s="0" t="n">
        <f aca="false">original_dataset!K47</f>
        <v>0</v>
      </c>
      <c r="L47" s="0" t="n">
        <f aca="false">IF(ISBLANK(original_dataset!L47),MEDIAN(original_dataset!$L$2:$L$321),original_dataset!L47)</f>
        <v>3.5</v>
      </c>
      <c r="M47" s="0" t="n">
        <f aca="false">original_dataset!M47</f>
        <v>599603.4</v>
      </c>
      <c r="N47" s="0" t="n">
        <f aca="false">original_dataset!N47</f>
        <v>112685.12</v>
      </c>
      <c r="O47" s="0" t="str">
        <f aca="false">IF(ISBLANK(original_dataset!J47),"Yes","No")</f>
        <v>No</v>
      </c>
      <c r="P47" s="0" t="str">
        <f aca="false">IF(ISBLANK(original_dataset!L47),"Yes","No")</f>
        <v>No</v>
      </c>
    </row>
    <row r="48" customFormat="false" ht="15" hidden="false" customHeight="false" outlineLevel="0" collapsed="false">
      <c r="A48" s="0" t="str">
        <f aca="false">original_dataset!A48</f>
        <v>STR-1012</v>
      </c>
      <c r="B48" s="0" t="str">
        <f aca="false">original_dataset!B48</f>
        <v>2025-03-01</v>
      </c>
      <c r="C48" s="0" t="str">
        <f aca="false">original_dataset!C48</f>
        <v>West</v>
      </c>
      <c r="D48" s="0" t="str">
        <f aca="false">original_dataset!D48</f>
        <v>Residential</v>
      </c>
      <c r="E48" s="0" t="n">
        <f aca="false">original_dataset!E48</f>
        <v>50043.65</v>
      </c>
      <c r="F48" s="0" t="n">
        <f aca="false">original_dataset!F48</f>
        <v>3804</v>
      </c>
      <c r="G48" s="0" t="n">
        <f aca="false">original_dataset!G48</f>
        <v>0.113</v>
      </c>
      <c r="H48" s="0" t="n">
        <f aca="false">original_dataset!H48</f>
        <v>11</v>
      </c>
      <c r="I48" s="0" t="n">
        <f aca="false">original_dataset!I48</f>
        <v>90.9</v>
      </c>
      <c r="J48" s="0" t="n">
        <f aca="false">IF(ISBLANK(original_dataset!J48),MEDIAN(original_dataset!$J$2:$J$321),original_dataset!J48)</f>
        <v>2.7</v>
      </c>
      <c r="K48" s="0" t="n">
        <f aca="false">original_dataset!K48</f>
        <v>1</v>
      </c>
      <c r="L48" s="0" t="n">
        <f aca="false">IF(ISBLANK(original_dataset!L48),MEDIAN(original_dataset!$L$2:$L$321),original_dataset!L48)</f>
        <v>3.2</v>
      </c>
      <c r="M48" s="0" t="n">
        <f aca="false">original_dataset!M48</f>
        <v>614800.09</v>
      </c>
      <c r="N48" s="0" t="n">
        <f aca="false">original_dataset!N48</f>
        <v>100044.2</v>
      </c>
      <c r="O48" s="0" t="str">
        <f aca="false">IF(ISBLANK(original_dataset!J48),"Yes","No")</f>
        <v>No</v>
      </c>
      <c r="P48" s="0" t="str">
        <f aca="false">IF(ISBLANK(original_dataset!L48),"Yes","No")</f>
        <v>No</v>
      </c>
    </row>
    <row r="49" customFormat="false" ht="15" hidden="false" customHeight="false" outlineLevel="0" collapsed="false">
      <c r="A49" s="0" t="str">
        <f aca="false">original_dataset!A49</f>
        <v>STR-1012</v>
      </c>
      <c r="B49" s="0" t="str">
        <f aca="false">original_dataset!B49</f>
        <v>2025-04-01</v>
      </c>
      <c r="C49" s="0" t="str">
        <f aca="false">original_dataset!C49</f>
        <v>West</v>
      </c>
      <c r="D49" s="0" t="str">
        <f aca="false">original_dataset!D49</f>
        <v>Residential</v>
      </c>
      <c r="E49" s="0" t="n">
        <f aca="false">original_dataset!E49</f>
        <v>42093.84</v>
      </c>
      <c r="F49" s="0" t="n">
        <f aca="false">original_dataset!F49</f>
        <v>4074</v>
      </c>
      <c r="G49" s="0" t="n">
        <f aca="false">original_dataset!G49</f>
        <v>0.155</v>
      </c>
      <c r="H49" s="0" t="n">
        <f aca="false">original_dataset!H49</f>
        <v>15</v>
      </c>
      <c r="I49" s="0" t="n">
        <f aca="false">original_dataset!I49</f>
        <v>88</v>
      </c>
      <c r="J49" s="0" t="n">
        <f aca="false">IF(ISBLANK(original_dataset!J49),MEDIAN(original_dataset!$J$2:$J$321),original_dataset!J49)</f>
        <v>9.64</v>
      </c>
      <c r="K49" s="0" t="n">
        <f aca="false">original_dataset!K49</f>
        <v>0</v>
      </c>
      <c r="L49" s="0" t="n">
        <f aca="false">IF(ISBLANK(original_dataset!L49),MEDIAN(original_dataset!$L$2:$L$321),original_dataset!L49)</f>
        <v>3.3</v>
      </c>
      <c r="M49" s="0" t="n">
        <f aca="false">original_dataset!M49</f>
        <v>585365.73</v>
      </c>
      <c r="N49" s="0" t="n">
        <f aca="false">original_dataset!N49</f>
        <v>81011.52</v>
      </c>
      <c r="O49" s="0" t="str">
        <f aca="false">IF(ISBLANK(original_dataset!J49),"Yes","No")</f>
        <v>No</v>
      </c>
      <c r="P49" s="0" t="str">
        <f aca="false">IF(ISBLANK(original_dataset!L49),"Yes","No")</f>
        <v>No</v>
      </c>
    </row>
    <row r="50" customFormat="false" ht="15" hidden="false" customHeight="false" outlineLevel="0" collapsed="false">
      <c r="A50" s="0" t="str">
        <f aca="false">original_dataset!A50</f>
        <v>STR-1013</v>
      </c>
      <c r="B50" s="0" t="str">
        <f aca="false">original_dataset!B50</f>
        <v>2025-01-01</v>
      </c>
      <c r="C50" s="0" t="str">
        <f aca="false">original_dataset!C50</f>
        <v>North</v>
      </c>
      <c r="D50" s="0" t="str">
        <f aca="false">original_dataset!D50</f>
        <v>Mall</v>
      </c>
      <c r="E50" s="0" t="n">
        <f aca="false">original_dataset!E50</f>
        <v>46624.05</v>
      </c>
      <c r="F50" s="0" t="n">
        <f aca="false">original_dataset!F50</f>
        <v>5104</v>
      </c>
      <c r="G50" s="0" t="n">
        <f aca="false">original_dataset!G50</f>
        <v>0.109</v>
      </c>
      <c r="H50" s="0" t="n">
        <f aca="false">original_dataset!H50</f>
        <v>11</v>
      </c>
      <c r="I50" s="0" t="n">
        <f aca="false">original_dataset!I50</f>
        <v>97.3</v>
      </c>
      <c r="J50" s="0" t="n">
        <f aca="false">IF(ISBLANK(original_dataset!J50),MEDIAN(original_dataset!$J$2:$J$321),original_dataset!J50)</f>
        <v>3.49</v>
      </c>
      <c r="K50" s="0" t="n">
        <f aca="false">original_dataset!K50</f>
        <v>1</v>
      </c>
      <c r="L50" s="0" t="n">
        <f aca="false">IF(ISBLANK(original_dataset!L50),MEDIAN(original_dataset!$L$2:$L$321),original_dataset!L50)</f>
        <v>4.7</v>
      </c>
      <c r="M50" s="0" t="n">
        <f aca="false">original_dataset!M50</f>
        <v>622811.74</v>
      </c>
      <c r="N50" s="0" t="n">
        <f aca="false">original_dataset!N50</f>
        <v>109978.35</v>
      </c>
      <c r="O50" s="0" t="str">
        <f aca="false">IF(ISBLANK(original_dataset!J50),"Yes","No")</f>
        <v>No</v>
      </c>
      <c r="P50" s="0" t="str">
        <f aca="false">IF(ISBLANK(original_dataset!L50),"Yes","No")</f>
        <v>No</v>
      </c>
    </row>
    <row r="51" customFormat="false" ht="15" hidden="false" customHeight="false" outlineLevel="0" collapsed="false">
      <c r="A51" s="0" t="str">
        <f aca="false">original_dataset!A51</f>
        <v>STR-1013</v>
      </c>
      <c r="B51" s="0" t="str">
        <f aca="false">original_dataset!B51</f>
        <v>2025-02-01</v>
      </c>
      <c r="C51" s="0" t="str">
        <f aca="false">original_dataset!C51</f>
        <v>North</v>
      </c>
      <c r="D51" s="0" t="str">
        <f aca="false">original_dataset!D51</f>
        <v>Mall</v>
      </c>
      <c r="E51" s="0" t="n">
        <f aca="false">original_dataset!E51</f>
        <v>49710.29</v>
      </c>
      <c r="F51" s="0" t="n">
        <f aca="false">original_dataset!F51</f>
        <v>5559</v>
      </c>
      <c r="G51" s="0" t="n">
        <f aca="false">original_dataset!G51</f>
        <v>0.218</v>
      </c>
      <c r="H51" s="0" t="n">
        <f aca="false">original_dataset!H51</f>
        <v>14</v>
      </c>
      <c r="I51" s="0" t="n">
        <f aca="false">original_dataset!I51</f>
        <v>71</v>
      </c>
      <c r="J51" s="0" t="n">
        <f aca="false">IF(ISBLANK(original_dataset!J51),MEDIAN(original_dataset!$J$2:$J$321),original_dataset!J51)</f>
        <v>9.11</v>
      </c>
      <c r="K51" s="0" t="n">
        <f aca="false">original_dataset!K51</f>
        <v>0</v>
      </c>
      <c r="L51" s="0" t="n">
        <f aca="false">IF(ISBLANK(original_dataset!L51),MEDIAN(original_dataset!$L$2:$L$321),original_dataset!L51)</f>
        <v>4.6</v>
      </c>
      <c r="M51" s="0" t="n">
        <f aca="false">original_dataset!M51</f>
        <v>603297.57</v>
      </c>
      <c r="N51" s="0" t="n">
        <f aca="false">original_dataset!N51</f>
        <v>60592.26</v>
      </c>
      <c r="O51" s="0" t="str">
        <f aca="false">IF(ISBLANK(original_dataset!J51),"Yes","No")</f>
        <v>No</v>
      </c>
      <c r="P51" s="0" t="str">
        <f aca="false">IF(ISBLANK(original_dataset!L51),"Yes","No")</f>
        <v>No</v>
      </c>
    </row>
    <row r="52" customFormat="false" ht="15" hidden="false" customHeight="false" outlineLevel="0" collapsed="false">
      <c r="A52" s="0" t="str">
        <f aca="false">original_dataset!A52</f>
        <v>STR-1013</v>
      </c>
      <c r="B52" s="0" t="str">
        <f aca="false">original_dataset!B52</f>
        <v>2025-03-01</v>
      </c>
      <c r="C52" s="0" t="str">
        <f aca="false">original_dataset!C52</f>
        <v>North</v>
      </c>
      <c r="D52" s="0" t="str">
        <f aca="false">original_dataset!D52</f>
        <v>Mall</v>
      </c>
      <c r="E52" s="0" t="n">
        <f aca="false">original_dataset!E52</f>
        <v>48287.85</v>
      </c>
      <c r="F52" s="0" t="n">
        <f aca="false">original_dataset!F52</f>
        <v>5150</v>
      </c>
      <c r="G52" s="0" t="n">
        <f aca="false">original_dataset!G52</f>
        <v>0.008</v>
      </c>
      <c r="H52" s="0" t="n">
        <f aca="false">original_dataset!H52</f>
        <v>12</v>
      </c>
      <c r="I52" s="0" t="n">
        <f aca="false">original_dataset!I52</f>
        <v>80.4</v>
      </c>
      <c r="J52" s="0" t="n">
        <f aca="false">IF(ISBLANK(original_dataset!J52),MEDIAN(original_dataset!$J$2:$J$321),original_dataset!J52)</f>
        <v>7.4</v>
      </c>
      <c r="K52" s="0" t="n">
        <f aca="false">original_dataset!K52</f>
        <v>0</v>
      </c>
      <c r="L52" s="0" t="n">
        <f aca="false">IF(ISBLANK(original_dataset!L52),MEDIAN(original_dataset!$L$2:$L$321),original_dataset!L52)</f>
        <v>4.5</v>
      </c>
      <c r="M52" s="0" t="n">
        <f aca="false">original_dataset!M52</f>
        <v>625672.86</v>
      </c>
      <c r="N52" s="0" t="n">
        <f aca="false">original_dataset!N52</f>
        <v>118020.12</v>
      </c>
      <c r="O52" s="0" t="str">
        <f aca="false">IF(ISBLANK(original_dataset!J52),"Yes","No")</f>
        <v>No</v>
      </c>
      <c r="P52" s="0" t="str">
        <f aca="false">IF(ISBLANK(original_dataset!L52),"Yes","No")</f>
        <v>No</v>
      </c>
    </row>
    <row r="53" customFormat="false" ht="15" hidden="false" customHeight="false" outlineLevel="0" collapsed="false">
      <c r="A53" s="0" t="str">
        <f aca="false">original_dataset!A53</f>
        <v>STR-1013</v>
      </c>
      <c r="B53" s="0" t="str">
        <f aca="false">original_dataset!B53</f>
        <v>2025-04-01</v>
      </c>
      <c r="C53" s="0" t="str">
        <f aca="false">original_dataset!C53</f>
        <v>North</v>
      </c>
      <c r="D53" s="0" t="str">
        <f aca="false">original_dataset!D53</f>
        <v>Mall</v>
      </c>
      <c r="E53" s="0" t="n">
        <f aca="false">original_dataset!E53</f>
        <v>65312.49</v>
      </c>
      <c r="F53" s="0" t="n">
        <f aca="false">original_dataset!F53</f>
        <v>7189</v>
      </c>
      <c r="G53" s="0" t="n">
        <f aca="false">original_dataset!G53</f>
        <v>0.05</v>
      </c>
      <c r="H53" s="0" t="n">
        <f aca="false">original_dataset!H53</f>
        <v>19</v>
      </c>
      <c r="I53" s="0" t="n">
        <f aca="false">original_dataset!I53</f>
        <v>93.7</v>
      </c>
      <c r="J53" s="0" t="n">
        <f aca="false">IF(ISBLANK(original_dataset!J53),MEDIAN(original_dataset!$J$2:$J$321),original_dataset!J53)</f>
        <v>7.16</v>
      </c>
      <c r="K53" s="0" t="n">
        <f aca="false">original_dataset!K53</f>
        <v>0</v>
      </c>
      <c r="L53" s="0" t="n">
        <f aca="false">IF(ISBLANK(original_dataset!L53),MEDIAN(original_dataset!$L$2:$L$321),original_dataset!L53)</f>
        <v>4.6</v>
      </c>
      <c r="M53" s="0" t="n">
        <f aca="false">original_dataset!M53</f>
        <v>773815.14</v>
      </c>
      <c r="N53" s="0" t="n">
        <f aca="false">original_dataset!N53</f>
        <v>133948.39</v>
      </c>
      <c r="O53" s="0" t="str">
        <f aca="false">IF(ISBLANK(original_dataset!J53),"Yes","No")</f>
        <v>No</v>
      </c>
      <c r="P53" s="0" t="str">
        <f aca="false">IF(ISBLANK(original_dataset!L53),"Yes","No")</f>
        <v>No</v>
      </c>
    </row>
    <row r="54" customFormat="false" ht="15" hidden="false" customHeight="false" outlineLevel="0" collapsed="false">
      <c r="A54" s="0" t="str">
        <f aca="false">original_dataset!A54</f>
        <v>STR-1014</v>
      </c>
      <c r="B54" s="0" t="str">
        <f aca="false">original_dataset!B54</f>
        <v>2025-01-01</v>
      </c>
      <c r="C54" s="0" t="str">
        <f aca="false">original_dataset!C54</f>
        <v>West</v>
      </c>
      <c r="D54" s="0" t="str">
        <f aca="false">original_dataset!D54</f>
        <v>High Street</v>
      </c>
      <c r="E54" s="0" t="n">
        <f aca="false">original_dataset!E54</f>
        <v>53015.46</v>
      </c>
      <c r="F54" s="0" t="n">
        <f aca="false">original_dataset!F54</f>
        <v>3279</v>
      </c>
      <c r="G54" s="0" t="n">
        <f aca="false">original_dataset!G54</f>
        <v>0.087</v>
      </c>
      <c r="H54" s="0" t="n">
        <f aca="false">original_dataset!H54</f>
        <v>9</v>
      </c>
      <c r="I54" s="0" t="n">
        <f aca="false">original_dataset!I54</f>
        <v>84.3</v>
      </c>
      <c r="J54" s="0" t="n">
        <f aca="false">IF(ISBLANK(original_dataset!J54),MEDIAN(original_dataset!$J$2:$J$321),original_dataset!J54)</f>
        <v>22.02</v>
      </c>
      <c r="K54" s="0" t="n">
        <f aca="false">original_dataset!K54</f>
        <v>0</v>
      </c>
      <c r="L54" s="0" t="n">
        <f aca="false">IF(ISBLANK(original_dataset!L54),MEDIAN(original_dataset!$L$2:$L$321),original_dataset!L54)</f>
        <v>3.9</v>
      </c>
      <c r="M54" s="0" t="n">
        <f aca="false">original_dataset!M54</f>
        <v>463534.25</v>
      </c>
      <c r="N54" s="0" t="n">
        <f aca="false">original_dataset!N54</f>
        <v>81834.54</v>
      </c>
      <c r="O54" s="0" t="str">
        <f aca="false">IF(ISBLANK(original_dataset!J54),"Yes","No")</f>
        <v>No</v>
      </c>
      <c r="P54" s="0" t="str">
        <f aca="false">IF(ISBLANK(original_dataset!L54),"Yes","No")</f>
        <v>No</v>
      </c>
    </row>
    <row r="55" customFormat="false" ht="15" hidden="false" customHeight="false" outlineLevel="0" collapsed="false">
      <c r="A55" s="0" t="str">
        <f aca="false">original_dataset!A55</f>
        <v>STR-1014</v>
      </c>
      <c r="B55" s="0" t="str">
        <f aca="false">original_dataset!B55</f>
        <v>2025-02-01</v>
      </c>
      <c r="C55" s="0" t="str">
        <f aca="false">original_dataset!C55</f>
        <v>West</v>
      </c>
      <c r="D55" s="0" t="str">
        <f aca="false">original_dataset!D55</f>
        <v>High Street</v>
      </c>
      <c r="E55" s="0" t="n">
        <f aca="false">original_dataset!E55</f>
        <v>99874.01</v>
      </c>
      <c r="F55" s="0" t="n">
        <f aca="false">original_dataset!F55</f>
        <v>5887</v>
      </c>
      <c r="G55" s="0" t="n">
        <f aca="false">original_dataset!G55</f>
        <v>0.262</v>
      </c>
      <c r="H55" s="0" t="n">
        <f aca="false">original_dataset!H55</f>
        <v>14</v>
      </c>
      <c r="I55" s="0" t="n">
        <f aca="false">original_dataset!I55</f>
        <v>88.7</v>
      </c>
      <c r="J55" s="0" t="n">
        <f aca="false">IF(ISBLANK(original_dataset!J55),MEDIAN(original_dataset!$J$2:$J$321),original_dataset!J55)</f>
        <v>6.18</v>
      </c>
      <c r="K55" s="0" t="n">
        <f aca="false">original_dataset!K55</f>
        <v>0</v>
      </c>
      <c r="L55" s="0" t="n">
        <f aca="false">IF(ISBLANK(original_dataset!L55),MEDIAN(original_dataset!$L$2:$L$321),original_dataset!L55)</f>
        <v>4.7</v>
      </c>
      <c r="M55" s="0" t="n">
        <f aca="false">original_dataset!M55</f>
        <v>746677.75</v>
      </c>
      <c r="N55" s="0" t="n">
        <f aca="false">original_dataset!N55</f>
        <v>122437.84</v>
      </c>
      <c r="O55" s="0" t="str">
        <f aca="false">IF(ISBLANK(original_dataset!J55),"Yes","No")</f>
        <v>No</v>
      </c>
      <c r="P55" s="0" t="str">
        <f aca="false">IF(ISBLANK(original_dataset!L55),"Yes","No")</f>
        <v>No</v>
      </c>
    </row>
    <row r="56" customFormat="false" ht="15" hidden="false" customHeight="false" outlineLevel="0" collapsed="false">
      <c r="A56" s="0" t="str">
        <f aca="false">original_dataset!A56</f>
        <v>STR-1014</v>
      </c>
      <c r="B56" s="0" t="str">
        <f aca="false">original_dataset!B56</f>
        <v>2025-03-01</v>
      </c>
      <c r="C56" s="0" t="str">
        <f aca="false">original_dataset!C56</f>
        <v>West</v>
      </c>
      <c r="D56" s="0" t="str">
        <f aca="false">original_dataset!D56</f>
        <v>High Street</v>
      </c>
      <c r="E56" s="0" t="n">
        <f aca="false">original_dataset!E56</f>
        <v>81195.5</v>
      </c>
      <c r="F56" s="0" t="n">
        <f aca="false">original_dataset!F56</f>
        <v>5516</v>
      </c>
      <c r="G56" s="0" t="n">
        <f aca="false">original_dataset!G56</f>
        <v>0.106</v>
      </c>
      <c r="H56" s="0" t="n">
        <f aca="false">original_dataset!H56</f>
        <v>14</v>
      </c>
      <c r="I56" s="0" t="n">
        <f aca="false">original_dataset!I56</f>
        <v>88</v>
      </c>
      <c r="J56" s="0" t="n">
        <f aca="false">IF(ISBLANK(original_dataset!J56),MEDIAN(original_dataset!$J$2:$J$321),original_dataset!J56)</f>
        <v>1.76</v>
      </c>
      <c r="K56" s="0" t="n">
        <f aca="false">original_dataset!K56</f>
        <v>0</v>
      </c>
      <c r="L56" s="0" t="n">
        <f aca="false">IF(ISBLANK(original_dataset!L56),MEDIAN(original_dataset!$L$2:$L$321),original_dataset!L56)</f>
        <v>4.3</v>
      </c>
      <c r="M56" s="0" t="n">
        <f aca="false">original_dataset!M56</f>
        <v>720852.5</v>
      </c>
      <c r="N56" s="0" t="n">
        <f aca="false">original_dataset!N56</f>
        <v>98565.62</v>
      </c>
      <c r="O56" s="0" t="str">
        <f aca="false">IF(ISBLANK(original_dataset!J56),"Yes","No")</f>
        <v>No</v>
      </c>
      <c r="P56" s="0" t="str">
        <f aca="false">IF(ISBLANK(original_dataset!L56),"Yes","No")</f>
        <v>No</v>
      </c>
    </row>
    <row r="57" customFormat="false" ht="15" hidden="false" customHeight="false" outlineLevel="0" collapsed="false">
      <c r="A57" s="0" t="str">
        <f aca="false">original_dataset!A57</f>
        <v>STR-1014</v>
      </c>
      <c r="B57" s="0" t="str">
        <f aca="false">original_dataset!B57</f>
        <v>2025-04-01</v>
      </c>
      <c r="C57" s="0" t="str">
        <f aca="false">original_dataset!C57</f>
        <v>West</v>
      </c>
      <c r="D57" s="0" t="str">
        <f aca="false">original_dataset!D57</f>
        <v>High Street</v>
      </c>
      <c r="E57" s="0" t="n">
        <f aca="false">original_dataset!E57</f>
        <v>27808.6</v>
      </c>
      <c r="F57" s="0" t="n">
        <f aca="false">original_dataset!F57</f>
        <v>2863</v>
      </c>
      <c r="G57" s="0" t="n">
        <f aca="false">original_dataset!G57</f>
        <v>0.08</v>
      </c>
      <c r="H57" s="0" t="n">
        <f aca="false">original_dataset!H57</f>
        <v>13</v>
      </c>
      <c r="I57" s="0" t="n">
        <f aca="false">original_dataset!I57</f>
        <v>89.3</v>
      </c>
      <c r="J57" s="0" t="n">
        <f aca="false">IF(ISBLANK(original_dataset!J57),MEDIAN(original_dataset!$J$2:$J$321),original_dataset!J57)</f>
        <v>0.47</v>
      </c>
      <c r="K57" s="0" t="n">
        <f aca="false">original_dataset!K57</f>
        <v>0</v>
      </c>
      <c r="L57" s="0" t="n">
        <f aca="false">IF(ISBLANK(original_dataset!L57),MEDIAN(original_dataset!$L$2:$L$321),original_dataset!L57)</f>
        <v>4.1</v>
      </c>
      <c r="M57" s="0" t="n">
        <f aca="false">original_dataset!M57</f>
        <v>487464.91</v>
      </c>
      <c r="N57" s="0" t="n">
        <f aca="false">original_dataset!N57</f>
        <v>64562.26</v>
      </c>
      <c r="O57" s="0" t="str">
        <f aca="false">IF(ISBLANK(original_dataset!J57),"Yes","No")</f>
        <v>No</v>
      </c>
      <c r="P57" s="0" t="str">
        <f aca="false">IF(ISBLANK(original_dataset!L57),"Yes","No")</f>
        <v>No</v>
      </c>
    </row>
    <row r="58" customFormat="false" ht="15" hidden="false" customHeight="false" outlineLevel="0" collapsed="false">
      <c r="A58" s="0" t="str">
        <f aca="false">original_dataset!A58</f>
        <v>STR-1015</v>
      </c>
      <c r="B58" s="0" t="str">
        <f aca="false">original_dataset!B58</f>
        <v>2025-01-01</v>
      </c>
      <c r="C58" s="0" t="str">
        <f aca="false">original_dataset!C58</f>
        <v>East</v>
      </c>
      <c r="D58" s="0" t="str">
        <f aca="false">original_dataset!D58</f>
        <v>Airport</v>
      </c>
      <c r="E58" s="0" t="n">
        <f aca="false">original_dataset!E58</f>
        <v>19365.06</v>
      </c>
      <c r="F58" s="0" t="n">
        <f aca="false">original_dataset!F58</f>
        <v>2378</v>
      </c>
      <c r="G58" s="0" t="n">
        <f aca="false">original_dataset!G58</f>
        <v>0</v>
      </c>
      <c r="H58" s="0" t="n">
        <f aca="false">original_dataset!H58</f>
        <v>12</v>
      </c>
      <c r="I58" s="0" t="n">
        <f aca="false">original_dataset!I58</f>
        <v>94.8</v>
      </c>
      <c r="J58" s="0" t="n">
        <f aca="false">IF(ISBLANK(original_dataset!J58),MEDIAN(original_dataset!$J$2:$J$321),original_dataset!J58)</f>
        <v>0.2</v>
      </c>
      <c r="K58" s="0" t="n">
        <f aca="false">original_dataset!K58</f>
        <v>0</v>
      </c>
      <c r="L58" s="0" t="n">
        <f aca="false">IF(ISBLANK(original_dataset!L58),MEDIAN(original_dataset!$L$2:$L$321),original_dataset!L58)</f>
        <v>3.5</v>
      </c>
      <c r="M58" s="0" t="n">
        <f aca="false">original_dataset!M58</f>
        <v>518049.26</v>
      </c>
      <c r="N58" s="0" t="n">
        <f aca="false">original_dataset!N58</f>
        <v>108592.49</v>
      </c>
      <c r="O58" s="0" t="str">
        <f aca="false">IF(ISBLANK(original_dataset!J58),"Yes","No")</f>
        <v>No</v>
      </c>
      <c r="P58" s="0" t="str">
        <f aca="false">IF(ISBLANK(original_dataset!L58),"Yes","No")</f>
        <v>No</v>
      </c>
    </row>
    <row r="59" customFormat="false" ht="15" hidden="false" customHeight="false" outlineLevel="0" collapsed="false">
      <c r="A59" s="0" t="str">
        <f aca="false">original_dataset!A59</f>
        <v>STR-1015</v>
      </c>
      <c r="B59" s="0" t="str">
        <f aca="false">original_dataset!B59</f>
        <v>2025-02-01</v>
      </c>
      <c r="C59" s="0" t="str">
        <f aca="false">original_dataset!C59</f>
        <v>East</v>
      </c>
      <c r="D59" s="0" t="str">
        <f aca="false">original_dataset!D59</f>
        <v>Airport</v>
      </c>
      <c r="E59" s="0" t="n">
        <f aca="false">original_dataset!E59</f>
        <v>59405.68</v>
      </c>
      <c r="F59" s="0" t="n">
        <f aca="false">original_dataset!F59</f>
        <v>2515</v>
      </c>
      <c r="G59" s="0" t="n">
        <f aca="false">original_dataset!G59</f>
        <v>0.039</v>
      </c>
      <c r="H59" s="0" t="n">
        <f aca="false">original_dataset!H59</f>
        <v>12</v>
      </c>
      <c r="I59" s="0" t="n">
        <f aca="false">original_dataset!I59</f>
        <v>76</v>
      </c>
      <c r="J59" s="0" t="n">
        <f aca="false">IF(ISBLANK(original_dataset!J59),MEDIAN(original_dataset!$J$2:$J$321),original_dataset!J59)</f>
        <v>5.11</v>
      </c>
      <c r="K59" s="0" t="n">
        <f aca="false">original_dataset!K59</f>
        <v>0</v>
      </c>
      <c r="L59" s="0" t="n">
        <f aca="false">IF(ISBLANK(original_dataset!L59),MEDIAN(original_dataset!$L$2:$L$321),original_dataset!L59)</f>
        <v>3.7</v>
      </c>
      <c r="M59" s="0" t="n">
        <f aca="false">original_dataset!M59</f>
        <v>500298.48</v>
      </c>
      <c r="N59" s="0" t="n">
        <f aca="false">original_dataset!N59</f>
        <v>73461.32</v>
      </c>
      <c r="O59" s="0" t="str">
        <f aca="false">IF(ISBLANK(original_dataset!J59),"Yes","No")</f>
        <v>No</v>
      </c>
      <c r="P59" s="0" t="str">
        <f aca="false">IF(ISBLANK(original_dataset!L59),"Yes","No")</f>
        <v>No</v>
      </c>
    </row>
    <row r="60" customFormat="false" ht="15" hidden="false" customHeight="false" outlineLevel="0" collapsed="false">
      <c r="A60" s="0" t="str">
        <f aca="false">original_dataset!A60</f>
        <v>STR-1015</v>
      </c>
      <c r="B60" s="0" t="str">
        <f aca="false">original_dataset!B60</f>
        <v>2025-03-01</v>
      </c>
      <c r="C60" s="0" t="str">
        <f aca="false">original_dataset!C60</f>
        <v>East</v>
      </c>
      <c r="D60" s="0" t="str">
        <f aca="false">original_dataset!D60</f>
        <v>Airport</v>
      </c>
      <c r="E60" s="0" t="n">
        <f aca="false">original_dataset!E60</f>
        <v>118910.48</v>
      </c>
      <c r="F60" s="0" t="n">
        <f aca="false">original_dataset!F60</f>
        <v>4022</v>
      </c>
      <c r="G60" s="0" t="n">
        <f aca="false">original_dataset!G60</f>
        <v>0.137</v>
      </c>
      <c r="H60" s="0" t="n">
        <f aca="false">original_dataset!H60</f>
        <v>11</v>
      </c>
      <c r="I60" s="0" t="n">
        <f aca="false">original_dataset!I60</f>
        <v>87.1</v>
      </c>
      <c r="J60" s="0" t="n">
        <f aca="false">IF(ISBLANK(original_dataset!J60),MEDIAN(original_dataset!$J$2:$J$321),original_dataset!J60)</f>
        <v>0.2</v>
      </c>
      <c r="K60" s="0" t="n">
        <f aca="false">original_dataset!K60</f>
        <v>0</v>
      </c>
      <c r="L60" s="0" t="n">
        <f aca="false">IF(ISBLANK(original_dataset!L60),MEDIAN(original_dataset!$L$2:$L$321),original_dataset!L60)</f>
        <v>3.1</v>
      </c>
      <c r="M60" s="0" t="n">
        <f aca="false">original_dataset!M60</f>
        <v>617291.15</v>
      </c>
      <c r="N60" s="0" t="n">
        <f aca="false">original_dataset!N60</f>
        <v>117782</v>
      </c>
      <c r="O60" s="0" t="str">
        <f aca="false">IF(ISBLANK(original_dataset!J60),"Yes","No")</f>
        <v>No</v>
      </c>
      <c r="P60" s="0" t="str">
        <f aca="false">IF(ISBLANK(original_dataset!L60),"Yes","No")</f>
        <v>No</v>
      </c>
    </row>
    <row r="61" customFormat="false" ht="15" hidden="false" customHeight="false" outlineLevel="0" collapsed="false">
      <c r="A61" s="0" t="str">
        <f aca="false">original_dataset!A61</f>
        <v>STR-1015</v>
      </c>
      <c r="B61" s="0" t="str">
        <f aca="false">original_dataset!B61</f>
        <v>2025-04-01</v>
      </c>
      <c r="C61" s="0" t="str">
        <f aca="false">original_dataset!C61</f>
        <v>East</v>
      </c>
      <c r="D61" s="0" t="str">
        <f aca="false">original_dataset!D61</f>
        <v>Airport</v>
      </c>
      <c r="E61" s="0" t="n">
        <f aca="false">original_dataset!E61</f>
        <v>52952.12</v>
      </c>
      <c r="F61" s="0" t="n">
        <f aca="false">original_dataset!F61</f>
        <v>4377</v>
      </c>
      <c r="G61" s="0" t="n">
        <f aca="false">original_dataset!G61</f>
        <v>0.092</v>
      </c>
      <c r="H61" s="0" t="n">
        <f aca="false">original_dataset!H61</f>
        <v>14</v>
      </c>
      <c r="I61" s="0" t="n">
        <f aca="false">original_dataset!I61</f>
        <v>88.6</v>
      </c>
      <c r="J61" s="0" t="n">
        <f aca="false">IF(ISBLANK(original_dataset!J61),MEDIAN(original_dataset!$J$2:$J$321),original_dataset!J61)</f>
        <v>13.59</v>
      </c>
      <c r="K61" s="0" t="n">
        <f aca="false">original_dataset!K61</f>
        <v>0</v>
      </c>
      <c r="L61" s="0" t="n">
        <f aca="false">IF(ISBLANK(original_dataset!L61),MEDIAN(original_dataset!$L$2:$L$321),original_dataset!L61)</f>
        <v>3.1</v>
      </c>
      <c r="M61" s="0" t="n">
        <f aca="false">original_dataset!M61</f>
        <v>553756.43</v>
      </c>
      <c r="N61" s="0" t="n">
        <f aca="false">original_dataset!N61</f>
        <v>86166.77</v>
      </c>
      <c r="O61" s="0" t="str">
        <f aca="false">IF(ISBLANK(original_dataset!J61),"Yes","No")</f>
        <v>No</v>
      </c>
      <c r="P61" s="0" t="str">
        <f aca="false">IF(ISBLANK(original_dataset!L61),"Yes","No")</f>
        <v>No</v>
      </c>
    </row>
    <row r="62" customFormat="false" ht="15" hidden="false" customHeight="false" outlineLevel="0" collapsed="false">
      <c r="A62" s="0" t="str">
        <f aca="false">original_dataset!A62</f>
        <v>STR-1016</v>
      </c>
      <c r="B62" s="0" t="str">
        <f aca="false">original_dataset!B62</f>
        <v>2025-01-01</v>
      </c>
      <c r="C62" s="0" t="str">
        <f aca="false">original_dataset!C62</f>
        <v>South</v>
      </c>
      <c r="D62" s="0" t="str">
        <f aca="false">original_dataset!D62</f>
        <v>High Street</v>
      </c>
      <c r="E62" s="0" t="n">
        <f aca="false">original_dataset!E62</f>
        <v>74907.98</v>
      </c>
      <c r="F62" s="0" t="n">
        <f aca="false">original_dataset!F62</f>
        <v>5306</v>
      </c>
      <c r="G62" s="0" t="n">
        <f aca="false">original_dataset!G62</f>
        <v>0.062</v>
      </c>
      <c r="H62" s="0" t="n">
        <f aca="false">original_dataset!H62</f>
        <v>16</v>
      </c>
      <c r="I62" s="0" t="n">
        <f aca="false">original_dataset!I62</f>
        <v>95.6</v>
      </c>
      <c r="J62" s="0" t="n">
        <f aca="false">IF(ISBLANK(original_dataset!J62),MEDIAN(original_dataset!$J$2:$J$321),original_dataset!J62)</f>
        <v>1.02</v>
      </c>
      <c r="K62" s="0" t="n">
        <f aca="false">original_dataset!K62</f>
        <v>0</v>
      </c>
      <c r="L62" s="0" t="n">
        <f aca="false">IF(ISBLANK(original_dataset!L62),MEDIAN(original_dataset!$L$2:$L$321),original_dataset!L62)</f>
        <v>3.7</v>
      </c>
      <c r="M62" s="0" t="n">
        <f aca="false">original_dataset!M62</f>
        <v>749559.71</v>
      </c>
      <c r="N62" s="0" t="n">
        <f aca="false">original_dataset!N62</f>
        <v>144522.53</v>
      </c>
      <c r="O62" s="0" t="str">
        <f aca="false">IF(ISBLANK(original_dataset!J62),"Yes","No")</f>
        <v>No</v>
      </c>
      <c r="P62" s="0" t="str">
        <f aca="false">IF(ISBLANK(original_dataset!L62),"Yes","No")</f>
        <v>No</v>
      </c>
    </row>
    <row r="63" customFormat="false" ht="15" hidden="false" customHeight="false" outlineLevel="0" collapsed="false">
      <c r="A63" s="0" t="str">
        <f aca="false">original_dataset!A63</f>
        <v>STR-1016</v>
      </c>
      <c r="B63" s="0" t="str">
        <f aca="false">original_dataset!B63</f>
        <v>2025-02-01</v>
      </c>
      <c r="C63" s="0" t="str">
        <f aca="false">original_dataset!C63</f>
        <v>South</v>
      </c>
      <c r="D63" s="0" t="str">
        <f aca="false">original_dataset!D63</f>
        <v>High Street</v>
      </c>
      <c r="E63" s="0" t="n">
        <f aca="false">original_dataset!E63</f>
        <v>37284.66</v>
      </c>
      <c r="F63" s="0" t="n">
        <f aca="false">original_dataset!F63</f>
        <v>3928</v>
      </c>
      <c r="G63" s="0" t="n">
        <f aca="false">original_dataset!G63</f>
        <v>0.074</v>
      </c>
      <c r="H63" s="0" t="n">
        <f aca="false">original_dataset!H63</f>
        <v>12</v>
      </c>
      <c r="I63" s="0" t="n">
        <f aca="false">original_dataset!I63</f>
        <v>86.5</v>
      </c>
      <c r="J63" s="0" t="n">
        <f aca="false">IF(ISBLANK(original_dataset!J63),MEDIAN(original_dataset!$J$2:$J$321),original_dataset!J63)</f>
        <v>1.64</v>
      </c>
      <c r="K63" s="0" t="n">
        <f aca="false">original_dataset!K63</f>
        <v>0</v>
      </c>
      <c r="L63" s="0" t="n">
        <f aca="false">IF(ISBLANK(original_dataset!L63),MEDIAN(original_dataset!$L$2:$L$321),original_dataset!L63)</f>
        <v>3.8</v>
      </c>
      <c r="M63" s="0" t="n">
        <f aca="false">original_dataset!M63</f>
        <v>615966.48</v>
      </c>
      <c r="N63" s="0" t="n">
        <f aca="false">original_dataset!N63</f>
        <v>91509.38</v>
      </c>
      <c r="O63" s="0" t="str">
        <f aca="false">IF(ISBLANK(original_dataset!J63),"Yes","No")</f>
        <v>No</v>
      </c>
      <c r="P63" s="0" t="str">
        <f aca="false">IF(ISBLANK(original_dataset!L63),"Yes","No")</f>
        <v>No</v>
      </c>
    </row>
    <row r="64" customFormat="false" ht="15" hidden="false" customHeight="false" outlineLevel="0" collapsed="false">
      <c r="A64" s="0" t="str">
        <f aca="false">original_dataset!A64</f>
        <v>STR-1016</v>
      </c>
      <c r="B64" s="0" t="str">
        <f aca="false">original_dataset!B64</f>
        <v>2025-03-01</v>
      </c>
      <c r="C64" s="0" t="str">
        <f aca="false">original_dataset!C64</f>
        <v>South</v>
      </c>
      <c r="D64" s="0" t="str">
        <f aca="false">original_dataset!D64</f>
        <v>High Street</v>
      </c>
      <c r="E64" s="0" t="n">
        <f aca="false">original_dataset!E64</f>
        <v>50343.19</v>
      </c>
      <c r="F64" s="0" t="n">
        <f aca="false">original_dataset!F64</f>
        <v>3845</v>
      </c>
      <c r="G64" s="0" t="n">
        <f aca="false">original_dataset!G64</f>
        <v>0.113</v>
      </c>
      <c r="H64" s="0" t="n">
        <f aca="false">original_dataset!H64</f>
        <v>9</v>
      </c>
      <c r="I64" s="0" t="n">
        <f aca="false">original_dataset!I64</f>
        <v>88.7</v>
      </c>
      <c r="J64" s="0" t="n">
        <f aca="false">IF(ISBLANK(original_dataset!J64),MEDIAN(original_dataset!$J$2:$J$321),original_dataset!J64)</f>
        <v>5.15</v>
      </c>
      <c r="K64" s="0" t="n">
        <f aca="false">original_dataset!K64</f>
        <v>0</v>
      </c>
      <c r="L64" s="0" t="n">
        <f aca="false">IF(ISBLANK(original_dataset!L64),MEDIAN(original_dataset!$L$2:$L$321),original_dataset!L64)</f>
        <v>3.3</v>
      </c>
      <c r="M64" s="0" t="n">
        <f aca="false">original_dataset!M64</f>
        <v>572011.2</v>
      </c>
      <c r="N64" s="0" t="n">
        <f aca="false">original_dataset!N64</f>
        <v>101409.68</v>
      </c>
      <c r="O64" s="0" t="str">
        <f aca="false">IF(ISBLANK(original_dataset!J64),"Yes","No")</f>
        <v>No</v>
      </c>
      <c r="P64" s="0" t="str">
        <f aca="false">IF(ISBLANK(original_dataset!L64),"Yes","No")</f>
        <v>No</v>
      </c>
    </row>
    <row r="65" customFormat="false" ht="15" hidden="false" customHeight="false" outlineLevel="0" collapsed="false">
      <c r="A65" s="0" t="str">
        <f aca="false">original_dataset!A65</f>
        <v>STR-1016</v>
      </c>
      <c r="B65" s="0" t="str">
        <f aca="false">original_dataset!B65</f>
        <v>2025-04-01</v>
      </c>
      <c r="C65" s="0" t="str">
        <f aca="false">original_dataset!C65</f>
        <v>South</v>
      </c>
      <c r="D65" s="0" t="str">
        <f aca="false">original_dataset!D65</f>
        <v>High Street</v>
      </c>
      <c r="E65" s="0" t="n">
        <f aca="false">original_dataset!E65</f>
        <v>74954.47</v>
      </c>
      <c r="F65" s="0" t="n">
        <f aca="false">original_dataset!F65</f>
        <v>6620</v>
      </c>
      <c r="G65" s="0" t="n">
        <f aca="false">original_dataset!G65</f>
        <v>0.054</v>
      </c>
      <c r="H65" s="0" t="n">
        <f aca="false">original_dataset!H65</f>
        <v>17</v>
      </c>
      <c r="I65" s="0" t="n">
        <f aca="false">original_dataset!I65</f>
        <v>91.1</v>
      </c>
      <c r="J65" s="0" t="n">
        <f aca="false">IF(ISBLANK(original_dataset!J65),MEDIAN(original_dataset!$J$2:$J$321),original_dataset!J65)</f>
        <v>1.11</v>
      </c>
      <c r="K65" s="0" t="n">
        <f aca="false">original_dataset!K65</f>
        <v>0</v>
      </c>
      <c r="L65" s="0" t="n">
        <f aca="false">IF(ISBLANK(original_dataset!L65),MEDIAN(original_dataset!$L$2:$L$321),original_dataset!L65)</f>
        <v>3.5</v>
      </c>
      <c r="M65" s="0" t="n">
        <f aca="false">original_dataset!M65</f>
        <v>761860.19</v>
      </c>
      <c r="N65" s="0" t="n">
        <f aca="false">original_dataset!N65</f>
        <v>133279.38</v>
      </c>
      <c r="O65" s="0" t="str">
        <f aca="false">IF(ISBLANK(original_dataset!J65),"Yes","No")</f>
        <v>No</v>
      </c>
      <c r="P65" s="0" t="str">
        <f aca="false">IF(ISBLANK(original_dataset!L65),"Yes","No")</f>
        <v>No</v>
      </c>
    </row>
    <row r="66" customFormat="false" ht="15" hidden="false" customHeight="false" outlineLevel="0" collapsed="false">
      <c r="A66" s="0" t="str">
        <f aca="false">original_dataset!A66</f>
        <v>STR-1017</v>
      </c>
      <c r="B66" s="0" t="str">
        <f aca="false">original_dataset!B66</f>
        <v>2025-01-01</v>
      </c>
      <c r="C66" s="0" t="str">
        <f aca="false">original_dataset!C66</f>
        <v>West</v>
      </c>
      <c r="D66" s="0" t="str">
        <f aca="false">original_dataset!D66</f>
        <v>High Street</v>
      </c>
      <c r="E66" s="0" t="n">
        <f aca="false">original_dataset!E66</f>
        <v>70040.31</v>
      </c>
      <c r="F66" s="0" t="n">
        <f aca="false">original_dataset!F66</f>
        <v>9175</v>
      </c>
      <c r="G66" s="0" t="n">
        <f aca="false">original_dataset!G66</f>
        <v>0.107</v>
      </c>
      <c r="H66" s="0" t="n">
        <f aca="false">original_dataset!H66</f>
        <v>23</v>
      </c>
      <c r="I66" s="0" t="n">
        <f aca="false">original_dataset!I66</f>
        <v>95.1</v>
      </c>
      <c r="J66" s="0" t="n">
        <f aca="false">IF(ISBLANK(original_dataset!J66),MEDIAN(original_dataset!$J$2:$J$321),original_dataset!J66)</f>
        <v>6.08</v>
      </c>
      <c r="K66" s="0" t="n">
        <f aca="false">original_dataset!K66</f>
        <v>1</v>
      </c>
      <c r="L66" s="0" t="n">
        <f aca="false">IF(ISBLANK(original_dataset!L66),MEDIAN(original_dataset!$L$2:$L$321),original_dataset!L66)</f>
        <v>3.4</v>
      </c>
      <c r="M66" s="0" t="n">
        <f aca="false">original_dataset!M66</f>
        <v>784502.68</v>
      </c>
      <c r="N66" s="0" t="n">
        <f aca="false">original_dataset!N66</f>
        <v>129519.72</v>
      </c>
      <c r="O66" s="0" t="str">
        <f aca="false">IF(ISBLANK(original_dataset!J66),"Yes","No")</f>
        <v>No</v>
      </c>
      <c r="P66" s="0" t="str">
        <f aca="false">IF(ISBLANK(original_dataset!L66),"Yes","No")</f>
        <v>No</v>
      </c>
    </row>
    <row r="67" customFormat="false" ht="15" hidden="false" customHeight="false" outlineLevel="0" collapsed="false">
      <c r="A67" s="0" t="str">
        <f aca="false">original_dataset!A67</f>
        <v>STR-1017</v>
      </c>
      <c r="B67" s="0" t="str">
        <f aca="false">original_dataset!B67</f>
        <v>2025-02-01</v>
      </c>
      <c r="C67" s="0" t="str">
        <f aca="false">original_dataset!C67</f>
        <v>West</v>
      </c>
      <c r="D67" s="0" t="str">
        <f aca="false">original_dataset!D67</f>
        <v>High Street</v>
      </c>
      <c r="E67" s="0" t="n">
        <f aca="false">original_dataset!E67</f>
        <v>51148.69</v>
      </c>
      <c r="F67" s="0" t="n">
        <f aca="false">original_dataset!F67</f>
        <v>7940</v>
      </c>
      <c r="G67" s="0" t="n">
        <f aca="false">original_dataset!G67</f>
        <v>0.156</v>
      </c>
      <c r="H67" s="0" t="n">
        <f aca="false">original_dataset!H67</f>
        <v>18</v>
      </c>
      <c r="I67" s="0" t="n">
        <f aca="false">original_dataset!I67</f>
        <v>93.3</v>
      </c>
      <c r="J67" s="0" t="n">
        <f aca="false">IF(ISBLANK(original_dataset!J67),MEDIAN(original_dataset!$J$2:$J$321),original_dataset!J67)</f>
        <v>10.91</v>
      </c>
      <c r="K67" s="0" t="n">
        <f aca="false">original_dataset!K67</f>
        <v>0</v>
      </c>
      <c r="L67" s="0" t="n">
        <f aca="false">IF(ISBLANK(original_dataset!L67),MEDIAN(original_dataset!$L$2:$L$321),original_dataset!L67)</f>
        <v>3.6</v>
      </c>
      <c r="M67" s="0" t="n">
        <f aca="false">original_dataset!M67</f>
        <v>717141.55</v>
      </c>
      <c r="N67" s="0" t="n">
        <f aca="false">original_dataset!N67</f>
        <v>134013.61</v>
      </c>
      <c r="O67" s="0" t="str">
        <f aca="false">IF(ISBLANK(original_dataset!J67),"Yes","No")</f>
        <v>No</v>
      </c>
      <c r="P67" s="0" t="str">
        <f aca="false">IF(ISBLANK(original_dataset!L67),"Yes","No")</f>
        <v>No</v>
      </c>
    </row>
    <row r="68" customFormat="false" ht="15" hidden="false" customHeight="false" outlineLevel="0" collapsed="false">
      <c r="A68" s="0" t="str">
        <f aca="false">original_dataset!A68</f>
        <v>STR-1017</v>
      </c>
      <c r="B68" s="0" t="str">
        <f aca="false">original_dataset!B68</f>
        <v>2025-03-01</v>
      </c>
      <c r="C68" s="0" t="str">
        <f aca="false">original_dataset!C68</f>
        <v>West</v>
      </c>
      <c r="D68" s="0" t="str">
        <f aca="false">original_dataset!D68</f>
        <v>High Street</v>
      </c>
      <c r="E68" s="0" t="n">
        <f aca="false">original_dataset!E68</f>
        <v>79346.1</v>
      </c>
      <c r="F68" s="0" t="n">
        <f aca="false">original_dataset!F68</f>
        <v>9628</v>
      </c>
      <c r="G68" s="0" t="n">
        <f aca="false">original_dataset!G68</f>
        <v>0.102</v>
      </c>
      <c r="H68" s="0" t="n">
        <f aca="false">original_dataset!H68</f>
        <v>20</v>
      </c>
      <c r="I68" s="0" t="n">
        <f aca="false">original_dataset!I68</f>
        <v>99</v>
      </c>
      <c r="J68" s="0" t="n">
        <f aca="false">IF(ISBLANK(original_dataset!J68),MEDIAN(original_dataset!$J$2:$J$321),original_dataset!J68)</f>
        <v>19.01</v>
      </c>
      <c r="K68" s="0" t="n">
        <f aca="false">original_dataset!K68</f>
        <v>1</v>
      </c>
      <c r="L68" s="0" t="n">
        <f aca="false">IF(ISBLANK(original_dataset!L68),MEDIAN(original_dataset!$L$2:$L$321),original_dataset!L68)</f>
        <v>3.2</v>
      </c>
      <c r="M68" s="0" t="n">
        <f aca="false">original_dataset!M68</f>
        <v>685379.08</v>
      </c>
      <c r="N68" s="0" t="n">
        <f aca="false">original_dataset!N68</f>
        <v>106898.82</v>
      </c>
      <c r="O68" s="0" t="str">
        <f aca="false">IF(ISBLANK(original_dataset!J68),"Yes","No")</f>
        <v>No</v>
      </c>
      <c r="P68" s="0" t="str">
        <f aca="false">IF(ISBLANK(original_dataset!L68),"Yes","No")</f>
        <v>No</v>
      </c>
    </row>
    <row r="69" customFormat="false" ht="15" hidden="false" customHeight="false" outlineLevel="0" collapsed="false">
      <c r="A69" s="0" t="str">
        <f aca="false">original_dataset!A69</f>
        <v>STR-1017</v>
      </c>
      <c r="B69" s="0" t="str">
        <f aca="false">original_dataset!B69</f>
        <v>2025-04-01</v>
      </c>
      <c r="C69" s="0" t="str">
        <f aca="false">original_dataset!C69</f>
        <v>West</v>
      </c>
      <c r="D69" s="0" t="str">
        <f aca="false">original_dataset!D69</f>
        <v>High Street</v>
      </c>
      <c r="E69" s="0" t="n">
        <f aca="false">original_dataset!E69</f>
        <v>42018.4</v>
      </c>
      <c r="F69" s="0" t="n">
        <f aca="false">original_dataset!F69</f>
        <v>8296</v>
      </c>
      <c r="G69" s="0" t="n">
        <f aca="false">original_dataset!G69</f>
        <v>0.115</v>
      </c>
      <c r="H69" s="0" t="n">
        <f aca="false">original_dataset!H69</f>
        <v>17</v>
      </c>
      <c r="I69" s="0" t="n">
        <f aca="false">original_dataset!I69</f>
        <v>91.8</v>
      </c>
      <c r="J69" s="0" t="n">
        <f aca="false">IF(ISBLANK(original_dataset!J69),MEDIAN(original_dataset!$J$2:$J$321),original_dataset!J69)</f>
        <v>0.77</v>
      </c>
      <c r="K69" s="0" t="n">
        <f aca="false">original_dataset!K69</f>
        <v>0</v>
      </c>
      <c r="L69" s="0" t="n">
        <f aca="false">IF(ISBLANK(original_dataset!L69),MEDIAN(original_dataset!$L$2:$L$321),original_dataset!L69)</f>
        <v>3.4</v>
      </c>
      <c r="M69" s="0" t="n">
        <f aca="false">original_dataset!M69</f>
        <v>740496.65</v>
      </c>
      <c r="N69" s="0" t="n">
        <f aca="false">original_dataset!N69</f>
        <v>128020.9</v>
      </c>
      <c r="O69" s="0" t="str">
        <f aca="false">IF(ISBLANK(original_dataset!J69),"Yes","No")</f>
        <v>No</v>
      </c>
      <c r="P69" s="0" t="str">
        <f aca="false">IF(ISBLANK(original_dataset!L69),"Yes","No")</f>
        <v>No</v>
      </c>
    </row>
    <row r="70" customFormat="false" ht="15" hidden="false" customHeight="false" outlineLevel="0" collapsed="false">
      <c r="A70" s="0" t="str">
        <f aca="false">original_dataset!A70</f>
        <v>STR-1018</v>
      </c>
      <c r="B70" s="0" t="str">
        <f aca="false">original_dataset!B70</f>
        <v>2025-01-01</v>
      </c>
      <c r="C70" s="0" t="str">
        <f aca="false">original_dataset!C70</f>
        <v>East</v>
      </c>
      <c r="D70" s="0" t="str">
        <f aca="false">original_dataset!D70</f>
        <v>High Street</v>
      </c>
      <c r="E70" s="0" t="n">
        <f aca="false">original_dataset!E70</f>
        <v>70937.24</v>
      </c>
      <c r="F70" s="0" t="n">
        <f aca="false">original_dataset!F70</f>
        <v>3595</v>
      </c>
      <c r="G70" s="0" t="n">
        <f aca="false">original_dataset!G70</f>
        <v>0.141</v>
      </c>
      <c r="H70" s="0" t="n">
        <f aca="false">original_dataset!H70</f>
        <v>11</v>
      </c>
      <c r="I70" s="0" t="n">
        <f aca="false">original_dataset!I70</f>
        <v>88.9</v>
      </c>
      <c r="J70" s="0" t="n">
        <f aca="false">IF(ISBLANK(original_dataset!J70),MEDIAN(original_dataset!$J$2:$J$321),original_dataset!J70)</f>
        <v>2.83</v>
      </c>
      <c r="K70" s="0" t="n">
        <f aca="false">original_dataset!K70</f>
        <v>1</v>
      </c>
      <c r="L70" s="0" t="n">
        <f aca="false">IF(ISBLANK(original_dataset!L70),MEDIAN(original_dataset!$L$2:$L$321),original_dataset!L70)</f>
        <v>3.3</v>
      </c>
      <c r="M70" s="0" t="n">
        <f aca="false">original_dataset!M70</f>
        <v>661927.14</v>
      </c>
      <c r="N70" s="0" t="n">
        <f aca="false">original_dataset!N70</f>
        <v>79218.57</v>
      </c>
      <c r="O70" s="0" t="str">
        <f aca="false">IF(ISBLANK(original_dataset!J70),"Yes","No")</f>
        <v>No</v>
      </c>
      <c r="P70" s="0" t="str">
        <f aca="false">IF(ISBLANK(original_dataset!L70),"Yes","No")</f>
        <v>No</v>
      </c>
    </row>
    <row r="71" customFormat="false" ht="15" hidden="false" customHeight="false" outlineLevel="0" collapsed="false">
      <c r="A71" s="0" t="str">
        <f aca="false">original_dataset!A71</f>
        <v>STR-1018</v>
      </c>
      <c r="B71" s="0" t="str">
        <f aca="false">original_dataset!B71</f>
        <v>2025-02-01</v>
      </c>
      <c r="C71" s="0" t="str">
        <f aca="false">original_dataset!C71</f>
        <v>East</v>
      </c>
      <c r="D71" s="0" t="str">
        <f aca="false">original_dataset!D71</f>
        <v>High Street</v>
      </c>
      <c r="E71" s="0" t="n">
        <f aca="false">original_dataset!E71</f>
        <v>36813.45</v>
      </c>
      <c r="F71" s="0" t="n">
        <f aca="false">original_dataset!F71</f>
        <v>2834</v>
      </c>
      <c r="G71" s="0" t="n">
        <f aca="false">original_dataset!G71</f>
        <v>0.191</v>
      </c>
      <c r="H71" s="0" t="n">
        <f aca="false">original_dataset!H71</f>
        <v>11</v>
      </c>
      <c r="I71" s="0" t="n">
        <f aca="false">original_dataset!I71</f>
        <v>81.8</v>
      </c>
      <c r="J71" s="0" t="n">
        <f aca="false">IF(ISBLANK(original_dataset!J71),MEDIAN(original_dataset!$J$2:$J$321),original_dataset!J71)</f>
        <v>2.33</v>
      </c>
      <c r="K71" s="0" t="n">
        <f aca="false">original_dataset!K71</f>
        <v>0</v>
      </c>
      <c r="L71" s="0" t="n">
        <f aca="false">IF(ISBLANK(original_dataset!L71),MEDIAN(original_dataset!$L$2:$L$321),original_dataset!L71)</f>
        <v>3.3</v>
      </c>
      <c r="M71" s="0" t="n">
        <f aca="false">original_dataset!M71</f>
        <v>479050.5</v>
      </c>
      <c r="N71" s="0" t="n">
        <f aca="false">original_dataset!N71</f>
        <v>53651.11</v>
      </c>
      <c r="O71" s="0" t="str">
        <f aca="false">IF(ISBLANK(original_dataset!J71),"Yes","No")</f>
        <v>No</v>
      </c>
      <c r="P71" s="0" t="str">
        <f aca="false">IF(ISBLANK(original_dataset!L71),"Yes","No")</f>
        <v>No</v>
      </c>
    </row>
    <row r="72" customFormat="false" ht="15" hidden="false" customHeight="false" outlineLevel="0" collapsed="false">
      <c r="A72" s="0" t="str">
        <f aca="false">original_dataset!A72</f>
        <v>STR-1018</v>
      </c>
      <c r="B72" s="0" t="str">
        <f aca="false">original_dataset!B72</f>
        <v>2025-03-01</v>
      </c>
      <c r="C72" s="0" t="str">
        <f aca="false">original_dataset!C72</f>
        <v>East</v>
      </c>
      <c r="D72" s="0" t="str">
        <f aca="false">original_dataset!D72</f>
        <v>High Street</v>
      </c>
      <c r="E72" s="0" t="n">
        <f aca="false">original_dataset!E72</f>
        <v>60571.82</v>
      </c>
      <c r="F72" s="0" t="n">
        <f aca="false">original_dataset!F72</f>
        <v>3193</v>
      </c>
      <c r="G72" s="0" t="n">
        <f aca="false">original_dataset!G72</f>
        <v>0.197</v>
      </c>
      <c r="H72" s="0" t="n">
        <f aca="false">original_dataset!H72</f>
        <v>7</v>
      </c>
      <c r="I72" s="0" t="n">
        <f aca="false">original_dataset!I72</f>
        <v>99</v>
      </c>
      <c r="J72" s="0" t="n">
        <f aca="false">IF(ISBLANK(original_dataset!J72),MEDIAN(original_dataset!$J$2:$J$321),original_dataset!J72)</f>
        <v>1.43</v>
      </c>
      <c r="K72" s="0" t="n">
        <f aca="false">original_dataset!K72</f>
        <v>0</v>
      </c>
      <c r="L72" s="0" t="n">
        <f aca="false">IF(ISBLANK(original_dataset!L72),MEDIAN(original_dataset!$L$2:$L$321),original_dataset!L72)</f>
        <v>3.2</v>
      </c>
      <c r="M72" s="0" t="n">
        <f aca="false">original_dataset!M72</f>
        <v>605023.87</v>
      </c>
      <c r="N72" s="0" t="n">
        <f aca="false">original_dataset!N72</f>
        <v>98545.81</v>
      </c>
      <c r="O72" s="0" t="str">
        <f aca="false">IF(ISBLANK(original_dataset!J72),"Yes","No")</f>
        <v>No</v>
      </c>
      <c r="P72" s="0" t="str">
        <f aca="false">IF(ISBLANK(original_dataset!L72),"Yes","No")</f>
        <v>No</v>
      </c>
    </row>
    <row r="73" customFormat="false" ht="15" hidden="false" customHeight="false" outlineLevel="0" collapsed="false">
      <c r="A73" s="0" t="str">
        <f aca="false">original_dataset!A73</f>
        <v>STR-1018</v>
      </c>
      <c r="B73" s="0" t="str">
        <f aca="false">original_dataset!B73</f>
        <v>2025-04-01</v>
      </c>
      <c r="C73" s="0" t="str">
        <f aca="false">original_dataset!C73</f>
        <v>East</v>
      </c>
      <c r="D73" s="0" t="str">
        <f aca="false">original_dataset!D73</f>
        <v>High Street</v>
      </c>
      <c r="E73" s="0" t="n">
        <f aca="false">original_dataset!E73</f>
        <v>55081.16</v>
      </c>
      <c r="F73" s="0" t="n">
        <f aca="false">original_dataset!F73</f>
        <v>5485</v>
      </c>
      <c r="G73" s="0" t="n">
        <f aca="false">original_dataset!G73</f>
        <v>0.036</v>
      </c>
      <c r="H73" s="0" t="n">
        <f aca="false">original_dataset!H73</f>
        <v>12</v>
      </c>
      <c r="I73" s="0" t="n">
        <f aca="false">original_dataset!I73</f>
        <v>88</v>
      </c>
      <c r="J73" s="0" t="n">
        <f aca="false">IF(ISBLANK(original_dataset!J73),MEDIAN(original_dataset!$J$2:$J$321),original_dataset!J73)</f>
        <v>3.365</v>
      </c>
      <c r="K73" s="0" t="n">
        <f aca="false">original_dataset!K73</f>
        <v>0</v>
      </c>
      <c r="L73" s="0" t="n">
        <f aca="false">IF(ISBLANK(original_dataset!L73),MEDIAN(original_dataset!$L$2:$L$321),original_dataset!L73)</f>
        <v>3.5</v>
      </c>
      <c r="M73" s="0" t="n">
        <f aca="false">original_dataset!M73</f>
        <v>674774.09</v>
      </c>
      <c r="N73" s="0" t="n">
        <f aca="false">original_dataset!N73</f>
        <v>141917.59</v>
      </c>
      <c r="O73" s="0" t="str">
        <f aca="false">IF(ISBLANK(original_dataset!J73),"Yes","No")</f>
        <v>Yes</v>
      </c>
      <c r="P73" s="0" t="str">
        <f aca="false">IF(ISBLANK(original_dataset!L73),"Yes","No")</f>
        <v>No</v>
      </c>
    </row>
    <row r="74" customFormat="false" ht="15" hidden="false" customHeight="false" outlineLevel="0" collapsed="false">
      <c r="A74" s="0" t="str">
        <f aca="false">original_dataset!A74</f>
        <v>STR-1019</v>
      </c>
      <c r="B74" s="0" t="str">
        <f aca="false">original_dataset!B74</f>
        <v>2025-01-01</v>
      </c>
      <c r="C74" s="0" t="str">
        <f aca="false">original_dataset!C74</f>
        <v>East</v>
      </c>
      <c r="D74" s="0" t="str">
        <f aca="false">original_dataset!D74</f>
        <v>Residential</v>
      </c>
      <c r="E74" s="0" t="n">
        <f aca="false">original_dataset!E74</f>
        <v>46201.46</v>
      </c>
      <c r="F74" s="0" t="n">
        <f aca="false">original_dataset!F74</f>
        <v>5918</v>
      </c>
      <c r="G74" s="0" t="n">
        <f aca="false">original_dataset!G74</f>
        <v>0.277</v>
      </c>
      <c r="H74" s="0" t="n">
        <f aca="false">original_dataset!H74</f>
        <v>13</v>
      </c>
      <c r="I74" s="0" t="n">
        <f aca="false">original_dataset!I74</f>
        <v>78.8</v>
      </c>
      <c r="J74" s="0" t="n">
        <f aca="false">IF(ISBLANK(original_dataset!J74),MEDIAN(original_dataset!$J$2:$J$321),original_dataset!J74)</f>
        <v>4.91</v>
      </c>
      <c r="K74" s="0" t="n">
        <f aca="false">original_dataset!K74</f>
        <v>0</v>
      </c>
      <c r="L74" s="0" t="n">
        <f aca="false">IF(ISBLANK(original_dataset!L74),MEDIAN(original_dataset!$L$2:$L$321),original_dataset!L74)</f>
        <v>4.5</v>
      </c>
      <c r="M74" s="0" t="n">
        <f aca="false">original_dataset!M74</f>
        <v>616069.41</v>
      </c>
      <c r="N74" s="0" t="n">
        <f aca="false">original_dataset!N74</f>
        <v>54453.99</v>
      </c>
      <c r="O74" s="0" t="str">
        <f aca="false">IF(ISBLANK(original_dataset!J74),"Yes","No")</f>
        <v>No</v>
      </c>
      <c r="P74" s="0" t="str">
        <f aca="false">IF(ISBLANK(original_dataset!L74),"Yes","No")</f>
        <v>No</v>
      </c>
    </row>
    <row r="75" customFormat="false" ht="15" hidden="false" customHeight="false" outlineLevel="0" collapsed="false">
      <c r="A75" s="0" t="str">
        <f aca="false">original_dataset!A75</f>
        <v>STR-1019</v>
      </c>
      <c r="B75" s="0" t="str">
        <f aca="false">original_dataset!B75</f>
        <v>2025-02-01</v>
      </c>
      <c r="C75" s="0" t="str">
        <f aca="false">original_dataset!C75</f>
        <v>East</v>
      </c>
      <c r="D75" s="0" t="str">
        <f aca="false">original_dataset!D75</f>
        <v>Residential</v>
      </c>
      <c r="E75" s="0" t="n">
        <f aca="false">original_dataset!E75</f>
        <v>53762.92</v>
      </c>
      <c r="F75" s="0" t="n">
        <f aca="false">original_dataset!F75</f>
        <v>6821</v>
      </c>
      <c r="G75" s="0" t="n">
        <f aca="false">original_dataset!G75</f>
        <v>0.066</v>
      </c>
      <c r="H75" s="0" t="n">
        <f aca="false">original_dataset!H75</f>
        <v>19</v>
      </c>
      <c r="I75" s="0" t="n">
        <f aca="false">original_dataset!I75</f>
        <v>94.6</v>
      </c>
      <c r="J75" s="0" t="n">
        <f aca="false">IF(ISBLANK(original_dataset!J75),MEDIAN(original_dataset!$J$2:$J$321),original_dataset!J75)</f>
        <v>7.03</v>
      </c>
      <c r="K75" s="0" t="n">
        <f aca="false">original_dataset!K75</f>
        <v>0</v>
      </c>
      <c r="L75" s="0" t="n">
        <f aca="false">IF(ISBLANK(original_dataset!L75),MEDIAN(original_dataset!$L$2:$L$321),original_dataset!L75)</f>
        <v>4.4</v>
      </c>
      <c r="M75" s="0" t="n">
        <f aca="false">original_dataset!M75</f>
        <v>630829.94</v>
      </c>
      <c r="N75" s="0" t="n">
        <f aca="false">original_dataset!N75</f>
        <v>117090.02</v>
      </c>
      <c r="O75" s="0" t="str">
        <f aca="false">IF(ISBLANK(original_dataset!J75),"Yes","No")</f>
        <v>No</v>
      </c>
      <c r="P75" s="0" t="str">
        <f aca="false">IF(ISBLANK(original_dataset!L75),"Yes","No")</f>
        <v>No</v>
      </c>
    </row>
    <row r="76" customFormat="false" ht="15" hidden="false" customHeight="false" outlineLevel="0" collapsed="false">
      <c r="A76" s="0" t="str">
        <f aca="false">original_dataset!A76</f>
        <v>STR-1019</v>
      </c>
      <c r="B76" s="0" t="str">
        <f aca="false">original_dataset!B76</f>
        <v>2025-03-01</v>
      </c>
      <c r="C76" s="0" t="str">
        <f aca="false">original_dataset!C76</f>
        <v>East</v>
      </c>
      <c r="D76" s="0" t="str">
        <f aca="false">original_dataset!D76</f>
        <v>Residential</v>
      </c>
      <c r="E76" s="0" t="n">
        <f aca="false">original_dataset!E76</f>
        <v>70144.78</v>
      </c>
      <c r="F76" s="0" t="n">
        <f aca="false">original_dataset!F76</f>
        <v>6806</v>
      </c>
      <c r="G76" s="0" t="n">
        <f aca="false">original_dataset!G76</f>
        <v>0.178</v>
      </c>
      <c r="H76" s="0" t="n">
        <f aca="false">original_dataset!H76</f>
        <v>20</v>
      </c>
      <c r="I76" s="0" t="n">
        <f aca="false">original_dataset!I76</f>
        <v>93.1</v>
      </c>
      <c r="J76" s="0" t="n">
        <f aca="false">IF(ISBLANK(original_dataset!J76),MEDIAN(original_dataset!$J$2:$J$321),original_dataset!J76)</f>
        <v>0.28</v>
      </c>
      <c r="K76" s="0" t="n">
        <f aca="false">original_dataset!K76</f>
        <v>1</v>
      </c>
      <c r="L76" s="0" t="n">
        <f aca="false">IF(ISBLANK(original_dataset!L76),MEDIAN(original_dataset!$L$2:$L$321),original_dataset!L76)</f>
        <v>4.3</v>
      </c>
      <c r="M76" s="0" t="n">
        <f aca="false">original_dataset!M76</f>
        <v>788087.68</v>
      </c>
      <c r="N76" s="0" t="n">
        <f aca="false">original_dataset!N76</f>
        <v>116803.42</v>
      </c>
      <c r="O76" s="0" t="str">
        <f aca="false">IF(ISBLANK(original_dataset!J76),"Yes","No")</f>
        <v>No</v>
      </c>
      <c r="P76" s="0" t="str">
        <f aca="false">IF(ISBLANK(original_dataset!L76),"Yes","No")</f>
        <v>No</v>
      </c>
    </row>
    <row r="77" customFormat="false" ht="15" hidden="false" customHeight="false" outlineLevel="0" collapsed="false">
      <c r="A77" s="0" t="str">
        <f aca="false">original_dataset!A77</f>
        <v>STR-1019</v>
      </c>
      <c r="B77" s="0" t="str">
        <f aca="false">original_dataset!B77</f>
        <v>2025-04-01</v>
      </c>
      <c r="C77" s="0" t="str">
        <f aca="false">original_dataset!C77</f>
        <v>East</v>
      </c>
      <c r="D77" s="0" t="str">
        <f aca="false">original_dataset!D77</f>
        <v>Residential</v>
      </c>
      <c r="E77" s="0" t="n">
        <f aca="false">original_dataset!E77</f>
        <v>58749.63</v>
      </c>
      <c r="F77" s="0" t="n">
        <f aca="false">original_dataset!F77</f>
        <v>8252</v>
      </c>
      <c r="G77" s="0" t="n">
        <f aca="false">original_dataset!G77</f>
        <v>0.203</v>
      </c>
      <c r="H77" s="0" t="n">
        <f aca="false">original_dataset!H77</f>
        <v>20</v>
      </c>
      <c r="I77" s="0" t="n">
        <f aca="false">original_dataset!I77</f>
        <v>85.2</v>
      </c>
      <c r="J77" s="0" t="n">
        <f aca="false">IF(ISBLANK(original_dataset!J77),MEDIAN(original_dataset!$J$2:$J$321),original_dataset!J77)</f>
        <v>3.61</v>
      </c>
      <c r="K77" s="0" t="n">
        <f aca="false">original_dataset!K77</f>
        <v>0</v>
      </c>
      <c r="L77" s="0" t="n">
        <f aca="false">IF(ISBLANK(original_dataset!L77),MEDIAN(original_dataset!$L$2:$L$321),original_dataset!L77)</f>
        <v>4.5</v>
      </c>
      <c r="M77" s="0" t="n">
        <f aca="false">original_dataset!M77</f>
        <v>680840.36</v>
      </c>
      <c r="N77" s="0" t="n">
        <f aca="false">original_dataset!N77</f>
        <v>68007.68</v>
      </c>
      <c r="O77" s="0" t="str">
        <f aca="false">IF(ISBLANK(original_dataset!J77),"Yes","No")</f>
        <v>No</v>
      </c>
      <c r="P77" s="0" t="str">
        <f aca="false">IF(ISBLANK(original_dataset!L77),"Yes","No")</f>
        <v>No</v>
      </c>
    </row>
    <row r="78" customFormat="false" ht="15" hidden="false" customHeight="false" outlineLevel="0" collapsed="false">
      <c r="A78" s="0" t="str">
        <f aca="false">original_dataset!A78</f>
        <v>STR-1020</v>
      </c>
      <c r="B78" s="0" t="str">
        <f aca="false">original_dataset!B78</f>
        <v>2025-01-01</v>
      </c>
      <c r="C78" s="0" t="str">
        <f aca="false">original_dataset!C78</f>
        <v>South</v>
      </c>
      <c r="D78" s="0" t="str">
        <f aca="false">original_dataset!D78</f>
        <v>High Street</v>
      </c>
      <c r="E78" s="0" t="n">
        <f aca="false">original_dataset!E78</f>
        <v>56973.18</v>
      </c>
      <c r="F78" s="0" t="n">
        <f aca="false">original_dataset!F78</f>
        <v>6662</v>
      </c>
      <c r="G78" s="0" t="n">
        <f aca="false">original_dataset!G78</f>
        <v>0.1</v>
      </c>
      <c r="H78" s="0" t="n">
        <f aca="false">original_dataset!H78</f>
        <v>15</v>
      </c>
      <c r="I78" s="0" t="n">
        <f aca="false">original_dataset!I78</f>
        <v>77.7</v>
      </c>
      <c r="J78" s="0" t="n">
        <f aca="false">IF(ISBLANK(original_dataset!J78),MEDIAN(original_dataset!$J$2:$J$321),original_dataset!J78)</f>
        <v>7.52</v>
      </c>
      <c r="K78" s="0" t="n">
        <f aca="false">original_dataset!K78</f>
        <v>1</v>
      </c>
      <c r="L78" s="0" t="n">
        <f aca="false">IF(ISBLANK(original_dataset!L78),MEDIAN(original_dataset!$L$2:$L$321),original_dataset!L78)</f>
        <v>3.2</v>
      </c>
      <c r="M78" s="0" t="n">
        <f aca="false">original_dataset!M78</f>
        <v>643657.47</v>
      </c>
      <c r="N78" s="0" t="n">
        <f aca="false">original_dataset!N78</f>
        <v>87022.45</v>
      </c>
      <c r="O78" s="0" t="str">
        <f aca="false">IF(ISBLANK(original_dataset!J78),"Yes","No")</f>
        <v>No</v>
      </c>
      <c r="P78" s="0" t="str">
        <f aca="false">IF(ISBLANK(original_dataset!L78),"Yes","No")</f>
        <v>No</v>
      </c>
    </row>
    <row r="79" customFormat="false" ht="15" hidden="false" customHeight="false" outlineLevel="0" collapsed="false">
      <c r="A79" s="0" t="str">
        <f aca="false">original_dataset!A79</f>
        <v>STR-1020</v>
      </c>
      <c r="B79" s="0" t="str">
        <f aca="false">original_dataset!B79</f>
        <v>2025-02-01</v>
      </c>
      <c r="C79" s="0" t="str">
        <f aca="false">original_dataset!C79</f>
        <v>South</v>
      </c>
      <c r="D79" s="0" t="str">
        <f aca="false">original_dataset!D79</f>
        <v>High Street</v>
      </c>
      <c r="E79" s="0" t="n">
        <f aca="false">original_dataset!E79</f>
        <v>54872.82</v>
      </c>
      <c r="F79" s="0" t="n">
        <f aca="false">original_dataset!F79</f>
        <v>5962</v>
      </c>
      <c r="G79" s="0" t="n">
        <f aca="false">original_dataset!G79</f>
        <v>0.064</v>
      </c>
      <c r="H79" s="0" t="n">
        <f aca="false">original_dataset!H79</f>
        <v>12</v>
      </c>
      <c r="I79" s="0" t="n">
        <f aca="false">original_dataset!I79</f>
        <v>85.4</v>
      </c>
      <c r="J79" s="0" t="n">
        <f aca="false">IF(ISBLANK(original_dataset!J79),MEDIAN(original_dataset!$J$2:$J$321),original_dataset!J79)</f>
        <v>2.58</v>
      </c>
      <c r="K79" s="0" t="n">
        <f aca="false">original_dataset!K79</f>
        <v>0</v>
      </c>
      <c r="L79" s="0" t="n">
        <f aca="false">IF(ISBLANK(original_dataset!L79),MEDIAN(original_dataset!$L$2:$L$321),original_dataset!L79)</f>
        <v>2.9</v>
      </c>
      <c r="M79" s="0" t="n">
        <f aca="false">original_dataset!M79</f>
        <v>691112.6</v>
      </c>
      <c r="N79" s="0" t="n">
        <f aca="false">original_dataset!N79</f>
        <v>109212.83</v>
      </c>
      <c r="O79" s="0" t="str">
        <f aca="false">IF(ISBLANK(original_dataset!J79),"Yes","No")</f>
        <v>No</v>
      </c>
      <c r="P79" s="0" t="str">
        <f aca="false">IF(ISBLANK(original_dataset!L79),"Yes","No")</f>
        <v>No</v>
      </c>
    </row>
    <row r="80" customFormat="false" ht="15" hidden="false" customHeight="false" outlineLevel="0" collapsed="false">
      <c r="A80" s="0" t="str">
        <f aca="false">original_dataset!A80</f>
        <v>STR-1020</v>
      </c>
      <c r="B80" s="0" t="str">
        <f aca="false">original_dataset!B80</f>
        <v>2025-03-01</v>
      </c>
      <c r="C80" s="0" t="str">
        <f aca="false">original_dataset!C80</f>
        <v>South</v>
      </c>
      <c r="D80" s="0" t="str">
        <f aca="false">original_dataset!D80</f>
        <v>High Street</v>
      </c>
      <c r="E80" s="0" t="n">
        <f aca="false">original_dataset!E80</f>
        <v>80562.81</v>
      </c>
      <c r="F80" s="0" t="n">
        <f aca="false">original_dataset!F80</f>
        <v>7470</v>
      </c>
      <c r="G80" s="0" t="n">
        <f aca="false">original_dataset!G80</f>
        <v>0.172</v>
      </c>
      <c r="H80" s="0" t="n">
        <f aca="false">original_dataset!H80</f>
        <v>16</v>
      </c>
      <c r="I80" s="0" t="n">
        <f aca="false">original_dataset!I80</f>
        <v>83.5</v>
      </c>
      <c r="J80" s="0" t="n">
        <f aca="false">IF(ISBLANK(original_dataset!J80),MEDIAN(original_dataset!$J$2:$J$321),original_dataset!J80)</f>
        <v>2.29</v>
      </c>
      <c r="K80" s="0" t="n">
        <f aca="false">original_dataset!K80</f>
        <v>0</v>
      </c>
      <c r="L80" s="0" t="n">
        <f aca="false">IF(ISBLANK(original_dataset!L80),MEDIAN(original_dataset!$L$2:$L$321),original_dataset!L80)</f>
        <v>3.3</v>
      </c>
      <c r="M80" s="0" t="n">
        <f aca="false">original_dataset!M80</f>
        <v>776922.17</v>
      </c>
      <c r="N80" s="0" t="n">
        <f aca="false">original_dataset!N80</f>
        <v>150701.93</v>
      </c>
      <c r="O80" s="0" t="str">
        <f aca="false">IF(ISBLANK(original_dataset!J80),"Yes","No")</f>
        <v>No</v>
      </c>
      <c r="P80" s="0" t="str">
        <f aca="false">IF(ISBLANK(original_dataset!L80),"Yes","No")</f>
        <v>No</v>
      </c>
    </row>
    <row r="81" customFormat="false" ht="15" hidden="false" customHeight="false" outlineLevel="0" collapsed="false">
      <c r="A81" s="0" t="str">
        <f aca="false">original_dataset!A81</f>
        <v>STR-1020</v>
      </c>
      <c r="B81" s="0" t="str">
        <f aca="false">original_dataset!B81</f>
        <v>2025-04-01</v>
      </c>
      <c r="C81" s="0" t="str">
        <f aca="false">original_dataset!C81</f>
        <v>South</v>
      </c>
      <c r="D81" s="0" t="str">
        <f aca="false">original_dataset!D81</f>
        <v>High Street</v>
      </c>
      <c r="E81" s="0" t="n">
        <f aca="false">original_dataset!E81</f>
        <v>77999.9</v>
      </c>
      <c r="F81" s="0" t="n">
        <f aca="false">original_dataset!F81</f>
        <v>5974</v>
      </c>
      <c r="G81" s="0" t="n">
        <f aca="false">original_dataset!G81</f>
        <v>0.252</v>
      </c>
      <c r="H81" s="0" t="n">
        <f aca="false">original_dataset!H81</f>
        <v>14</v>
      </c>
      <c r="I81" s="0" t="n">
        <f aca="false">original_dataset!I81</f>
        <v>81.3</v>
      </c>
      <c r="J81" s="0" t="n">
        <f aca="false">IF(ISBLANK(original_dataset!J81),MEDIAN(original_dataset!$J$2:$J$321),original_dataset!J81)</f>
        <v>2.39</v>
      </c>
      <c r="K81" s="0" t="n">
        <f aca="false">original_dataset!K81</f>
        <v>0</v>
      </c>
      <c r="L81" s="0" t="n">
        <f aca="false">IF(ISBLANK(original_dataset!L81),MEDIAN(original_dataset!$L$2:$L$321),original_dataset!L81)</f>
        <v>3.2</v>
      </c>
      <c r="M81" s="0" t="n">
        <f aca="false">original_dataset!M81</f>
        <v>636561.34</v>
      </c>
      <c r="N81" s="0" t="n">
        <f aca="false">original_dataset!N81</f>
        <v>93861.06</v>
      </c>
      <c r="O81" s="0" t="str">
        <f aca="false">IF(ISBLANK(original_dataset!J81),"Yes","No")</f>
        <v>No</v>
      </c>
      <c r="P81" s="0" t="str">
        <f aca="false">IF(ISBLANK(original_dataset!L81),"Yes","No")</f>
        <v>No</v>
      </c>
    </row>
    <row r="82" customFormat="false" ht="15" hidden="false" customHeight="false" outlineLevel="0" collapsed="false">
      <c r="A82" s="0" t="str">
        <f aca="false">original_dataset!A82</f>
        <v>STR-1021</v>
      </c>
      <c r="B82" s="0" t="str">
        <f aca="false">original_dataset!B82</f>
        <v>2025-01-01</v>
      </c>
      <c r="C82" s="0" t="str">
        <f aca="false">original_dataset!C82</f>
        <v>West</v>
      </c>
      <c r="D82" s="0" t="str">
        <f aca="false">original_dataset!D82</f>
        <v>Mall</v>
      </c>
      <c r="E82" s="0" t="n">
        <f aca="false">original_dataset!E82</f>
        <v>60881.01</v>
      </c>
      <c r="F82" s="0" t="n">
        <f aca="false">original_dataset!F82</f>
        <v>5410</v>
      </c>
      <c r="G82" s="0" t="n">
        <f aca="false">original_dataset!G82</f>
        <v>0.179</v>
      </c>
      <c r="H82" s="0" t="n">
        <f aca="false">original_dataset!H82</f>
        <v>15</v>
      </c>
      <c r="I82" s="0" t="n">
        <f aca="false">original_dataset!I82</f>
        <v>83.9</v>
      </c>
      <c r="J82" s="0" t="n">
        <f aca="false">IF(ISBLANK(original_dataset!J82),MEDIAN(original_dataset!$J$2:$J$321),original_dataset!J82)</f>
        <v>5.24</v>
      </c>
      <c r="K82" s="0" t="n">
        <f aca="false">original_dataset!K82</f>
        <v>0</v>
      </c>
      <c r="L82" s="0" t="n">
        <f aca="false">IF(ISBLANK(original_dataset!L82),MEDIAN(original_dataset!$L$2:$L$321),original_dataset!L82)</f>
        <v>4.6</v>
      </c>
      <c r="M82" s="0" t="n">
        <f aca="false">original_dataset!M82</f>
        <v>621369.58</v>
      </c>
      <c r="N82" s="0" t="n">
        <f aca="false">original_dataset!N82</f>
        <v>85493.64</v>
      </c>
      <c r="O82" s="0" t="str">
        <f aca="false">IF(ISBLANK(original_dataset!J82),"Yes","No")</f>
        <v>No</v>
      </c>
      <c r="P82" s="0" t="str">
        <f aca="false">IF(ISBLANK(original_dataset!L82),"Yes","No")</f>
        <v>No</v>
      </c>
    </row>
    <row r="83" customFormat="false" ht="15" hidden="false" customHeight="false" outlineLevel="0" collapsed="false">
      <c r="A83" s="0" t="str">
        <f aca="false">original_dataset!A83</f>
        <v>STR-1021</v>
      </c>
      <c r="B83" s="0" t="str">
        <f aca="false">original_dataset!B83</f>
        <v>2025-02-01</v>
      </c>
      <c r="C83" s="0" t="str">
        <f aca="false">original_dataset!C83</f>
        <v>West</v>
      </c>
      <c r="D83" s="0" t="str">
        <f aca="false">original_dataset!D83</f>
        <v>Mall</v>
      </c>
      <c r="E83" s="0" t="n">
        <f aca="false">original_dataset!E83</f>
        <v>60628.38</v>
      </c>
      <c r="F83" s="0" t="n">
        <f aca="false">original_dataset!F83</f>
        <v>4451</v>
      </c>
      <c r="G83" s="0" t="n">
        <f aca="false">original_dataset!G83</f>
        <v>0.095</v>
      </c>
      <c r="H83" s="0" t="n">
        <f aca="false">original_dataset!H83</f>
        <v>10</v>
      </c>
      <c r="I83" s="0" t="n">
        <f aca="false">original_dataset!I83</f>
        <v>89.6</v>
      </c>
      <c r="J83" s="0" t="n">
        <f aca="false">IF(ISBLANK(original_dataset!J83),MEDIAN(original_dataset!$J$2:$J$321),original_dataset!J83)</f>
        <v>3.17</v>
      </c>
      <c r="K83" s="0" t="n">
        <f aca="false">original_dataset!K83</f>
        <v>0</v>
      </c>
      <c r="L83" s="0" t="n">
        <f aca="false">IF(ISBLANK(original_dataset!L83),MEDIAN(original_dataset!$L$2:$L$321),original_dataset!L83)</f>
        <v>4.6</v>
      </c>
      <c r="M83" s="0" t="n">
        <f aca="false">original_dataset!M83</f>
        <v>682208.01</v>
      </c>
      <c r="N83" s="0" t="n">
        <f aca="false">original_dataset!N83</f>
        <v>110318.84</v>
      </c>
      <c r="O83" s="0" t="str">
        <f aca="false">IF(ISBLANK(original_dataset!J83),"Yes","No")</f>
        <v>No</v>
      </c>
      <c r="P83" s="0" t="str">
        <f aca="false">IF(ISBLANK(original_dataset!L83),"Yes","No")</f>
        <v>No</v>
      </c>
    </row>
    <row r="84" customFormat="false" ht="15" hidden="false" customHeight="false" outlineLevel="0" collapsed="false">
      <c r="A84" s="0" t="str">
        <f aca="false">original_dataset!A84</f>
        <v>STR-1021</v>
      </c>
      <c r="B84" s="0" t="str">
        <f aca="false">original_dataset!B84</f>
        <v>2025-03-01</v>
      </c>
      <c r="C84" s="0" t="str">
        <f aca="false">original_dataset!C84</f>
        <v>West</v>
      </c>
      <c r="D84" s="0" t="str">
        <f aca="false">original_dataset!D84</f>
        <v>Mall</v>
      </c>
      <c r="E84" s="0" t="n">
        <f aca="false">original_dataset!E84</f>
        <v>72731.14</v>
      </c>
      <c r="F84" s="0" t="n">
        <f aca="false">original_dataset!F84</f>
        <v>4644</v>
      </c>
      <c r="G84" s="0" t="n">
        <f aca="false">original_dataset!G84</f>
        <v>0.084</v>
      </c>
      <c r="H84" s="0" t="n">
        <f aca="false">original_dataset!H84</f>
        <v>15</v>
      </c>
      <c r="I84" s="0" t="n">
        <f aca="false">original_dataset!I84</f>
        <v>87.1</v>
      </c>
      <c r="J84" s="0" t="n">
        <f aca="false">IF(ISBLANK(original_dataset!J84),MEDIAN(original_dataset!$J$2:$J$321),original_dataset!J84)</f>
        <v>2.66</v>
      </c>
      <c r="K84" s="0" t="n">
        <f aca="false">original_dataset!K84</f>
        <v>0</v>
      </c>
      <c r="L84" s="0" t="n">
        <f aca="false">IF(ISBLANK(original_dataset!L84),MEDIAN(original_dataset!$L$2:$L$321),original_dataset!L84)</f>
        <v>4.6</v>
      </c>
      <c r="M84" s="0" t="n">
        <f aca="false">original_dataset!M84</f>
        <v>727241.86</v>
      </c>
      <c r="N84" s="0" t="n">
        <f aca="false">original_dataset!N84</f>
        <v>155810.3</v>
      </c>
      <c r="O84" s="0" t="str">
        <f aca="false">IF(ISBLANK(original_dataset!J84),"Yes","No")</f>
        <v>No</v>
      </c>
      <c r="P84" s="0" t="str">
        <f aca="false">IF(ISBLANK(original_dataset!L84),"Yes","No")</f>
        <v>No</v>
      </c>
    </row>
    <row r="85" customFormat="false" ht="15" hidden="false" customHeight="false" outlineLevel="0" collapsed="false">
      <c r="A85" s="0" t="str">
        <f aca="false">original_dataset!A85</f>
        <v>STR-1021</v>
      </c>
      <c r="B85" s="0" t="str">
        <f aca="false">original_dataset!B85</f>
        <v>2025-04-01</v>
      </c>
      <c r="C85" s="0" t="str">
        <f aca="false">original_dataset!C85</f>
        <v>West</v>
      </c>
      <c r="D85" s="0" t="str">
        <f aca="false">original_dataset!D85</f>
        <v>Mall</v>
      </c>
      <c r="E85" s="0" t="n">
        <f aca="false">original_dataset!E85</f>
        <v>36475.71</v>
      </c>
      <c r="F85" s="0" t="n">
        <f aca="false">original_dataset!F85</f>
        <v>3559</v>
      </c>
      <c r="G85" s="0" t="n">
        <f aca="false">original_dataset!G85</f>
        <v>0.03</v>
      </c>
      <c r="H85" s="0" t="n">
        <f aca="false">original_dataset!H85</f>
        <v>8</v>
      </c>
      <c r="I85" s="0" t="n">
        <f aca="false">original_dataset!I85</f>
        <v>83.6</v>
      </c>
      <c r="J85" s="0" t="n">
        <f aca="false">IF(ISBLANK(original_dataset!J85),MEDIAN(original_dataset!$J$2:$J$321),original_dataset!J85)</f>
        <v>1.41</v>
      </c>
      <c r="K85" s="0" t="n">
        <f aca="false">original_dataset!K85</f>
        <v>0</v>
      </c>
      <c r="L85" s="0" t="n">
        <f aca="false">IF(ISBLANK(original_dataset!L85),MEDIAN(original_dataset!$L$2:$L$321),original_dataset!L85)</f>
        <v>4.2</v>
      </c>
      <c r="M85" s="0" t="n">
        <f aca="false">original_dataset!M85</f>
        <v>569100.78</v>
      </c>
      <c r="N85" s="0" t="n">
        <f aca="false">original_dataset!N85</f>
        <v>104808.78</v>
      </c>
      <c r="O85" s="0" t="str">
        <f aca="false">IF(ISBLANK(original_dataset!J85),"Yes","No")</f>
        <v>No</v>
      </c>
      <c r="P85" s="0" t="str">
        <f aca="false">IF(ISBLANK(original_dataset!L85),"Yes","No")</f>
        <v>No</v>
      </c>
    </row>
    <row r="86" customFormat="false" ht="15" hidden="false" customHeight="false" outlineLevel="0" collapsed="false">
      <c r="A86" s="0" t="str">
        <f aca="false">original_dataset!A86</f>
        <v>STR-1022</v>
      </c>
      <c r="B86" s="0" t="str">
        <f aca="false">original_dataset!B86</f>
        <v>2025-01-01</v>
      </c>
      <c r="C86" s="0" t="str">
        <f aca="false">original_dataset!C86</f>
        <v>West</v>
      </c>
      <c r="D86" s="0" t="str">
        <f aca="false">original_dataset!D86</f>
        <v>High Street</v>
      </c>
      <c r="E86" s="0" t="n">
        <f aca="false">original_dataset!E86</f>
        <v>55388.11</v>
      </c>
      <c r="F86" s="0" t="n">
        <f aca="false">original_dataset!F86</f>
        <v>3091</v>
      </c>
      <c r="G86" s="0" t="n">
        <f aca="false">original_dataset!G86</f>
        <v>0.108</v>
      </c>
      <c r="H86" s="0" t="n">
        <f aca="false">original_dataset!H86</f>
        <v>7</v>
      </c>
      <c r="I86" s="0" t="n">
        <f aca="false">original_dataset!I86</f>
        <v>85.4</v>
      </c>
      <c r="J86" s="0" t="n">
        <f aca="false">IF(ISBLANK(original_dataset!J86),MEDIAN(original_dataset!$J$2:$J$321),original_dataset!J86)</f>
        <v>7.34</v>
      </c>
      <c r="K86" s="0" t="n">
        <f aca="false">original_dataset!K86</f>
        <v>0</v>
      </c>
      <c r="L86" s="0" t="n">
        <f aca="false">IF(ISBLANK(original_dataset!L86),MEDIAN(original_dataset!$L$2:$L$321),original_dataset!L86)</f>
        <v>4.9</v>
      </c>
      <c r="M86" s="0" t="n">
        <f aca="false">original_dataset!M86</f>
        <v>574436.29</v>
      </c>
      <c r="N86" s="0" t="n">
        <f aca="false">original_dataset!N86</f>
        <v>80271.99</v>
      </c>
      <c r="O86" s="0" t="str">
        <f aca="false">IF(ISBLANK(original_dataset!J86),"Yes","No")</f>
        <v>No</v>
      </c>
      <c r="P86" s="0" t="str">
        <f aca="false">IF(ISBLANK(original_dataset!L86),"Yes","No")</f>
        <v>No</v>
      </c>
    </row>
    <row r="87" customFormat="false" ht="15" hidden="false" customHeight="false" outlineLevel="0" collapsed="false">
      <c r="A87" s="0" t="str">
        <f aca="false">original_dataset!A87</f>
        <v>STR-1022</v>
      </c>
      <c r="B87" s="0" t="str">
        <f aca="false">original_dataset!B87</f>
        <v>2025-02-01</v>
      </c>
      <c r="C87" s="0" t="str">
        <f aca="false">original_dataset!C87</f>
        <v>West</v>
      </c>
      <c r="D87" s="0" t="str">
        <f aca="false">original_dataset!D87</f>
        <v>High Street</v>
      </c>
      <c r="E87" s="0" t="n">
        <f aca="false">original_dataset!E87</f>
        <v>88443.77</v>
      </c>
      <c r="F87" s="0" t="n">
        <f aca="false">original_dataset!F87</f>
        <v>4004</v>
      </c>
      <c r="G87" s="0" t="n">
        <f aca="false">original_dataset!G87</f>
        <v>0.206</v>
      </c>
      <c r="H87" s="0" t="n">
        <f aca="false">original_dataset!H87</f>
        <v>11</v>
      </c>
      <c r="I87" s="0" t="n">
        <f aca="false">original_dataset!I87</f>
        <v>91.9</v>
      </c>
      <c r="J87" s="0" t="n">
        <f aca="false">IF(ISBLANK(original_dataset!J87),MEDIAN(original_dataset!$J$2:$J$321),original_dataset!J87)</f>
        <v>5.95</v>
      </c>
      <c r="K87" s="0" t="n">
        <f aca="false">original_dataset!K87</f>
        <v>0</v>
      </c>
      <c r="L87" s="0" t="n">
        <f aca="false">IF(ISBLANK(original_dataset!L87),MEDIAN(original_dataset!$L$2:$L$321),original_dataset!L87)</f>
        <v>3.9</v>
      </c>
      <c r="M87" s="0" t="n">
        <f aca="false">original_dataset!M87</f>
        <v>611766.72</v>
      </c>
      <c r="N87" s="0" t="n">
        <f aca="false">original_dataset!N87</f>
        <v>88275.61</v>
      </c>
      <c r="O87" s="0" t="str">
        <f aca="false">IF(ISBLANK(original_dataset!J87),"Yes","No")</f>
        <v>No</v>
      </c>
      <c r="P87" s="0" t="str">
        <f aca="false">IF(ISBLANK(original_dataset!L87),"Yes","No")</f>
        <v>Yes</v>
      </c>
    </row>
    <row r="88" customFormat="false" ht="15" hidden="false" customHeight="false" outlineLevel="0" collapsed="false">
      <c r="A88" s="0" t="str">
        <f aca="false">original_dataset!A88</f>
        <v>STR-1022</v>
      </c>
      <c r="B88" s="0" t="str">
        <f aca="false">original_dataset!B88</f>
        <v>2025-03-01</v>
      </c>
      <c r="C88" s="0" t="str">
        <f aca="false">original_dataset!C88</f>
        <v>West</v>
      </c>
      <c r="D88" s="0" t="str">
        <f aca="false">original_dataset!D88</f>
        <v>High Street</v>
      </c>
      <c r="E88" s="0" t="n">
        <f aca="false">original_dataset!E88</f>
        <v>78231.91</v>
      </c>
      <c r="F88" s="0" t="n">
        <f aca="false">original_dataset!F88</f>
        <v>3788</v>
      </c>
      <c r="G88" s="0" t="n">
        <f aca="false">original_dataset!G88</f>
        <v>0.059</v>
      </c>
      <c r="H88" s="0" t="n">
        <f aca="false">original_dataset!H88</f>
        <v>11</v>
      </c>
      <c r="I88" s="0" t="n">
        <f aca="false">original_dataset!I88</f>
        <v>88.5</v>
      </c>
      <c r="J88" s="0" t="n">
        <f aca="false">IF(ISBLANK(original_dataset!J88),MEDIAN(original_dataset!$J$2:$J$321),original_dataset!J88)</f>
        <v>15.51</v>
      </c>
      <c r="K88" s="0" t="n">
        <f aca="false">original_dataset!K88</f>
        <v>0</v>
      </c>
      <c r="L88" s="0" t="n">
        <f aca="false">IF(ISBLANK(original_dataset!L88),MEDIAN(original_dataset!$L$2:$L$321),original_dataset!L88)</f>
        <v>4.3</v>
      </c>
      <c r="M88" s="0" t="n">
        <f aca="false">original_dataset!M88</f>
        <v>614596.32</v>
      </c>
      <c r="N88" s="0" t="n">
        <f aca="false">original_dataset!N88</f>
        <v>131199.41</v>
      </c>
      <c r="O88" s="0" t="str">
        <f aca="false">IF(ISBLANK(original_dataset!J88),"Yes","No")</f>
        <v>No</v>
      </c>
      <c r="P88" s="0" t="str">
        <f aca="false">IF(ISBLANK(original_dataset!L88),"Yes","No")</f>
        <v>No</v>
      </c>
    </row>
    <row r="89" customFormat="false" ht="15" hidden="false" customHeight="false" outlineLevel="0" collapsed="false">
      <c r="A89" s="0" t="str">
        <f aca="false">original_dataset!A89</f>
        <v>STR-1022</v>
      </c>
      <c r="B89" s="0" t="str">
        <f aca="false">original_dataset!B89</f>
        <v>2025-04-01</v>
      </c>
      <c r="C89" s="0" t="str">
        <f aca="false">original_dataset!C89</f>
        <v>West</v>
      </c>
      <c r="D89" s="0" t="str">
        <f aca="false">original_dataset!D89</f>
        <v>High Street</v>
      </c>
      <c r="E89" s="0" t="n">
        <f aca="false">original_dataset!E89</f>
        <v>18996.32</v>
      </c>
      <c r="F89" s="0" t="n">
        <f aca="false">original_dataset!F89</f>
        <v>1260</v>
      </c>
      <c r="G89" s="0" t="n">
        <f aca="false">original_dataset!G89</f>
        <v>0.145</v>
      </c>
      <c r="H89" s="0" t="n">
        <f aca="false">original_dataset!H89</f>
        <v>9</v>
      </c>
      <c r="I89" s="0" t="n">
        <f aca="false">original_dataset!I89</f>
        <v>86.4</v>
      </c>
      <c r="J89" s="0" t="n">
        <f aca="false">IF(ISBLANK(original_dataset!J89),MEDIAN(original_dataset!$J$2:$J$321),original_dataset!J89)</f>
        <v>4.31</v>
      </c>
      <c r="K89" s="0" t="n">
        <f aca="false">original_dataset!K89</f>
        <v>0</v>
      </c>
      <c r="L89" s="0" t="n">
        <f aca="false">IF(ISBLANK(original_dataset!L89),MEDIAN(original_dataset!$L$2:$L$321),original_dataset!L89)</f>
        <v>4.6</v>
      </c>
      <c r="M89" s="0" t="n">
        <f aca="false">original_dataset!M89</f>
        <v>450711.92</v>
      </c>
      <c r="N89" s="0" t="n">
        <f aca="false">original_dataset!N89</f>
        <v>90043.76</v>
      </c>
      <c r="O89" s="0" t="str">
        <f aca="false">IF(ISBLANK(original_dataset!J89),"Yes","No")</f>
        <v>No</v>
      </c>
      <c r="P89" s="0" t="str">
        <f aca="false">IF(ISBLANK(original_dataset!L89),"Yes","No")</f>
        <v>No</v>
      </c>
    </row>
    <row r="90" customFormat="false" ht="15" hidden="false" customHeight="false" outlineLevel="0" collapsed="false">
      <c r="A90" s="0" t="str">
        <f aca="false">original_dataset!A90</f>
        <v>STR-1023</v>
      </c>
      <c r="B90" s="0" t="str">
        <f aca="false">original_dataset!B90</f>
        <v>2025-01-01</v>
      </c>
      <c r="C90" s="0" t="str">
        <f aca="false">original_dataset!C90</f>
        <v>South</v>
      </c>
      <c r="D90" s="0" t="str">
        <f aca="false">original_dataset!D90</f>
        <v>Mall</v>
      </c>
      <c r="E90" s="0" t="n">
        <f aca="false">original_dataset!E90</f>
        <v>50517.94</v>
      </c>
      <c r="F90" s="0" t="n">
        <f aca="false">original_dataset!F90</f>
        <v>7024</v>
      </c>
      <c r="G90" s="0" t="n">
        <f aca="false">original_dataset!G90</f>
        <v>0.029</v>
      </c>
      <c r="H90" s="0" t="n">
        <f aca="false">original_dataset!H90</f>
        <v>18</v>
      </c>
      <c r="I90" s="0" t="n">
        <f aca="false">original_dataset!I90</f>
        <v>79.2</v>
      </c>
      <c r="J90" s="0" t="n">
        <f aca="false">IF(ISBLANK(original_dataset!J90),MEDIAN(original_dataset!$J$2:$J$321),original_dataset!J90)</f>
        <v>6.61</v>
      </c>
      <c r="K90" s="0" t="n">
        <f aca="false">original_dataset!K90</f>
        <v>1</v>
      </c>
      <c r="L90" s="0" t="n">
        <f aca="false">IF(ISBLANK(original_dataset!L90),MEDIAN(original_dataset!$L$2:$L$321),original_dataset!L90)</f>
        <v>4.1</v>
      </c>
      <c r="M90" s="0" t="n">
        <f aca="false">original_dataset!M90</f>
        <v>711213.46</v>
      </c>
      <c r="N90" s="0" t="n">
        <f aca="false">original_dataset!N90</f>
        <v>105863.26</v>
      </c>
      <c r="O90" s="0" t="str">
        <f aca="false">IF(ISBLANK(original_dataset!J90),"Yes","No")</f>
        <v>No</v>
      </c>
      <c r="P90" s="0" t="str">
        <f aca="false">IF(ISBLANK(original_dataset!L90),"Yes","No")</f>
        <v>No</v>
      </c>
    </row>
    <row r="91" customFormat="false" ht="15" hidden="false" customHeight="false" outlineLevel="0" collapsed="false">
      <c r="A91" s="0" t="str">
        <f aca="false">original_dataset!A91</f>
        <v>STR-1023</v>
      </c>
      <c r="B91" s="0" t="str">
        <f aca="false">original_dataset!B91</f>
        <v>2025-02-01</v>
      </c>
      <c r="C91" s="0" t="str">
        <f aca="false">original_dataset!C91</f>
        <v>South</v>
      </c>
      <c r="D91" s="0" t="str">
        <f aca="false">original_dataset!D91</f>
        <v>Mall</v>
      </c>
      <c r="E91" s="0" t="n">
        <f aca="false">original_dataset!E91</f>
        <v>141540.29</v>
      </c>
      <c r="F91" s="0" t="n">
        <f aca="false">original_dataset!F91</f>
        <v>5400</v>
      </c>
      <c r="G91" s="0" t="n">
        <f aca="false">original_dataset!G91</f>
        <v>0.013</v>
      </c>
      <c r="H91" s="0" t="n">
        <f aca="false">original_dataset!H91</f>
        <v>12</v>
      </c>
      <c r="I91" s="0" t="n">
        <f aca="false">original_dataset!I91</f>
        <v>87</v>
      </c>
      <c r="J91" s="0" t="n">
        <f aca="false">IF(ISBLANK(original_dataset!J91),MEDIAN(original_dataset!$J$2:$J$321),original_dataset!J91)</f>
        <v>4.26</v>
      </c>
      <c r="K91" s="0" t="n">
        <f aca="false">original_dataset!K91</f>
        <v>0</v>
      </c>
      <c r="L91" s="0" t="n">
        <f aca="false">IF(ISBLANK(original_dataset!L91),MEDIAN(original_dataset!$L$2:$L$321),original_dataset!L91)</f>
        <v>4.5</v>
      </c>
      <c r="M91" s="0" t="n">
        <f aca="false">original_dataset!M91</f>
        <v>627171.9</v>
      </c>
      <c r="N91" s="0" t="n">
        <f aca="false">original_dataset!N91</f>
        <v>105772.75</v>
      </c>
      <c r="O91" s="0" t="str">
        <f aca="false">IF(ISBLANK(original_dataset!J91),"Yes","No")</f>
        <v>No</v>
      </c>
      <c r="P91" s="0" t="str">
        <f aca="false">IF(ISBLANK(original_dataset!L91),"Yes","No")</f>
        <v>No</v>
      </c>
    </row>
    <row r="92" customFormat="false" ht="15" hidden="false" customHeight="false" outlineLevel="0" collapsed="false">
      <c r="A92" s="0" t="str">
        <f aca="false">original_dataset!A92</f>
        <v>STR-1023</v>
      </c>
      <c r="B92" s="0" t="str">
        <f aca="false">original_dataset!B92</f>
        <v>2025-03-01</v>
      </c>
      <c r="C92" s="0" t="str">
        <f aca="false">original_dataset!C92</f>
        <v>South</v>
      </c>
      <c r="D92" s="0" t="str">
        <f aca="false">original_dataset!D92</f>
        <v>Mall</v>
      </c>
      <c r="E92" s="0" t="n">
        <f aca="false">original_dataset!E92</f>
        <v>82116.19</v>
      </c>
      <c r="F92" s="0" t="n">
        <f aca="false">original_dataset!F92</f>
        <v>5988</v>
      </c>
      <c r="G92" s="0" t="n">
        <f aca="false">original_dataset!G92</f>
        <v>0.04</v>
      </c>
      <c r="H92" s="0" t="n">
        <f aca="false">original_dataset!H92</f>
        <v>17</v>
      </c>
      <c r="I92" s="0" t="n">
        <f aca="false">original_dataset!I92</f>
        <v>91.8</v>
      </c>
      <c r="J92" s="0" t="n">
        <f aca="false">IF(ISBLANK(original_dataset!J92),MEDIAN(original_dataset!$J$2:$J$321),original_dataset!J92)</f>
        <v>5.75</v>
      </c>
      <c r="K92" s="0" t="n">
        <f aca="false">original_dataset!K92</f>
        <v>0</v>
      </c>
      <c r="L92" s="0" t="n">
        <f aca="false">IF(ISBLANK(original_dataset!L92),MEDIAN(original_dataset!$L$2:$L$321),original_dataset!L92)</f>
        <v>4.7</v>
      </c>
      <c r="M92" s="0" t="n">
        <f aca="false">original_dataset!M92</f>
        <v>739852.58</v>
      </c>
      <c r="N92" s="0" t="n">
        <f aca="false">original_dataset!N92</f>
        <v>129386.43</v>
      </c>
      <c r="O92" s="0" t="str">
        <f aca="false">IF(ISBLANK(original_dataset!J92),"Yes","No")</f>
        <v>No</v>
      </c>
      <c r="P92" s="0" t="str">
        <f aca="false">IF(ISBLANK(original_dataset!L92),"Yes","No")</f>
        <v>No</v>
      </c>
    </row>
    <row r="93" customFormat="false" ht="15" hidden="false" customHeight="false" outlineLevel="0" collapsed="false">
      <c r="A93" s="0" t="str">
        <f aca="false">original_dataset!A93</f>
        <v>STR-1023</v>
      </c>
      <c r="B93" s="0" t="str">
        <f aca="false">original_dataset!B93</f>
        <v>2025-04-01</v>
      </c>
      <c r="C93" s="0" t="str">
        <f aca="false">original_dataset!C93</f>
        <v>South</v>
      </c>
      <c r="D93" s="0" t="str">
        <f aca="false">original_dataset!D93</f>
        <v>Mall</v>
      </c>
      <c r="E93" s="0" t="n">
        <f aca="false">original_dataset!E93</f>
        <v>31207.51</v>
      </c>
      <c r="F93" s="0" t="n">
        <f aca="false">original_dataset!F93</f>
        <v>3701</v>
      </c>
      <c r="G93" s="0" t="n">
        <f aca="false">original_dataset!G93</f>
        <v>0.043</v>
      </c>
      <c r="H93" s="0" t="n">
        <f aca="false">original_dataset!H93</f>
        <v>11</v>
      </c>
      <c r="I93" s="0" t="n">
        <f aca="false">original_dataset!I93</f>
        <v>84.7</v>
      </c>
      <c r="J93" s="0" t="n">
        <f aca="false">IF(ISBLANK(original_dataset!J93),MEDIAN(original_dataset!$J$2:$J$321),original_dataset!J93)</f>
        <v>0.33</v>
      </c>
      <c r="K93" s="0" t="n">
        <f aca="false">original_dataset!K93</f>
        <v>0</v>
      </c>
      <c r="L93" s="0" t="n">
        <f aca="false">IF(ISBLANK(original_dataset!L93),MEDIAN(original_dataset!$L$2:$L$321),original_dataset!L93)</f>
        <v>4.3</v>
      </c>
      <c r="M93" s="0" t="n">
        <f aca="false">original_dataset!M93</f>
        <v>586307.22</v>
      </c>
      <c r="N93" s="0" t="n">
        <f aca="false">original_dataset!N93</f>
        <v>73927.85</v>
      </c>
      <c r="O93" s="0" t="str">
        <f aca="false">IF(ISBLANK(original_dataset!J93),"Yes","No")</f>
        <v>No</v>
      </c>
      <c r="P93" s="0" t="str">
        <f aca="false">IF(ISBLANK(original_dataset!L93),"Yes","No")</f>
        <v>No</v>
      </c>
    </row>
    <row r="94" customFormat="false" ht="15" hidden="false" customHeight="false" outlineLevel="0" collapsed="false">
      <c r="A94" s="0" t="str">
        <f aca="false">original_dataset!A94</f>
        <v>STR-1024</v>
      </c>
      <c r="B94" s="0" t="str">
        <f aca="false">original_dataset!B94</f>
        <v>2025-01-01</v>
      </c>
      <c r="C94" s="0" t="str">
        <f aca="false">original_dataset!C94</f>
        <v>West</v>
      </c>
      <c r="D94" s="0" t="str">
        <f aca="false">original_dataset!D94</f>
        <v>Residential</v>
      </c>
      <c r="E94" s="0" t="n">
        <f aca="false">original_dataset!E94</f>
        <v>38966.59</v>
      </c>
      <c r="F94" s="0" t="n">
        <f aca="false">original_dataset!F94</f>
        <v>4509</v>
      </c>
      <c r="G94" s="0" t="n">
        <f aca="false">original_dataset!G94</f>
        <v>0.194</v>
      </c>
      <c r="H94" s="0" t="n">
        <f aca="false">original_dataset!H94</f>
        <v>14</v>
      </c>
      <c r="I94" s="0" t="n">
        <f aca="false">original_dataset!I94</f>
        <v>91.1</v>
      </c>
      <c r="J94" s="0" t="n">
        <f aca="false">IF(ISBLANK(original_dataset!J94),MEDIAN(original_dataset!$J$2:$J$321),original_dataset!J94)</f>
        <v>2.92</v>
      </c>
      <c r="K94" s="0" t="n">
        <f aca="false">original_dataset!K94</f>
        <v>0</v>
      </c>
      <c r="L94" s="0" t="n">
        <f aca="false">IF(ISBLANK(original_dataset!L94),MEDIAN(original_dataset!$L$2:$L$321),original_dataset!L94)</f>
        <v>4.6</v>
      </c>
      <c r="M94" s="0" t="n">
        <f aca="false">original_dataset!M94</f>
        <v>585937.48</v>
      </c>
      <c r="N94" s="0" t="n">
        <f aca="false">original_dataset!N94</f>
        <v>82624.2</v>
      </c>
      <c r="O94" s="0" t="str">
        <f aca="false">IF(ISBLANK(original_dataset!J94),"Yes","No")</f>
        <v>No</v>
      </c>
      <c r="P94" s="0" t="str">
        <f aca="false">IF(ISBLANK(original_dataset!L94),"Yes","No")</f>
        <v>No</v>
      </c>
    </row>
    <row r="95" customFormat="false" ht="15" hidden="false" customHeight="false" outlineLevel="0" collapsed="false">
      <c r="A95" s="0" t="str">
        <f aca="false">original_dataset!A95</f>
        <v>STR-1024</v>
      </c>
      <c r="B95" s="0" t="str">
        <f aca="false">original_dataset!B95</f>
        <v>2025-02-01</v>
      </c>
      <c r="C95" s="0" t="str">
        <f aca="false">original_dataset!C95</f>
        <v>West</v>
      </c>
      <c r="D95" s="0" t="str">
        <f aca="false">original_dataset!D95</f>
        <v>Residential</v>
      </c>
      <c r="E95" s="0" t="n">
        <f aca="false">original_dataset!E95</f>
        <v>67439.3</v>
      </c>
      <c r="F95" s="0" t="n">
        <f aca="false">original_dataset!F95</f>
        <v>6477</v>
      </c>
      <c r="G95" s="0" t="n">
        <f aca="false">original_dataset!G95</f>
        <v>0</v>
      </c>
      <c r="H95" s="0" t="n">
        <f aca="false">original_dataset!H95</f>
        <v>16</v>
      </c>
      <c r="I95" s="0" t="n">
        <f aca="false">original_dataset!I95</f>
        <v>90.9</v>
      </c>
      <c r="J95" s="0" t="n">
        <f aca="false">IF(ISBLANK(original_dataset!J95),MEDIAN(original_dataset!$J$2:$J$321),original_dataset!J95)</f>
        <v>1.64</v>
      </c>
      <c r="K95" s="0" t="n">
        <f aca="false">original_dataset!K95</f>
        <v>0</v>
      </c>
      <c r="L95" s="0" t="n">
        <f aca="false">IF(ISBLANK(original_dataset!L95),MEDIAN(original_dataset!$L$2:$L$321),original_dataset!L95)</f>
        <v>4.5</v>
      </c>
      <c r="M95" s="0" t="n">
        <f aca="false">original_dataset!M95</f>
        <v>753473.55</v>
      </c>
      <c r="N95" s="0" t="n">
        <f aca="false">original_dataset!N95</f>
        <v>151527.22</v>
      </c>
      <c r="O95" s="0" t="str">
        <f aca="false">IF(ISBLANK(original_dataset!J95),"Yes","No")</f>
        <v>No</v>
      </c>
      <c r="P95" s="0" t="str">
        <f aca="false">IF(ISBLANK(original_dataset!L95),"Yes","No")</f>
        <v>No</v>
      </c>
    </row>
    <row r="96" customFormat="false" ht="15" hidden="false" customHeight="false" outlineLevel="0" collapsed="false">
      <c r="A96" s="0" t="str">
        <f aca="false">original_dataset!A96</f>
        <v>STR-1024</v>
      </c>
      <c r="B96" s="0" t="str">
        <f aca="false">original_dataset!B96</f>
        <v>2025-03-01</v>
      </c>
      <c r="C96" s="0" t="str">
        <f aca="false">original_dataset!C96</f>
        <v>West</v>
      </c>
      <c r="D96" s="0" t="str">
        <f aca="false">original_dataset!D96</f>
        <v>Residential</v>
      </c>
      <c r="E96" s="0" t="n">
        <f aca="false">original_dataset!E96</f>
        <v>86421.88</v>
      </c>
      <c r="F96" s="0" t="n">
        <f aca="false">original_dataset!F96</f>
        <v>7970</v>
      </c>
      <c r="G96" s="0" t="n">
        <f aca="false">original_dataset!G96</f>
        <v>0.073</v>
      </c>
      <c r="H96" s="0" t="n">
        <f aca="false">original_dataset!H96</f>
        <v>17</v>
      </c>
      <c r="I96" s="0" t="n">
        <f aca="false">original_dataset!I96</f>
        <v>91.3</v>
      </c>
      <c r="J96" s="0" t="n">
        <f aca="false">IF(ISBLANK(original_dataset!J96),MEDIAN(original_dataset!$J$2:$J$321),original_dataset!J96)</f>
        <v>0.8</v>
      </c>
      <c r="K96" s="0" t="n">
        <f aca="false">original_dataset!K96</f>
        <v>0</v>
      </c>
      <c r="L96" s="0" t="n">
        <f aca="false">IF(ISBLANK(original_dataset!L96),MEDIAN(original_dataset!$L$2:$L$321),original_dataset!L96)</f>
        <v>5</v>
      </c>
      <c r="M96" s="0" t="n">
        <f aca="false">original_dataset!M96</f>
        <v>838250.32</v>
      </c>
      <c r="N96" s="0" t="n">
        <f aca="false">original_dataset!N96</f>
        <v>122939.34</v>
      </c>
      <c r="O96" s="0" t="str">
        <f aca="false">IF(ISBLANK(original_dataset!J96),"Yes","No")</f>
        <v>No</v>
      </c>
      <c r="P96" s="0" t="str">
        <f aca="false">IF(ISBLANK(original_dataset!L96),"Yes","No")</f>
        <v>No</v>
      </c>
    </row>
    <row r="97" customFormat="false" ht="15" hidden="false" customHeight="false" outlineLevel="0" collapsed="false">
      <c r="A97" s="0" t="str">
        <f aca="false">original_dataset!A97</f>
        <v>STR-1024</v>
      </c>
      <c r="B97" s="0" t="str">
        <f aca="false">original_dataset!B97</f>
        <v>2025-04-01</v>
      </c>
      <c r="C97" s="0" t="str">
        <f aca="false">original_dataset!C97</f>
        <v>West</v>
      </c>
      <c r="D97" s="0" t="str">
        <f aca="false">original_dataset!D97</f>
        <v>Residential</v>
      </c>
      <c r="E97" s="0" t="n">
        <f aca="false">original_dataset!E97</f>
        <v>9534.65</v>
      </c>
      <c r="F97" s="0" t="n">
        <f aca="false">original_dataset!F97</f>
        <v>6057</v>
      </c>
      <c r="G97" s="0" t="n">
        <f aca="false">original_dataset!G97</f>
        <v>0.074</v>
      </c>
      <c r="H97" s="0" t="n">
        <f aca="false">original_dataset!H97</f>
        <v>15</v>
      </c>
      <c r="I97" s="0" t="n">
        <f aca="false">original_dataset!I97</f>
        <v>94.1</v>
      </c>
      <c r="J97" s="0" t="n">
        <f aca="false">IF(ISBLANK(original_dataset!J97),MEDIAN(original_dataset!$J$2:$J$321),original_dataset!J97)</f>
        <v>5.79</v>
      </c>
      <c r="K97" s="0" t="n">
        <f aca="false">original_dataset!K97</f>
        <v>0</v>
      </c>
      <c r="L97" s="0" t="n">
        <f aca="false">IF(ISBLANK(original_dataset!L97),MEDIAN(original_dataset!$L$2:$L$321),original_dataset!L97)</f>
        <v>4.5</v>
      </c>
      <c r="M97" s="0" t="n">
        <f aca="false">original_dataset!M97</f>
        <v>607898.12</v>
      </c>
      <c r="N97" s="0" t="n">
        <f aca="false">original_dataset!N97</f>
        <v>135404.85</v>
      </c>
      <c r="O97" s="0" t="str">
        <f aca="false">IF(ISBLANK(original_dataset!J97),"Yes","No")</f>
        <v>No</v>
      </c>
      <c r="P97" s="0" t="str">
        <f aca="false">IF(ISBLANK(original_dataset!L97),"Yes","No")</f>
        <v>No</v>
      </c>
    </row>
    <row r="98" customFormat="false" ht="15" hidden="false" customHeight="false" outlineLevel="0" collapsed="false">
      <c r="A98" s="0" t="str">
        <f aca="false">original_dataset!A98</f>
        <v>STR-1025</v>
      </c>
      <c r="B98" s="0" t="str">
        <f aca="false">original_dataset!B98</f>
        <v>2025-01-01</v>
      </c>
      <c r="C98" s="0" t="str">
        <f aca="false">original_dataset!C98</f>
        <v>West</v>
      </c>
      <c r="D98" s="0" t="str">
        <f aca="false">original_dataset!D98</f>
        <v>Mall</v>
      </c>
      <c r="E98" s="0" t="n">
        <f aca="false">original_dataset!E98</f>
        <v>61132.07</v>
      </c>
      <c r="F98" s="0" t="n">
        <f aca="false">original_dataset!F98</f>
        <v>6394</v>
      </c>
      <c r="G98" s="0" t="n">
        <f aca="false">original_dataset!G98</f>
        <v>0.163</v>
      </c>
      <c r="H98" s="0" t="n">
        <f aca="false">original_dataset!H98</f>
        <v>19</v>
      </c>
      <c r="I98" s="0" t="n">
        <f aca="false">original_dataset!I98</f>
        <v>91</v>
      </c>
      <c r="J98" s="0" t="n">
        <f aca="false">IF(ISBLANK(original_dataset!J98),MEDIAN(original_dataset!$J$2:$J$321),original_dataset!J98)</f>
        <v>19.6</v>
      </c>
      <c r="K98" s="0" t="n">
        <f aca="false">original_dataset!K98</f>
        <v>0</v>
      </c>
      <c r="L98" s="0" t="n">
        <f aca="false">IF(ISBLANK(original_dataset!L98),MEDIAN(original_dataset!$L$2:$L$321),original_dataset!L98)</f>
        <v>4.4</v>
      </c>
      <c r="M98" s="0" t="n">
        <f aca="false">original_dataset!M98</f>
        <v>691113.62</v>
      </c>
      <c r="N98" s="0" t="n">
        <f aca="false">original_dataset!N98</f>
        <v>135145.44</v>
      </c>
      <c r="O98" s="0" t="str">
        <f aca="false">IF(ISBLANK(original_dataset!J98),"Yes","No")</f>
        <v>No</v>
      </c>
      <c r="P98" s="0" t="str">
        <f aca="false">IF(ISBLANK(original_dataset!L98),"Yes","No")</f>
        <v>No</v>
      </c>
    </row>
    <row r="99" customFormat="false" ht="15" hidden="false" customHeight="false" outlineLevel="0" collapsed="false">
      <c r="A99" s="0" t="str">
        <f aca="false">original_dataset!A99</f>
        <v>STR-1025</v>
      </c>
      <c r="B99" s="0" t="str">
        <f aca="false">original_dataset!B99</f>
        <v>2025-02-01</v>
      </c>
      <c r="C99" s="0" t="str">
        <f aca="false">original_dataset!C99</f>
        <v>West</v>
      </c>
      <c r="D99" s="0" t="str">
        <f aca="false">original_dataset!D99</f>
        <v>Mall</v>
      </c>
      <c r="E99" s="0" t="n">
        <f aca="false">original_dataset!E99</f>
        <v>78839.39</v>
      </c>
      <c r="F99" s="0" t="n">
        <f aca="false">original_dataset!F99</f>
        <v>5150</v>
      </c>
      <c r="G99" s="0" t="n">
        <f aca="false">original_dataset!G99</f>
        <v>0.171</v>
      </c>
      <c r="H99" s="0" t="n">
        <f aca="false">original_dataset!H99</f>
        <v>13</v>
      </c>
      <c r="I99" s="0" t="n">
        <f aca="false">original_dataset!I99</f>
        <v>85.8</v>
      </c>
      <c r="J99" s="0" t="n">
        <f aca="false">IF(ISBLANK(original_dataset!J99),MEDIAN(original_dataset!$J$2:$J$321),original_dataset!J99)</f>
        <v>7.57</v>
      </c>
      <c r="K99" s="0" t="n">
        <f aca="false">original_dataset!K99</f>
        <v>0</v>
      </c>
      <c r="L99" s="0" t="n">
        <f aca="false">IF(ISBLANK(original_dataset!L99),MEDIAN(original_dataset!$L$2:$L$321),original_dataset!L99)</f>
        <v>4.3</v>
      </c>
      <c r="M99" s="0" t="n">
        <f aca="false">original_dataset!M99</f>
        <v>735509.4</v>
      </c>
      <c r="N99" s="0" t="n">
        <f aca="false">original_dataset!N99</f>
        <v>83895.96</v>
      </c>
      <c r="O99" s="0" t="str">
        <f aca="false">IF(ISBLANK(original_dataset!J99),"Yes","No")</f>
        <v>No</v>
      </c>
      <c r="P99" s="0" t="str">
        <f aca="false">IF(ISBLANK(original_dataset!L99),"Yes","No")</f>
        <v>No</v>
      </c>
    </row>
    <row r="100" customFormat="false" ht="15" hidden="false" customHeight="false" outlineLevel="0" collapsed="false">
      <c r="A100" s="0" t="str">
        <f aca="false">original_dataset!A100</f>
        <v>STR-1025</v>
      </c>
      <c r="B100" s="0" t="str">
        <f aca="false">original_dataset!B100</f>
        <v>2025-03-01</v>
      </c>
      <c r="C100" s="0" t="str">
        <f aca="false">original_dataset!C100</f>
        <v>West</v>
      </c>
      <c r="D100" s="0" t="str">
        <f aca="false">original_dataset!D100</f>
        <v>Mall</v>
      </c>
      <c r="E100" s="0" t="n">
        <f aca="false">original_dataset!E100</f>
        <v>38752.8</v>
      </c>
      <c r="F100" s="0" t="n">
        <f aca="false">original_dataset!F100</f>
        <v>4712</v>
      </c>
      <c r="G100" s="0" t="n">
        <f aca="false">original_dataset!G100</f>
        <v>0.075</v>
      </c>
      <c r="H100" s="0" t="n">
        <f aca="false">original_dataset!H100</f>
        <v>15</v>
      </c>
      <c r="I100" s="0" t="n">
        <f aca="false">original_dataset!I100</f>
        <v>89.7</v>
      </c>
      <c r="J100" s="0" t="n">
        <f aca="false">IF(ISBLANK(original_dataset!J100),MEDIAN(original_dataset!$J$2:$J$321),original_dataset!J100)</f>
        <v>3.365</v>
      </c>
      <c r="K100" s="0" t="n">
        <f aca="false">original_dataset!K100</f>
        <v>0</v>
      </c>
      <c r="L100" s="0" t="n">
        <f aca="false">IF(ISBLANK(original_dataset!L100),MEDIAN(original_dataset!$L$2:$L$321),original_dataset!L100)</f>
        <v>4.3</v>
      </c>
      <c r="M100" s="0" t="n">
        <f aca="false">original_dataset!M100</f>
        <v>605775.33</v>
      </c>
      <c r="N100" s="0" t="n">
        <f aca="false">original_dataset!N100</f>
        <v>107194.6</v>
      </c>
      <c r="O100" s="0" t="str">
        <f aca="false">IF(ISBLANK(original_dataset!J100),"Yes","No")</f>
        <v>Yes</v>
      </c>
      <c r="P100" s="0" t="str">
        <f aca="false">IF(ISBLANK(original_dataset!L100),"Yes","No")</f>
        <v>No</v>
      </c>
    </row>
    <row r="101" customFormat="false" ht="15" hidden="false" customHeight="false" outlineLevel="0" collapsed="false">
      <c r="A101" s="0" t="str">
        <f aca="false">original_dataset!A101</f>
        <v>STR-1025</v>
      </c>
      <c r="B101" s="0" t="str">
        <f aca="false">original_dataset!B101</f>
        <v>2025-04-01</v>
      </c>
      <c r="C101" s="0" t="str">
        <f aca="false">original_dataset!C101</f>
        <v>West</v>
      </c>
      <c r="D101" s="0" t="str">
        <f aca="false">original_dataset!D101</f>
        <v>Mall</v>
      </c>
      <c r="E101" s="0" t="n">
        <f aca="false">original_dataset!E101</f>
        <v>55101.1</v>
      </c>
      <c r="F101" s="0" t="n">
        <f aca="false">original_dataset!F101</f>
        <v>5281</v>
      </c>
      <c r="G101" s="0" t="n">
        <f aca="false">original_dataset!G101</f>
        <v>0.189</v>
      </c>
      <c r="H101" s="0" t="n">
        <f aca="false">original_dataset!H101</f>
        <v>11</v>
      </c>
      <c r="I101" s="0" t="n">
        <f aca="false">original_dataset!I101</f>
        <v>91</v>
      </c>
      <c r="J101" s="0" t="n">
        <f aca="false">IF(ISBLANK(original_dataset!J101),MEDIAN(original_dataset!$J$2:$J$321),original_dataset!J101)</f>
        <v>2.7</v>
      </c>
      <c r="K101" s="0" t="n">
        <f aca="false">original_dataset!K101</f>
        <v>0</v>
      </c>
      <c r="L101" s="0" t="n">
        <f aca="false">IF(ISBLANK(original_dataset!L101),MEDIAN(original_dataset!$L$2:$L$321),original_dataset!L101)</f>
        <v>4.4</v>
      </c>
      <c r="M101" s="0" t="n">
        <f aca="false">original_dataset!M101</f>
        <v>675177.68</v>
      </c>
      <c r="N101" s="0" t="n">
        <f aca="false">original_dataset!N101</f>
        <v>105628.68</v>
      </c>
      <c r="O101" s="0" t="str">
        <f aca="false">IF(ISBLANK(original_dataset!J101),"Yes","No")</f>
        <v>No</v>
      </c>
      <c r="P101" s="0" t="str">
        <f aca="false">IF(ISBLANK(original_dataset!L101),"Yes","No")</f>
        <v>No</v>
      </c>
    </row>
    <row r="102" customFormat="false" ht="15" hidden="false" customHeight="false" outlineLevel="0" collapsed="false">
      <c r="A102" s="0" t="str">
        <f aca="false">original_dataset!A102</f>
        <v>STR-1026</v>
      </c>
      <c r="B102" s="0" t="str">
        <f aca="false">original_dataset!B102</f>
        <v>2025-01-01</v>
      </c>
      <c r="C102" s="0" t="str">
        <f aca="false">original_dataset!C102</f>
        <v>East</v>
      </c>
      <c r="D102" s="0" t="str">
        <f aca="false">original_dataset!D102</f>
        <v>Mall</v>
      </c>
      <c r="E102" s="0" t="n">
        <f aca="false">original_dataset!E102</f>
        <v>53084.76</v>
      </c>
      <c r="F102" s="0" t="n">
        <f aca="false">original_dataset!F102</f>
        <v>3642</v>
      </c>
      <c r="G102" s="0" t="n">
        <f aca="false">original_dataset!G102</f>
        <v>0.15</v>
      </c>
      <c r="H102" s="0" t="n">
        <f aca="false">original_dataset!H102</f>
        <v>12</v>
      </c>
      <c r="I102" s="0" t="n">
        <f aca="false">original_dataset!I102</f>
        <v>91.4</v>
      </c>
      <c r="J102" s="0" t="n">
        <f aca="false">IF(ISBLANK(original_dataset!J102),MEDIAN(original_dataset!$J$2:$J$321),original_dataset!J102)</f>
        <v>0.2</v>
      </c>
      <c r="K102" s="0" t="n">
        <f aca="false">original_dataset!K102</f>
        <v>0</v>
      </c>
      <c r="L102" s="0" t="n">
        <f aca="false">IF(ISBLANK(original_dataset!L102),MEDIAN(original_dataset!$L$2:$L$321),original_dataset!L102)</f>
        <v>4.4</v>
      </c>
      <c r="M102" s="0" t="n">
        <f aca="false">original_dataset!M102</f>
        <v>635181.35</v>
      </c>
      <c r="N102" s="0" t="n">
        <f aca="false">original_dataset!N102</f>
        <v>83341.25</v>
      </c>
      <c r="O102" s="0" t="str">
        <f aca="false">IF(ISBLANK(original_dataset!J102),"Yes","No")</f>
        <v>No</v>
      </c>
      <c r="P102" s="0" t="str">
        <f aca="false">IF(ISBLANK(original_dataset!L102),"Yes","No")</f>
        <v>No</v>
      </c>
    </row>
    <row r="103" customFormat="false" ht="15" hidden="false" customHeight="false" outlineLevel="0" collapsed="false">
      <c r="A103" s="0" t="str">
        <f aca="false">original_dataset!A103</f>
        <v>STR-1026</v>
      </c>
      <c r="B103" s="0" t="str">
        <f aca="false">original_dataset!B103</f>
        <v>2025-02-01</v>
      </c>
      <c r="C103" s="0" t="str">
        <f aca="false">original_dataset!C103</f>
        <v>East</v>
      </c>
      <c r="D103" s="0" t="str">
        <f aca="false">original_dataset!D103</f>
        <v>Mall</v>
      </c>
      <c r="E103" s="0" t="n">
        <f aca="false">original_dataset!E103</f>
        <v>63101.59</v>
      </c>
      <c r="F103" s="0" t="n">
        <f aca="false">original_dataset!F103</f>
        <v>4373</v>
      </c>
      <c r="G103" s="0" t="n">
        <f aca="false">original_dataset!G103</f>
        <v>0.173</v>
      </c>
      <c r="H103" s="0" t="n">
        <f aca="false">original_dataset!H103</f>
        <v>14</v>
      </c>
      <c r="I103" s="0" t="n">
        <f aca="false">original_dataset!I103</f>
        <v>90.4</v>
      </c>
      <c r="J103" s="0" t="n">
        <f aca="false">IF(ISBLANK(original_dataset!J103),MEDIAN(original_dataset!$J$2:$J$321),original_dataset!J103)</f>
        <v>7.87</v>
      </c>
      <c r="K103" s="0" t="n">
        <f aca="false">original_dataset!K103</f>
        <v>0</v>
      </c>
      <c r="L103" s="0" t="n">
        <f aca="false">IF(ISBLANK(original_dataset!L103),MEDIAN(original_dataset!$L$2:$L$321),original_dataset!L103)</f>
        <v>4.7</v>
      </c>
      <c r="M103" s="0" t="n">
        <f aca="false">original_dataset!M103</f>
        <v>586626.94</v>
      </c>
      <c r="N103" s="0" t="n">
        <f aca="false">original_dataset!N103</f>
        <v>86498.55</v>
      </c>
      <c r="O103" s="0" t="str">
        <f aca="false">IF(ISBLANK(original_dataset!J103),"Yes","No")</f>
        <v>No</v>
      </c>
      <c r="P103" s="0" t="str">
        <f aca="false">IF(ISBLANK(original_dataset!L103),"Yes","No")</f>
        <v>No</v>
      </c>
    </row>
    <row r="104" customFormat="false" ht="15" hidden="false" customHeight="false" outlineLevel="0" collapsed="false">
      <c r="A104" s="0" t="str">
        <f aca="false">original_dataset!A104</f>
        <v>STR-1026</v>
      </c>
      <c r="B104" s="0" t="str">
        <f aca="false">original_dataset!B104</f>
        <v>2025-03-01</v>
      </c>
      <c r="C104" s="0" t="str">
        <f aca="false">original_dataset!C104</f>
        <v>East</v>
      </c>
      <c r="D104" s="0" t="str">
        <f aca="false">original_dataset!D104</f>
        <v>Mall</v>
      </c>
      <c r="E104" s="0" t="n">
        <f aca="false">original_dataset!E104</f>
        <v>90084.4</v>
      </c>
      <c r="F104" s="0" t="n">
        <f aca="false">original_dataset!F104</f>
        <v>6832</v>
      </c>
      <c r="G104" s="0" t="n">
        <f aca="false">original_dataset!G104</f>
        <v>0.185</v>
      </c>
      <c r="H104" s="0" t="n">
        <f aca="false">original_dataset!H104</f>
        <v>14</v>
      </c>
      <c r="I104" s="0" t="n">
        <f aca="false">original_dataset!I104</f>
        <v>80.5</v>
      </c>
      <c r="J104" s="0" t="n">
        <f aca="false">IF(ISBLANK(original_dataset!J104),MEDIAN(original_dataset!$J$2:$J$321),original_dataset!J104)</f>
        <v>0.77</v>
      </c>
      <c r="K104" s="0" t="n">
        <f aca="false">original_dataset!K104</f>
        <v>1</v>
      </c>
      <c r="L104" s="0" t="n">
        <f aca="false">IF(ISBLANK(original_dataset!L104),MEDIAN(original_dataset!$L$2:$L$321),original_dataset!L104)</f>
        <v>4.4</v>
      </c>
      <c r="M104" s="0" t="n">
        <f aca="false">original_dataset!M104</f>
        <v>740102.64</v>
      </c>
      <c r="N104" s="0" t="n">
        <f aca="false">original_dataset!N104</f>
        <v>114299.07</v>
      </c>
      <c r="O104" s="0" t="str">
        <f aca="false">IF(ISBLANK(original_dataset!J104),"Yes","No")</f>
        <v>No</v>
      </c>
      <c r="P104" s="0" t="str">
        <f aca="false">IF(ISBLANK(original_dataset!L104),"Yes","No")</f>
        <v>No</v>
      </c>
    </row>
    <row r="105" customFormat="false" ht="15" hidden="false" customHeight="false" outlineLevel="0" collapsed="false">
      <c r="A105" s="0" t="str">
        <f aca="false">original_dataset!A105</f>
        <v>STR-1026</v>
      </c>
      <c r="B105" s="0" t="str">
        <f aca="false">original_dataset!B105</f>
        <v>2025-04-01</v>
      </c>
      <c r="C105" s="0" t="str">
        <f aca="false">original_dataset!C105</f>
        <v>East</v>
      </c>
      <c r="D105" s="0" t="str">
        <f aca="false">original_dataset!D105</f>
        <v>Mall</v>
      </c>
      <c r="E105" s="0" t="n">
        <f aca="false">original_dataset!E105</f>
        <v>32266.64</v>
      </c>
      <c r="F105" s="0" t="n">
        <f aca="false">original_dataset!F105</f>
        <v>2414</v>
      </c>
      <c r="G105" s="0" t="n">
        <f aca="false">original_dataset!G105</f>
        <v>0.08</v>
      </c>
      <c r="H105" s="0" t="n">
        <f aca="false">original_dataset!H105</f>
        <v>7</v>
      </c>
      <c r="I105" s="0" t="n">
        <f aca="false">original_dataset!I105</f>
        <v>92.1</v>
      </c>
      <c r="J105" s="0" t="n">
        <f aca="false">IF(ISBLANK(original_dataset!J105),MEDIAN(original_dataset!$J$2:$J$321),original_dataset!J105)</f>
        <v>1.48</v>
      </c>
      <c r="K105" s="0" t="n">
        <f aca="false">original_dataset!K105</f>
        <v>0</v>
      </c>
      <c r="L105" s="0" t="n">
        <f aca="false">IF(ISBLANK(original_dataset!L105),MEDIAN(original_dataset!$L$2:$L$321),original_dataset!L105)</f>
        <v>5</v>
      </c>
      <c r="M105" s="0" t="n">
        <f aca="false">original_dataset!M105</f>
        <v>625514.04</v>
      </c>
      <c r="N105" s="0" t="n">
        <f aca="false">original_dataset!N105</f>
        <v>120685.08</v>
      </c>
      <c r="O105" s="0" t="str">
        <f aca="false">IF(ISBLANK(original_dataset!J105),"Yes","No")</f>
        <v>No</v>
      </c>
      <c r="P105" s="0" t="str">
        <f aca="false">IF(ISBLANK(original_dataset!L105),"Yes","No")</f>
        <v>No</v>
      </c>
    </row>
    <row r="106" customFormat="false" ht="15" hidden="false" customHeight="false" outlineLevel="0" collapsed="false">
      <c r="A106" s="0" t="str">
        <f aca="false">original_dataset!A106</f>
        <v>STR-1027</v>
      </c>
      <c r="B106" s="0" t="str">
        <f aca="false">original_dataset!B106</f>
        <v>2025-01-01</v>
      </c>
      <c r="C106" s="0" t="str">
        <f aca="false">original_dataset!C106</f>
        <v>West</v>
      </c>
      <c r="D106" s="0" t="str">
        <f aca="false">original_dataset!D106</f>
        <v>High Street</v>
      </c>
      <c r="E106" s="0" t="n">
        <f aca="false">original_dataset!E106</f>
        <v>57919.07</v>
      </c>
      <c r="F106" s="0" t="n">
        <f aca="false">original_dataset!F106</f>
        <v>7374</v>
      </c>
      <c r="G106" s="0" t="n">
        <f aca="false">original_dataset!G106</f>
        <v>0.103</v>
      </c>
      <c r="H106" s="0" t="n">
        <f aca="false">original_dataset!H106</f>
        <v>21</v>
      </c>
      <c r="I106" s="0" t="n">
        <f aca="false">original_dataset!I106</f>
        <v>82.3</v>
      </c>
      <c r="J106" s="0" t="n">
        <f aca="false">IF(ISBLANK(original_dataset!J106),MEDIAN(original_dataset!$J$2:$J$321),original_dataset!J106)</f>
        <v>2.87</v>
      </c>
      <c r="K106" s="0" t="n">
        <f aca="false">original_dataset!K106</f>
        <v>0</v>
      </c>
      <c r="L106" s="0" t="n">
        <f aca="false">IF(ISBLANK(original_dataset!L106),MEDIAN(original_dataset!$L$2:$L$321),original_dataset!L106)</f>
        <v>2.9</v>
      </c>
      <c r="M106" s="0" t="n">
        <f aca="false">original_dataset!M106</f>
        <v>727227.2</v>
      </c>
      <c r="N106" s="0" t="n">
        <f aca="false">original_dataset!N106</f>
        <v>121292.01</v>
      </c>
      <c r="O106" s="0" t="str">
        <f aca="false">IF(ISBLANK(original_dataset!J106),"Yes","No")</f>
        <v>No</v>
      </c>
      <c r="P106" s="0" t="str">
        <f aca="false">IF(ISBLANK(original_dataset!L106),"Yes","No")</f>
        <v>No</v>
      </c>
    </row>
    <row r="107" customFormat="false" ht="15" hidden="false" customHeight="false" outlineLevel="0" collapsed="false">
      <c r="A107" s="0" t="str">
        <f aca="false">original_dataset!A107</f>
        <v>STR-1027</v>
      </c>
      <c r="B107" s="0" t="str">
        <f aca="false">original_dataset!B107</f>
        <v>2025-02-01</v>
      </c>
      <c r="C107" s="0" t="str">
        <f aca="false">original_dataset!C107</f>
        <v>West</v>
      </c>
      <c r="D107" s="0" t="str">
        <f aca="false">original_dataset!D107</f>
        <v>High Street</v>
      </c>
      <c r="E107" s="0" t="n">
        <f aca="false">original_dataset!E107</f>
        <v>74679.35</v>
      </c>
      <c r="F107" s="0" t="n">
        <f aca="false">original_dataset!F107</f>
        <v>8739</v>
      </c>
      <c r="G107" s="0" t="n">
        <f aca="false">original_dataset!G107</f>
        <v>0.056</v>
      </c>
      <c r="H107" s="0" t="n">
        <f aca="false">original_dataset!H107</f>
        <v>21</v>
      </c>
      <c r="I107" s="0" t="n">
        <f aca="false">original_dataset!I107</f>
        <v>91.8</v>
      </c>
      <c r="J107" s="0" t="n">
        <f aca="false">IF(ISBLANK(original_dataset!J107),MEDIAN(original_dataset!$J$2:$J$321),original_dataset!J107)</f>
        <v>2.83</v>
      </c>
      <c r="K107" s="0" t="n">
        <f aca="false">original_dataset!K107</f>
        <v>0</v>
      </c>
      <c r="L107" s="0" t="n">
        <f aca="false">IF(ISBLANK(original_dataset!L107),MEDIAN(original_dataset!$L$2:$L$321),original_dataset!L107)</f>
        <v>3</v>
      </c>
      <c r="M107" s="0" t="n">
        <f aca="false">original_dataset!M107</f>
        <v>783797.89</v>
      </c>
      <c r="N107" s="0" t="n">
        <f aca="false">original_dataset!N107</f>
        <v>157620.7</v>
      </c>
      <c r="O107" s="0" t="str">
        <f aca="false">IF(ISBLANK(original_dataset!J107),"Yes","No")</f>
        <v>No</v>
      </c>
      <c r="P107" s="0" t="str">
        <f aca="false">IF(ISBLANK(original_dataset!L107),"Yes","No")</f>
        <v>No</v>
      </c>
    </row>
    <row r="108" customFormat="false" ht="15" hidden="false" customHeight="false" outlineLevel="0" collapsed="false">
      <c r="A108" s="0" t="str">
        <f aca="false">original_dataset!A108</f>
        <v>STR-1027</v>
      </c>
      <c r="B108" s="0" t="str">
        <f aca="false">original_dataset!B108</f>
        <v>2025-03-01</v>
      </c>
      <c r="C108" s="0" t="str">
        <f aca="false">original_dataset!C108</f>
        <v>West</v>
      </c>
      <c r="D108" s="0" t="str">
        <f aca="false">original_dataset!D108</f>
        <v>High Street</v>
      </c>
      <c r="E108" s="0" t="n">
        <f aca="false">original_dataset!E108</f>
        <v>64294.23</v>
      </c>
      <c r="F108" s="0" t="n">
        <f aca="false">original_dataset!F108</f>
        <v>6992</v>
      </c>
      <c r="G108" s="0" t="n">
        <f aca="false">original_dataset!G108</f>
        <v>0.133</v>
      </c>
      <c r="H108" s="0" t="n">
        <f aca="false">original_dataset!H108</f>
        <v>14</v>
      </c>
      <c r="I108" s="0" t="n">
        <f aca="false">original_dataset!I108</f>
        <v>94.1</v>
      </c>
      <c r="J108" s="0" t="n">
        <f aca="false">IF(ISBLANK(original_dataset!J108),MEDIAN(original_dataset!$J$2:$J$321),original_dataset!J108)</f>
        <v>0.25</v>
      </c>
      <c r="K108" s="0" t="n">
        <f aca="false">original_dataset!K108</f>
        <v>0</v>
      </c>
      <c r="L108" s="0" t="n">
        <f aca="false">IF(ISBLANK(original_dataset!L108),MEDIAN(original_dataset!$L$2:$L$321),original_dataset!L108)</f>
        <v>3</v>
      </c>
      <c r="M108" s="0" t="n">
        <f aca="false">original_dataset!M108</f>
        <v>795153.84</v>
      </c>
      <c r="N108" s="0" t="n">
        <f aca="false">original_dataset!N108</f>
        <v>143194.21</v>
      </c>
      <c r="O108" s="0" t="str">
        <f aca="false">IF(ISBLANK(original_dataset!J108),"Yes","No")</f>
        <v>No</v>
      </c>
      <c r="P108" s="0" t="str">
        <f aca="false">IF(ISBLANK(original_dataset!L108),"Yes","No")</f>
        <v>No</v>
      </c>
    </row>
    <row r="109" customFormat="false" ht="15" hidden="false" customHeight="false" outlineLevel="0" collapsed="false">
      <c r="A109" s="0" t="str">
        <f aca="false">original_dataset!A109</f>
        <v>STR-1027</v>
      </c>
      <c r="B109" s="0" t="str">
        <f aca="false">original_dataset!B109</f>
        <v>2025-04-01</v>
      </c>
      <c r="C109" s="0" t="str">
        <f aca="false">original_dataset!C109</f>
        <v>West</v>
      </c>
      <c r="D109" s="0" t="str">
        <f aca="false">original_dataset!D109</f>
        <v>High Street</v>
      </c>
      <c r="E109" s="0" t="n">
        <f aca="false">original_dataset!E109</f>
        <v>31042.03</v>
      </c>
      <c r="F109" s="0" t="n">
        <f aca="false">original_dataset!F109</f>
        <v>7107</v>
      </c>
      <c r="G109" s="0" t="n">
        <f aca="false">original_dataset!G109</f>
        <v>0.051</v>
      </c>
      <c r="H109" s="0" t="n">
        <f aca="false">original_dataset!H109</f>
        <v>15</v>
      </c>
      <c r="I109" s="0" t="n">
        <f aca="false">original_dataset!I109</f>
        <v>87</v>
      </c>
      <c r="J109" s="0" t="n">
        <f aca="false">IF(ISBLANK(original_dataset!J109),MEDIAN(original_dataset!$J$2:$J$321),original_dataset!J109)</f>
        <v>13.33</v>
      </c>
      <c r="K109" s="0" t="n">
        <f aca="false">original_dataset!K109</f>
        <v>0</v>
      </c>
      <c r="L109" s="0" t="n">
        <f aca="false">IF(ISBLANK(original_dataset!L109),MEDIAN(original_dataset!$L$2:$L$321),original_dataset!L109)</f>
        <v>3.2</v>
      </c>
      <c r="M109" s="0" t="n">
        <f aca="false">original_dataset!M109</f>
        <v>665594.94</v>
      </c>
      <c r="N109" s="0" t="n">
        <f aca="false">original_dataset!N109</f>
        <v>127597.34</v>
      </c>
      <c r="O109" s="0" t="str">
        <f aca="false">IF(ISBLANK(original_dataset!J109),"Yes","No")</f>
        <v>No</v>
      </c>
      <c r="P109" s="0" t="str">
        <f aca="false">IF(ISBLANK(original_dataset!L109),"Yes","No")</f>
        <v>No</v>
      </c>
    </row>
    <row r="110" customFormat="false" ht="15" hidden="false" customHeight="false" outlineLevel="0" collapsed="false">
      <c r="A110" s="0" t="str">
        <f aca="false">original_dataset!A110</f>
        <v>STR-1028</v>
      </c>
      <c r="B110" s="0" t="str">
        <f aca="false">original_dataset!B110</f>
        <v>2025-01-01</v>
      </c>
      <c r="C110" s="0" t="str">
        <f aca="false">original_dataset!C110</f>
        <v>East</v>
      </c>
      <c r="D110" s="0" t="str">
        <f aca="false">original_dataset!D110</f>
        <v>Mall</v>
      </c>
      <c r="E110" s="0" t="n">
        <f aca="false">original_dataset!E110</f>
        <v>75265.02</v>
      </c>
      <c r="F110" s="0" t="n">
        <f aca="false">original_dataset!F110</f>
        <v>6975</v>
      </c>
      <c r="G110" s="0" t="n">
        <f aca="false">original_dataset!G110</f>
        <v>0.157</v>
      </c>
      <c r="H110" s="0" t="n">
        <f aca="false">original_dataset!H110</f>
        <v>20</v>
      </c>
      <c r="I110" s="0" t="n">
        <f aca="false">original_dataset!I110</f>
        <v>73.8</v>
      </c>
      <c r="J110" s="0" t="n">
        <f aca="false">IF(ISBLANK(original_dataset!J110),MEDIAN(original_dataset!$J$2:$J$321),original_dataset!J110)</f>
        <v>6.35</v>
      </c>
      <c r="K110" s="0" t="n">
        <f aca="false">original_dataset!K110</f>
        <v>1</v>
      </c>
      <c r="L110" s="0" t="n">
        <f aca="false">IF(ISBLANK(original_dataset!L110),MEDIAN(original_dataset!$L$2:$L$321),original_dataset!L110)</f>
        <v>3.8</v>
      </c>
      <c r="M110" s="0" t="n">
        <f aca="false">original_dataset!M110</f>
        <v>709478.39</v>
      </c>
      <c r="N110" s="0" t="n">
        <f aca="false">original_dataset!N110</f>
        <v>71294.27</v>
      </c>
      <c r="O110" s="0" t="str">
        <f aca="false">IF(ISBLANK(original_dataset!J110),"Yes","No")</f>
        <v>No</v>
      </c>
      <c r="P110" s="0" t="str">
        <f aca="false">IF(ISBLANK(original_dataset!L110),"Yes","No")</f>
        <v>No</v>
      </c>
    </row>
    <row r="111" customFormat="false" ht="15" hidden="false" customHeight="false" outlineLevel="0" collapsed="false">
      <c r="A111" s="0" t="str">
        <f aca="false">original_dataset!A111</f>
        <v>STR-1028</v>
      </c>
      <c r="B111" s="0" t="str">
        <f aca="false">original_dataset!B111</f>
        <v>2025-02-01</v>
      </c>
      <c r="C111" s="0" t="str">
        <f aca="false">original_dataset!C111</f>
        <v>East</v>
      </c>
      <c r="D111" s="0" t="str">
        <f aca="false">original_dataset!D111</f>
        <v>Mall</v>
      </c>
      <c r="E111" s="0" t="n">
        <f aca="false">original_dataset!E111</f>
        <v>69411.7</v>
      </c>
      <c r="F111" s="0" t="n">
        <f aca="false">original_dataset!F111</f>
        <v>5493</v>
      </c>
      <c r="G111" s="0" t="n">
        <f aca="false">original_dataset!G111</f>
        <v>0.292</v>
      </c>
      <c r="H111" s="0" t="n">
        <f aca="false">original_dataset!H111</f>
        <v>13</v>
      </c>
      <c r="I111" s="0" t="n">
        <f aca="false">original_dataset!I111</f>
        <v>86.5</v>
      </c>
      <c r="J111" s="0" t="n">
        <f aca="false">IF(ISBLANK(original_dataset!J111),MEDIAN(original_dataset!$J$2:$J$321),original_dataset!J111)</f>
        <v>6.69</v>
      </c>
      <c r="K111" s="0" t="n">
        <f aca="false">original_dataset!K111</f>
        <v>0</v>
      </c>
      <c r="L111" s="0" t="n">
        <f aca="false">IF(ISBLANK(original_dataset!L111),MEDIAN(original_dataset!$L$2:$L$321),original_dataset!L111)</f>
        <v>3.8</v>
      </c>
      <c r="M111" s="0" t="n">
        <f aca="false">original_dataset!M111</f>
        <v>664162.49</v>
      </c>
      <c r="N111" s="0" t="n">
        <f aca="false">original_dataset!N111</f>
        <v>98291.06</v>
      </c>
      <c r="O111" s="0" t="str">
        <f aca="false">IF(ISBLANK(original_dataset!J111),"Yes","No")</f>
        <v>No</v>
      </c>
      <c r="P111" s="0" t="str">
        <f aca="false">IF(ISBLANK(original_dataset!L111),"Yes","No")</f>
        <v>No</v>
      </c>
    </row>
    <row r="112" customFormat="false" ht="15" hidden="false" customHeight="false" outlineLevel="0" collapsed="false">
      <c r="A112" s="0" t="str">
        <f aca="false">original_dataset!A112</f>
        <v>STR-1028</v>
      </c>
      <c r="B112" s="0" t="str">
        <f aca="false">original_dataset!B112</f>
        <v>2025-03-01</v>
      </c>
      <c r="C112" s="0" t="str">
        <f aca="false">original_dataset!C112</f>
        <v>East</v>
      </c>
      <c r="D112" s="0" t="str">
        <f aca="false">original_dataset!D112</f>
        <v>Mall</v>
      </c>
      <c r="E112" s="0" t="n">
        <f aca="false">original_dataset!E112</f>
        <v>51056.15</v>
      </c>
      <c r="F112" s="0" t="n">
        <f aca="false">original_dataset!F112</f>
        <v>5686</v>
      </c>
      <c r="G112" s="0" t="n">
        <f aca="false">original_dataset!G112</f>
        <v>0.089</v>
      </c>
      <c r="H112" s="0" t="n">
        <f aca="false">original_dataset!H112</f>
        <v>13</v>
      </c>
      <c r="I112" s="0" t="n">
        <f aca="false">original_dataset!I112</f>
        <v>89.9</v>
      </c>
      <c r="J112" s="0" t="n">
        <f aca="false">IF(ISBLANK(original_dataset!J112),MEDIAN(original_dataset!$J$2:$J$321),original_dataset!J112)</f>
        <v>1.28</v>
      </c>
      <c r="K112" s="0" t="n">
        <f aca="false">original_dataset!K112</f>
        <v>0</v>
      </c>
      <c r="L112" s="0" t="n">
        <f aca="false">IF(ISBLANK(original_dataset!L112),MEDIAN(original_dataset!$L$2:$L$321),original_dataset!L112)</f>
        <v>4.2</v>
      </c>
      <c r="M112" s="0" t="n">
        <f aca="false">original_dataset!M112</f>
        <v>633494.21</v>
      </c>
      <c r="N112" s="0" t="n">
        <f aca="false">original_dataset!N112</f>
        <v>105739.47</v>
      </c>
      <c r="O112" s="0" t="str">
        <f aca="false">IF(ISBLANK(original_dataset!J112),"Yes","No")</f>
        <v>No</v>
      </c>
      <c r="P112" s="0" t="str">
        <f aca="false">IF(ISBLANK(original_dataset!L112),"Yes","No")</f>
        <v>No</v>
      </c>
    </row>
    <row r="113" customFormat="false" ht="15" hidden="false" customHeight="false" outlineLevel="0" collapsed="false">
      <c r="A113" s="0" t="str">
        <f aca="false">original_dataset!A113</f>
        <v>STR-1028</v>
      </c>
      <c r="B113" s="0" t="str">
        <f aca="false">original_dataset!B113</f>
        <v>2025-04-01</v>
      </c>
      <c r="C113" s="0" t="str">
        <f aca="false">original_dataset!C113</f>
        <v>East</v>
      </c>
      <c r="D113" s="0" t="str">
        <f aca="false">original_dataset!D113</f>
        <v>Mall</v>
      </c>
      <c r="E113" s="0" t="n">
        <f aca="false">original_dataset!E113</f>
        <v>52758.01</v>
      </c>
      <c r="F113" s="0" t="n">
        <f aca="false">original_dataset!F113</f>
        <v>4063</v>
      </c>
      <c r="G113" s="0" t="n">
        <f aca="false">original_dataset!G113</f>
        <v>0.057</v>
      </c>
      <c r="H113" s="0" t="n">
        <f aca="false">original_dataset!H113</f>
        <v>12</v>
      </c>
      <c r="I113" s="0" t="n">
        <f aca="false">original_dataset!I113</f>
        <v>91.7</v>
      </c>
      <c r="J113" s="0" t="n">
        <f aca="false">IF(ISBLANK(original_dataset!J113),MEDIAN(original_dataset!$J$2:$J$321),original_dataset!J113)</f>
        <v>0.92</v>
      </c>
      <c r="K113" s="0" t="n">
        <f aca="false">original_dataset!K113</f>
        <v>0</v>
      </c>
      <c r="L113" s="0" t="n">
        <f aca="false">IF(ISBLANK(original_dataset!L113),MEDIAN(original_dataset!$L$2:$L$321),original_dataset!L113)</f>
        <v>3.5</v>
      </c>
      <c r="M113" s="0" t="n">
        <f aca="false">original_dataset!M113</f>
        <v>713611.16</v>
      </c>
      <c r="N113" s="0" t="n">
        <f aca="false">original_dataset!N113</f>
        <v>129717.18</v>
      </c>
      <c r="O113" s="0" t="str">
        <f aca="false">IF(ISBLANK(original_dataset!J113),"Yes","No")</f>
        <v>No</v>
      </c>
      <c r="P113" s="0" t="str">
        <f aca="false">IF(ISBLANK(original_dataset!L113),"Yes","No")</f>
        <v>No</v>
      </c>
    </row>
    <row r="114" customFormat="false" ht="15" hidden="false" customHeight="false" outlineLevel="0" collapsed="false">
      <c r="A114" s="0" t="str">
        <f aca="false">original_dataset!A114</f>
        <v>STR-1029</v>
      </c>
      <c r="B114" s="0" t="str">
        <f aca="false">original_dataset!B114</f>
        <v>2025-01-01</v>
      </c>
      <c r="C114" s="0" t="str">
        <f aca="false">original_dataset!C114</f>
        <v>West</v>
      </c>
      <c r="D114" s="0" t="str">
        <f aca="false">original_dataset!D114</f>
        <v>Mall</v>
      </c>
      <c r="E114" s="0" t="n">
        <f aca="false">original_dataset!E114</f>
        <v>61426.04</v>
      </c>
      <c r="F114" s="0" t="n">
        <f aca="false">original_dataset!F114</f>
        <v>8966</v>
      </c>
      <c r="G114" s="0" t="n">
        <f aca="false">original_dataset!G114</f>
        <v>0.173</v>
      </c>
      <c r="H114" s="0" t="n">
        <f aca="false">original_dataset!H114</f>
        <v>22</v>
      </c>
      <c r="I114" s="0" t="n">
        <f aca="false">original_dataset!I114</f>
        <v>76.4</v>
      </c>
      <c r="J114" s="0" t="n">
        <f aca="false">IF(ISBLANK(original_dataset!J114),MEDIAN(original_dataset!$J$2:$J$321),original_dataset!J114)</f>
        <v>1.05</v>
      </c>
      <c r="K114" s="0" t="n">
        <f aca="false">original_dataset!K114</f>
        <v>0</v>
      </c>
      <c r="L114" s="0" t="n">
        <f aca="false">IF(ISBLANK(original_dataset!L114),MEDIAN(original_dataset!$L$2:$L$321),original_dataset!L114)</f>
        <v>3.1</v>
      </c>
      <c r="M114" s="0" t="n">
        <f aca="false">original_dataset!M114</f>
        <v>778397.97</v>
      </c>
      <c r="N114" s="0" t="n">
        <f aca="false">original_dataset!N114</f>
        <v>120044.41</v>
      </c>
      <c r="O114" s="0" t="str">
        <f aca="false">IF(ISBLANK(original_dataset!J114),"Yes","No")</f>
        <v>No</v>
      </c>
      <c r="P114" s="0" t="str">
        <f aca="false">IF(ISBLANK(original_dataset!L114),"Yes","No")</f>
        <v>No</v>
      </c>
    </row>
    <row r="115" customFormat="false" ht="15" hidden="false" customHeight="false" outlineLevel="0" collapsed="false">
      <c r="A115" s="0" t="str">
        <f aca="false">original_dataset!A115</f>
        <v>STR-1029</v>
      </c>
      <c r="B115" s="0" t="str">
        <f aca="false">original_dataset!B115</f>
        <v>2025-02-01</v>
      </c>
      <c r="C115" s="0" t="str">
        <f aca="false">original_dataset!C115</f>
        <v>West</v>
      </c>
      <c r="D115" s="0" t="str">
        <f aca="false">original_dataset!D115</f>
        <v>Mall</v>
      </c>
      <c r="E115" s="0" t="n">
        <f aca="false">original_dataset!E115</f>
        <v>80176.34</v>
      </c>
      <c r="F115" s="0" t="n">
        <f aca="false">original_dataset!F115</f>
        <v>9489</v>
      </c>
      <c r="G115" s="0" t="n">
        <f aca="false">original_dataset!G115</f>
        <v>0.142</v>
      </c>
      <c r="H115" s="0" t="n">
        <f aca="false">original_dataset!H115</f>
        <v>22</v>
      </c>
      <c r="I115" s="0" t="n">
        <f aca="false">original_dataset!I115</f>
        <v>94.3</v>
      </c>
      <c r="J115" s="0" t="n">
        <f aca="false">IF(ISBLANK(original_dataset!J115),MEDIAN(original_dataset!$J$2:$J$321),original_dataset!J115)</f>
        <v>2.67</v>
      </c>
      <c r="K115" s="0" t="n">
        <f aca="false">original_dataset!K115</f>
        <v>0</v>
      </c>
      <c r="L115" s="0" t="n">
        <f aca="false">IF(ISBLANK(original_dataset!L115),MEDIAN(original_dataset!$L$2:$L$321),original_dataset!L115)</f>
        <v>3.5</v>
      </c>
      <c r="M115" s="0" t="n">
        <f aca="false">original_dataset!M115</f>
        <v>873380.02</v>
      </c>
      <c r="N115" s="0" t="n">
        <f aca="false">original_dataset!N115</f>
        <v>149734.76</v>
      </c>
      <c r="O115" s="0" t="str">
        <f aca="false">IF(ISBLANK(original_dataset!J115),"Yes","No")</f>
        <v>No</v>
      </c>
      <c r="P115" s="0" t="str">
        <f aca="false">IF(ISBLANK(original_dataset!L115),"Yes","No")</f>
        <v>No</v>
      </c>
    </row>
    <row r="116" customFormat="false" ht="15" hidden="false" customHeight="false" outlineLevel="0" collapsed="false">
      <c r="A116" s="0" t="str">
        <f aca="false">original_dataset!A116</f>
        <v>STR-1029</v>
      </c>
      <c r="B116" s="0" t="str">
        <f aca="false">original_dataset!B116</f>
        <v>2025-03-01</v>
      </c>
      <c r="C116" s="0" t="str">
        <f aca="false">original_dataset!C116</f>
        <v>West</v>
      </c>
      <c r="D116" s="0" t="str">
        <f aca="false">original_dataset!D116</f>
        <v>Mall</v>
      </c>
      <c r="E116" s="0" t="n">
        <f aca="false">original_dataset!E116</f>
        <v>33605.18</v>
      </c>
      <c r="F116" s="0" t="n">
        <f aca="false">original_dataset!F116</f>
        <v>9225</v>
      </c>
      <c r="G116" s="0" t="n">
        <f aca="false">original_dataset!G116</f>
        <v>0.159</v>
      </c>
      <c r="H116" s="0" t="n">
        <f aca="false">original_dataset!H116</f>
        <v>23</v>
      </c>
      <c r="I116" s="0" t="n">
        <f aca="false">original_dataset!I116</f>
        <v>88.4</v>
      </c>
      <c r="J116" s="0" t="n">
        <f aca="false">IF(ISBLANK(original_dataset!J116),MEDIAN(original_dataset!$J$2:$J$321),original_dataset!J116)</f>
        <v>5.91</v>
      </c>
      <c r="K116" s="0" t="n">
        <f aca="false">original_dataset!K116</f>
        <v>0</v>
      </c>
      <c r="L116" s="0" t="n">
        <f aca="false">IF(ISBLANK(original_dataset!L116),MEDIAN(original_dataset!$L$2:$L$321),original_dataset!L116)</f>
        <v>2.8</v>
      </c>
      <c r="M116" s="0" t="n">
        <f aca="false">original_dataset!M116</f>
        <v>697287.9</v>
      </c>
      <c r="N116" s="0" t="n">
        <f aca="false">original_dataset!N116</f>
        <v>128208.33</v>
      </c>
      <c r="O116" s="0" t="str">
        <f aca="false">IF(ISBLANK(original_dataset!J116),"Yes","No")</f>
        <v>No</v>
      </c>
      <c r="P116" s="0" t="str">
        <f aca="false">IF(ISBLANK(original_dataset!L116),"Yes","No")</f>
        <v>No</v>
      </c>
    </row>
    <row r="117" customFormat="false" ht="15" hidden="false" customHeight="false" outlineLevel="0" collapsed="false">
      <c r="A117" s="0" t="str">
        <f aca="false">original_dataset!A117</f>
        <v>STR-1029</v>
      </c>
      <c r="B117" s="0" t="str">
        <f aca="false">original_dataset!B117</f>
        <v>2025-04-01</v>
      </c>
      <c r="C117" s="0" t="str">
        <f aca="false">original_dataset!C117</f>
        <v>West</v>
      </c>
      <c r="D117" s="0" t="str">
        <f aca="false">original_dataset!D117</f>
        <v>Mall</v>
      </c>
      <c r="E117" s="0" t="n">
        <f aca="false">original_dataset!E117</f>
        <v>25990.54</v>
      </c>
      <c r="F117" s="0" t="n">
        <f aca="false">original_dataset!F117</f>
        <v>9249</v>
      </c>
      <c r="G117" s="0" t="n">
        <f aca="false">original_dataset!G117</f>
        <v>0.139</v>
      </c>
      <c r="H117" s="0" t="n">
        <f aca="false">original_dataset!H117</f>
        <v>23</v>
      </c>
      <c r="I117" s="0" t="n">
        <f aca="false">original_dataset!I117</f>
        <v>92.5</v>
      </c>
      <c r="J117" s="0" t="n">
        <f aca="false">IF(ISBLANK(original_dataset!J117),MEDIAN(original_dataset!$J$2:$J$321),original_dataset!J117)</f>
        <v>6.37</v>
      </c>
      <c r="K117" s="0" t="n">
        <f aca="false">original_dataset!K117</f>
        <v>0</v>
      </c>
      <c r="L117" s="0" t="n">
        <f aca="false">IF(ISBLANK(original_dataset!L117),MEDIAN(original_dataset!$L$2:$L$321),original_dataset!L117)</f>
        <v>3.3</v>
      </c>
      <c r="M117" s="0" t="n">
        <f aca="false">original_dataset!M117</f>
        <v>718074.79</v>
      </c>
      <c r="N117" s="0" t="n">
        <f aca="false">original_dataset!N117</f>
        <v>115819.87</v>
      </c>
      <c r="O117" s="0" t="str">
        <f aca="false">IF(ISBLANK(original_dataset!J117),"Yes","No")</f>
        <v>No</v>
      </c>
      <c r="P117" s="0" t="str">
        <f aca="false">IF(ISBLANK(original_dataset!L117),"Yes","No")</f>
        <v>No</v>
      </c>
    </row>
    <row r="118" customFormat="false" ht="15" hidden="false" customHeight="false" outlineLevel="0" collapsed="false">
      <c r="A118" s="0" t="str">
        <f aca="false">original_dataset!A118</f>
        <v>STR-1030</v>
      </c>
      <c r="B118" s="0" t="str">
        <f aca="false">original_dataset!B118</f>
        <v>2025-01-01</v>
      </c>
      <c r="C118" s="0" t="str">
        <f aca="false">original_dataset!C118</f>
        <v>West</v>
      </c>
      <c r="D118" s="0" t="str">
        <f aca="false">original_dataset!D118</f>
        <v>Residential</v>
      </c>
      <c r="E118" s="0" t="n">
        <f aca="false">original_dataset!E118</f>
        <v>43685.14</v>
      </c>
      <c r="F118" s="0" t="n">
        <f aca="false">original_dataset!F118</f>
        <v>7821</v>
      </c>
      <c r="G118" s="0" t="n">
        <f aca="false">original_dataset!G118</f>
        <v>0.19</v>
      </c>
      <c r="H118" s="0" t="n">
        <f aca="false">original_dataset!H118</f>
        <v>17</v>
      </c>
      <c r="I118" s="0" t="n">
        <f aca="false">original_dataset!I118</f>
        <v>91</v>
      </c>
      <c r="J118" s="0" t="n">
        <f aca="false">IF(ISBLANK(original_dataset!J118),MEDIAN(original_dataset!$J$2:$J$321),original_dataset!J118)</f>
        <v>2.49</v>
      </c>
      <c r="K118" s="0" t="n">
        <f aca="false">original_dataset!K118</f>
        <v>1</v>
      </c>
      <c r="L118" s="0" t="n">
        <f aca="false">IF(ISBLANK(original_dataset!L118),MEDIAN(original_dataset!$L$2:$L$321),original_dataset!L118)</f>
        <v>4.7</v>
      </c>
      <c r="M118" s="0" t="n">
        <f aca="false">original_dataset!M118</f>
        <v>714942.43</v>
      </c>
      <c r="N118" s="0" t="n">
        <f aca="false">original_dataset!N118</f>
        <v>94697.71</v>
      </c>
      <c r="O118" s="0" t="str">
        <f aca="false">IF(ISBLANK(original_dataset!J118),"Yes","No")</f>
        <v>No</v>
      </c>
      <c r="P118" s="0" t="str">
        <f aca="false">IF(ISBLANK(original_dataset!L118),"Yes","No")</f>
        <v>No</v>
      </c>
    </row>
    <row r="119" customFormat="false" ht="15" hidden="false" customHeight="false" outlineLevel="0" collapsed="false">
      <c r="A119" s="0" t="str">
        <f aca="false">original_dataset!A119</f>
        <v>STR-1030</v>
      </c>
      <c r="B119" s="0" t="str">
        <f aca="false">original_dataset!B119</f>
        <v>2025-02-01</v>
      </c>
      <c r="C119" s="0" t="str">
        <f aca="false">original_dataset!C119</f>
        <v>West</v>
      </c>
      <c r="D119" s="0" t="str">
        <f aca="false">original_dataset!D119</f>
        <v>Residential</v>
      </c>
      <c r="E119" s="0" t="n">
        <f aca="false">original_dataset!E119</f>
        <v>57360.01</v>
      </c>
      <c r="F119" s="0" t="n">
        <f aca="false">original_dataset!F119</f>
        <v>8434</v>
      </c>
      <c r="G119" s="0" t="n">
        <f aca="false">original_dataset!G119</f>
        <v>0.151</v>
      </c>
      <c r="H119" s="0" t="n">
        <f aca="false">original_dataset!H119</f>
        <v>19</v>
      </c>
      <c r="I119" s="0" t="n">
        <f aca="false">original_dataset!I119</f>
        <v>84.1</v>
      </c>
      <c r="J119" s="0" t="n">
        <f aca="false">IF(ISBLANK(original_dataset!J119),MEDIAN(original_dataset!$J$2:$J$321),original_dataset!J119)</f>
        <v>1.56</v>
      </c>
      <c r="K119" s="0" t="n">
        <f aca="false">original_dataset!K119</f>
        <v>0</v>
      </c>
      <c r="L119" s="0" t="n">
        <f aca="false">IF(ISBLANK(original_dataset!L119),MEDIAN(original_dataset!$L$2:$L$321),original_dataset!L119)</f>
        <v>4.7</v>
      </c>
      <c r="M119" s="0" t="n">
        <f aca="false">original_dataset!M119</f>
        <v>820519.04</v>
      </c>
      <c r="N119" s="0" t="n">
        <f aca="false">original_dataset!N119</f>
        <v>99035.88</v>
      </c>
      <c r="O119" s="0" t="str">
        <f aca="false">IF(ISBLANK(original_dataset!J119),"Yes","No")</f>
        <v>No</v>
      </c>
      <c r="P119" s="0" t="str">
        <f aca="false">IF(ISBLANK(original_dataset!L119),"Yes","No")</f>
        <v>No</v>
      </c>
    </row>
    <row r="120" customFormat="false" ht="15" hidden="false" customHeight="false" outlineLevel="0" collapsed="false">
      <c r="A120" s="0" t="str">
        <f aca="false">original_dataset!A120</f>
        <v>STR-1030</v>
      </c>
      <c r="B120" s="0" t="str">
        <f aca="false">original_dataset!B120</f>
        <v>2025-03-01</v>
      </c>
      <c r="C120" s="0" t="str">
        <f aca="false">original_dataset!C120</f>
        <v>West</v>
      </c>
      <c r="D120" s="0" t="str">
        <f aca="false">original_dataset!D120</f>
        <v>Residential</v>
      </c>
      <c r="E120" s="0" t="n">
        <f aca="false">original_dataset!E120</f>
        <v>42415.47</v>
      </c>
      <c r="F120" s="0" t="n">
        <f aca="false">original_dataset!F120</f>
        <v>8512</v>
      </c>
      <c r="G120" s="0" t="n">
        <f aca="false">original_dataset!G120</f>
        <v>0.133</v>
      </c>
      <c r="H120" s="0" t="n">
        <f aca="false">original_dataset!H120</f>
        <v>18</v>
      </c>
      <c r="I120" s="0" t="n">
        <f aca="false">original_dataset!I120</f>
        <v>96.8</v>
      </c>
      <c r="J120" s="0" t="n">
        <f aca="false">IF(ISBLANK(original_dataset!J120),MEDIAN(original_dataset!$J$2:$J$321),original_dataset!J120)</f>
        <v>14.95</v>
      </c>
      <c r="K120" s="0" t="n">
        <f aca="false">original_dataset!K120</f>
        <v>0</v>
      </c>
      <c r="L120" s="0" t="n">
        <f aca="false">IF(ISBLANK(original_dataset!L120),MEDIAN(original_dataset!$L$2:$L$321),original_dataset!L120)</f>
        <v>4.6</v>
      </c>
      <c r="M120" s="0" t="n">
        <f aca="false">original_dataset!M120</f>
        <v>684217.32</v>
      </c>
      <c r="N120" s="0" t="n">
        <f aca="false">original_dataset!N120</f>
        <v>136217.19</v>
      </c>
      <c r="O120" s="0" t="str">
        <f aca="false">IF(ISBLANK(original_dataset!J120),"Yes","No")</f>
        <v>No</v>
      </c>
      <c r="P120" s="0" t="str">
        <f aca="false">IF(ISBLANK(original_dataset!L120),"Yes","No")</f>
        <v>No</v>
      </c>
    </row>
    <row r="121" customFormat="false" ht="15" hidden="false" customHeight="false" outlineLevel="0" collapsed="false">
      <c r="A121" s="0" t="str">
        <f aca="false">original_dataset!A121</f>
        <v>STR-1030</v>
      </c>
      <c r="B121" s="0" t="str">
        <f aca="false">original_dataset!B121</f>
        <v>2025-04-01</v>
      </c>
      <c r="C121" s="0" t="str">
        <f aca="false">original_dataset!C121</f>
        <v>West</v>
      </c>
      <c r="D121" s="0" t="str">
        <f aca="false">original_dataset!D121</f>
        <v>Residential</v>
      </c>
      <c r="E121" s="0" t="n">
        <f aca="false">original_dataset!E121</f>
        <v>54968.98</v>
      </c>
      <c r="F121" s="0" t="n">
        <f aca="false">original_dataset!F121</f>
        <v>7816</v>
      </c>
      <c r="G121" s="0" t="n">
        <f aca="false">original_dataset!G121</f>
        <v>0.232</v>
      </c>
      <c r="H121" s="0" t="n">
        <f aca="false">original_dataset!H121</f>
        <v>19</v>
      </c>
      <c r="I121" s="0" t="n">
        <f aca="false">original_dataset!I121</f>
        <v>95.7</v>
      </c>
      <c r="J121" s="0" t="n">
        <f aca="false">IF(ISBLANK(original_dataset!J121),MEDIAN(original_dataset!$J$2:$J$321),original_dataset!J121)</f>
        <v>7.85</v>
      </c>
      <c r="K121" s="0" t="n">
        <f aca="false">original_dataset!K121</f>
        <v>0</v>
      </c>
      <c r="L121" s="0" t="n">
        <f aca="false">IF(ISBLANK(original_dataset!L121),MEDIAN(original_dataset!$L$2:$L$321),original_dataset!L121)</f>
        <v>4.7</v>
      </c>
      <c r="M121" s="0" t="n">
        <f aca="false">original_dataset!M121</f>
        <v>735480.19</v>
      </c>
      <c r="N121" s="0" t="n">
        <f aca="false">original_dataset!N121</f>
        <v>88342.11</v>
      </c>
      <c r="O121" s="0" t="str">
        <f aca="false">IF(ISBLANK(original_dataset!J121),"Yes","No")</f>
        <v>No</v>
      </c>
      <c r="P121" s="0" t="str">
        <f aca="false">IF(ISBLANK(original_dataset!L121),"Yes","No")</f>
        <v>No</v>
      </c>
    </row>
    <row r="122" customFormat="false" ht="15" hidden="false" customHeight="false" outlineLevel="0" collapsed="false">
      <c r="A122" s="0" t="str">
        <f aca="false">original_dataset!A122</f>
        <v>STR-1031</v>
      </c>
      <c r="B122" s="0" t="str">
        <f aca="false">original_dataset!B122</f>
        <v>2025-01-01</v>
      </c>
      <c r="C122" s="0" t="str">
        <f aca="false">original_dataset!C122</f>
        <v>North</v>
      </c>
      <c r="D122" s="0" t="str">
        <f aca="false">original_dataset!D122</f>
        <v>High Street</v>
      </c>
      <c r="E122" s="0" t="n">
        <f aca="false">original_dataset!E122</f>
        <v>43896.13</v>
      </c>
      <c r="F122" s="0" t="n">
        <f aca="false">original_dataset!F122</f>
        <v>3853</v>
      </c>
      <c r="G122" s="0" t="n">
        <f aca="false">original_dataset!G122</f>
        <v>0.088</v>
      </c>
      <c r="H122" s="0" t="n">
        <f aca="false">original_dataset!H122</f>
        <v>13</v>
      </c>
      <c r="I122" s="0" t="n">
        <f aca="false">original_dataset!I122</f>
        <v>83</v>
      </c>
      <c r="J122" s="0" t="n">
        <f aca="false">IF(ISBLANK(original_dataset!J122),MEDIAN(original_dataset!$J$2:$J$321),original_dataset!J122)</f>
        <v>6.8</v>
      </c>
      <c r="K122" s="0" t="n">
        <f aca="false">original_dataset!K122</f>
        <v>0</v>
      </c>
      <c r="L122" s="0" t="n">
        <f aca="false">IF(ISBLANK(original_dataset!L122),MEDIAN(original_dataset!$L$2:$L$321),original_dataset!L122)</f>
        <v>4.4</v>
      </c>
      <c r="M122" s="0" t="n">
        <f aca="false">original_dataset!M122</f>
        <v>509484.81</v>
      </c>
      <c r="N122" s="0" t="n">
        <f aca="false">original_dataset!N122</f>
        <v>85742.36</v>
      </c>
      <c r="O122" s="0" t="str">
        <f aca="false">IF(ISBLANK(original_dataset!J122),"Yes","No")</f>
        <v>No</v>
      </c>
      <c r="P122" s="0" t="str">
        <f aca="false">IF(ISBLANK(original_dataset!L122),"Yes","No")</f>
        <v>No</v>
      </c>
    </row>
    <row r="123" customFormat="false" ht="15" hidden="false" customHeight="false" outlineLevel="0" collapsed="false">
      <c r="A123" s="0" t="str">
        <f aca="false">original_dataset!A123</f>
        <v>STR-1031</v>
      </c>
      <c r="B123" s="0" t="str">
        <f aca="false">original_dataset!B123</f>
        <v>2025-02-01</v>
      </c>
      <c r="C123" s="0" t="str">
        <f aca="false">original_dataset!C123</f>
        <v>North</v>
      </c>
      <c r="D123" s="0" t="str">
        <f aca="false">original_dataset!D123</f>
        <v>High Street</v>
      </c>
      <c r="E123" s="0" t="n">
        <f aca="false">original_dataset!E123</f>
        <v>83044.17</v>
      </c>
      <c r="F123" s="0" t="n">
        <f aca="false">original_dataset!F123</f>
        <v>3694</v>
      </c>
      <c r="G123" s="0" t="n">
        <f aca="false">original_dataset!G123</f>
        <v>0</v>
      </c>
      <c r="H123" s="0" t="n">
        <f aca="false">original_dataset!H123</f>
        <v>14</v>
      </c>
      <c r="I123" s="0" t="n">
        <f aca="false">original_dataset!I123</f>
        <v>89.4</v>
      </c>
      <c r="J123" s="0" t="n">
        <f aca="false">IF(ISBLANK(original_dataset!J123),MEDIAN(original_dataset!$J$2:$J$321),original_dataset!J123)</f>
        <v>2.2</v>
      </c>
      <c r="K123" s="0" t="n">
        <f aca="false">original_dataset!K123</f>
        <v>0</v>
      </c>
      <c r="L123" s="0" t="n">
        <f aca="false">IF(ISBLANK(original_dataset!L123),MEDIAN(original_dataset!$L$2:$L$321),original_dataset!L123)</f>
        <v>3.7</v>
      </c>
      <c r="M123" s="0" t="n">
        <f aca="false">original_dataset!M123</f>
        <v>654317.09</v>
      </c>
      <c r="N123" s="0" t="n">
        <f aca="false">original_dataset!N123</f>
        <v>121446.89</v>
      </c>
      <c r="O123" s="0" t="str">
        <f aca="false">IF(ISBLANK(original_dataset!J123),"Yes","No")</f>
        <v>No</v>
      </c>
      <c r="P123" s="0" t="str">
        <f aca="false">IF(ISBLANK(original_dataset!L123),"Yes","No")</f>
        <v>No</v>
      </c>
    </row>
    <row r="124" customFormat="false" ht="15" hidden="false" customHeight="false" outlineLevel="0" collapsed="false">
      <c r="A124" s="0" t="str">
        <f aca="false">original_dataset!A124</f>
        <v>STR-1031</v>
      </c>
      <c r="B124" s="0" t="str">
        <f aca="false">original_dataset!B124</f>
        <v>2025-03-01</v>
      </c>
      <c r="C124" s="0" t="str">
        <f aca="false">original_dataset!C124</f>
        <v>North</v>
      </c>
      <c r="D124" s="0" t="str">
        <f aca="false">original_dataset!D124</f>
        <v>High Street</v>
      </c>
      <c r="E124" s="0" t="n">
        <f aca="false">original_dataset!E124</f>
        <v>48396.13</v>
      </c>
      <c r="F124" s="0" t="n">
        <f aca="false">original_dataset!F124</f>
        <v>4423</v>
      </c>
      <c r="G124" s="0" t="n">
        <f aca="false">original_dataset!G124</f>
        <v>0.069</v>
      </c>
      <c r="H124" s="0" t="n">
        <f aca="false">original_dataset!H124</f>
        <v>15</v>
      </c>
      <c r="I124" s="0" t="n">
        <f aca="false">original_dataset!I124</f>
        <v>85.7</v>
      </c>
      <c r="J124" s="0" t="n">
        <f aca="false">IF(ISBLANK(original_dataset!J124),MEDIAN(original_dataset!$J$2:$J$321),original_dataset!J124)</f>
        <v>1.88</v>
      </c>
      <c r="K124" s="0" t="n">
        <f aca="false">original_dataset!K124</f>
        <v>0</v>
      </c>
      <c r="L124" s="0" t="n">
        <f aca="false">IF(ISBLANK(original_dataset!L124),MEDIAN(original_dataset!$L$2:$L$321),original_dataset!L124)</f>
        <v>3.9</v>
      </c>
      <c r="M124" s="0" t="n">
        <f aca="false">original_dataset!M124</f>
        <v>557487.26</v>
      </c>
      <c r="N124" s="0" t="n">
        <f aca="false">original_dataset!N124</f>
        <v>76432.19</v>
      </c>
      <c r="O124" s="0" t="str">
        <f aca="false">IF(ISBLANK(original_dataset!J124),"Yes","No")</f>
        <v>No</v>
      </c>
      <c r="P124" s="0" t="str">
        <f aca="false">IF(ISBLANK(original_dataset!L124),"Yes","No")</f>
        <v>No</v>
      </c>
    </row>
    <row r="125" customFormat="false" ht="15" hidden="false" customHeight="false" outlineLevel="0" collapsed="false">
      <c r="A125" s="0" t="str">
        <f aca="false">original_dataset!A125</f>
        <v>STR-1031</v>
      </c>
      <c r="B125" s="0" t="str">
        <f aca="false">original_dataset!B125</f>
        <v>2025-04-01</v>
      </c>
      <c r="C125" s="0" t="str">
        <f aca="false">original_dataset!C125</f>
        <v>North</v>
      </c>
      <c r="D125" s="0" t="str">
        <f aca="false">original_dataset!D125</f>
        <v>High Street</v>
      </c>
      <c r="E125" s="0" t="n">
        <f aca="false">original_dataset!E125</f>
        <v>19063.48</v>
      </c>
      <c r="F125" s="0" t="n">
        <f aca="false">original_dataset!F125</f>
        <v>1906</v>
      </c>
      <c r="G125" s="0" t="n">
        <f aca="false">original_dataset!G125</f>
        <v>0.216</v>
      </c>
      <c r="H125" s="0" t="n">
        <f aca="false">original_dataset!H125</f>
        <v>10</v>
      </c>
      <c r="I125" s="0" t="n">
        <f aca="false">original_dataset!I125</f>
        <v>97.8</v>
      </c>
      <c r="J125" s="0" t="n">
        <f aca="false">IF(ISBLANK(original_dataset!J125),MEDIAN(original_dataset!$J$2:$J$321),original_dataset!J125)</f>
        <v>15.79</v>
      </c>
      <c r="K125" s="0" t="n">
        <f aca="false">original_dataset!K125</f>
        <v>0</v>
      </c>
      <c r="L125" s="0" t="n">
        <f aca="false">IF(ISBLANK(original_dataset!L125),MEDIAN(original_dataset!$L$2:$L$321),original_dataset!L125)</f>
        <v>4.4</v>
      </c>
      <c r="M125" s="0" t="n">
        <f aca="false">original_dataset!M125</f>
        <v>441275.42</v>
      </c>
      <c r="N125" s="0" t="n">
        <f aca="false">original_dataset!N125</f>
        <v>58234.87</v>
      </c>
      <c r="O125" s="0" t="str">
        <f aca="false">IF(ISBLANK(original_dataset!J125),"Yes","No")</f>
        <v>No</v>
      </c>
      <c r="P125" s="0" t="str">
        <f aca="false">IF(ISBLANK(original_dataset!L125),"Yes","No")</f>
        <v>No</v>
      </c>
    </row>
    <row r="126" customFormat="false" ht="15" hidden="false" customHeight="false" outlineLevel="0" collapsed="false">
      <c r="A126" s="0" t="str">
        <f aca="false">original_dataset!A126</f>
        <v>STR-1032</v>
      </c>
      <c r="B126" s="0" t="str">
        <f aca="false">original_dataset!B126</f>
        <v>2025-01-01</v>
      </c>
      <c r="C126" s="0" t="str">
        <f aca="false">original_dataset!C126</f>
        <v>South</v>
      </c>
      <c r="D126" s="0" t="str">
        <f aca="false">original_dataset!D126</f>
        <v>High Street</v>
      </c>
      <c r="E126" s="0" t="n">
        <f aca="false">original_dataset!E126</f>
        <v>61541.21</v>
      </c>
      <c r="F126" s="0" t="n">
        <f aca="false">original_dataset!F126</f>
        <v>10396</v>
      </c>
      <c r="G126" s="0" t="n">
        <f aca="false">original_dataset!G126</f>
        <v>0.123</v>
      </c>
      <c r="H126" s="0" t="n">
        <f aca="false">original_dataset!H126</f>
        <v>25</v>
      </c>
      <c r="I126" s="0" t="n">
        <f aca="false">original_dataset!I126</f>
        <v>88.1</v>
      </c>
      <c r="J126" s="0" t="n">
        <f aca="false">IF(ISBLANK(original_dataset!J126),MEDIAN(original_dataset!$J$2:$J$321),original_dataset!J126)</f>
        <v>2.34</v>
      </c>
      <c r="K126" s="0" t="n">
        <f aca="false">original_dataset!K126</f>
        <v>1</v>
      </c>
      <c r="L126" s="0" t="n">
        <f aca="false">IF(ISBLANK(original_dataset!L126),MEDIAN(original_dataset!$L$2:$L$321),original_dataset!L126)</f>
        <v>4.8</v>
      </c>
      <c r="M126" s="0" t="n">
        <f aca="false">original_dataset!M126</f>
        <v>914544.17</v>
      </c>
      <c r="N126" s="0" t="n">
        <f aca="false">original_dataset!N126</f>
        <v>79831.73</v>
      </c>
      <c r="O126" s="0" t="str">
        <f aca="false">IF(ISBLANK(original_dataset!J126),"Yes","No")</f>
        <v>No</v>
      </c>
      <c r="P126" s="0" t="str">
        <f aca="false">IF(ISBLANK(original_dataset!L126),"Yes","No")</f>
        <v>No</v>
      </c>
    </row>
    <row r="127" customFormat="false" ht="15" hidden="false" customHeight="false" outlineLevel="0" collapsed="false">
      <c r="A127" s="0" t="str">
        <f aca="false">original_dataset!A127</f>
        <v>STR-1032</v>
      </c>
      <c r="B127" s="0" t="str">
        <f aca="false">original_dataset!B127</f>
        <v>2025-02-01</v>
      </c>
      <c r="C127" s="0" t="str">
        <f aca="false">original_dataset!C127</f>
        <v>South</v>
      </c>
      <c r="D127" s="0" t="str">
        <f aca="false">original_dataset!D127</f>
        <v>High Street</v>
      </c>
      <c r="E127" s="0" t="n">
        <f aca="false">original_dataset!E127</f>
        <v>44747</v>
      </c>
      <c r="F127" s="0" t="n">
        <f aca="false">original_dataset!F127</f>
        <v>11076</v>
      </c>
      <c r="G127" s="0" t="n">
        <f aca="false">original_dataset!G127</f>
        <v>0.176</v>
      </c>
      <c r="H127" s="0" t="n">
        <f aca="false">original_dataset!H127</f>
        <v>27</v>
      </c>
      <c r="I127" s="0" t="n">
        <f aca="false">original_dataset!I127</f>
        <v>98.3</v>
      </c>
      <c r="J127" s="0" t="n">
        <f aca="false">IF(ISBLANK(original_dataset!J127),MEDIAN(original_dataset!$J$2:$J$321),original_dataset!J127)</f>
        <v>0.54</v>
      </c>
      <c r="K127" s="0" t="n">
        <f aca="false">original_dataset!K127</f>
        <v>0</v>
      </c>
      <c r="L127" s="0" t="n">
        <f aca="false">IF(ISBLANK(original_dataset!L127),MEDIAN(original_dataset!$L$2:$L$321),original_dataset!L127)</f>
        <v>4.4</v>
      </c>
      <c r="M127" s="0" t="n">
        <f aca="false">original_dataset!M127</f>
        <v>842439.67</v>
      </c>
      <c r="N127" s="0" t="n">
        <f aca="false">original_dataset!N127</f>
        <v>169983.63</v>
      </c>
      <c r="O127" s="0" t="str">
        <f aca="false">IF(ISBLANK(original_dataset!J127),"Yes","No")</f>
        <v>No</v>
      </c>
      <c r="P127" s="0" t="str">
        <f aca="false">IF(ISBLANK(original_dataset!L127),"Yes","No")</f>
        <v>No</v>
      </c>
    </row>
    <row r="128" customFormat="false" ht="15" hidden="false" customHeight="false" outlineLevel="0" collapsed="false">
      <c r="A128" s="0" t="str">
        <f aca="false">original_dataset!A128</f>
        <v>STR-1032</v>
      </c>
      <c r="B128" s="0" t="str">
        <f aca="false">original_dataset!B128</f>
        <v>2025-03-01</v>
      </c>
      <c r="C128" s="0" t="str">
        <f aca="false">original_dataset!C128</f>
        <v>South</v>
      </c>
      <c r="D128" s="0" t="str">
        <f aca="false">original_dataset!D128</f>
        <v>High Street</v>
      </c>
      <c r="E128" s="0" t="n">
        <f aca="false">original_dataset!E128</f>
        <v>56517.9</v>
      </c>
      <c r="F128" s="0" t="n">
        <f aca="false">original_dataset!F128</f>
        <v>9574</v>
      </c>
      <c r="G128" s="0" t="n">
        <f aca="false">original_dataset!G128</f>
        <v>0.204</v>
      </c>
      <c r="H128" s="0" t="n">
        <f aca="false">original_dataset!H128</f>
        <v>20</v>
      </c>
      <c r="I128" s="0" t="n">
        <f aca="false">original_dataset!I128</f>
        <v>88.2</v>
      </c>
      <c r="J128" s="0" t="n">
        <f aca="false">IF(ISBLANK(original_dataset!J128),MEDIAN(original_dataset!$J$2:$J$321),original_dataset!J128)</f>
        <v>5.37</v>
      </c>
      <c r="K128" s="0" t="n">
        <f aca="false">original_dataset!K128</f>
        <v>1</v>
      </c>
      <c r="L128" s="0" t="n">
        <f aca="false">IF(ISBLANK(original_dataset!L128),MEDIAN(original_dataset!$L$2:$L$321),original_dataset!L128)</f>
        <v>4.9</v>
      </c>
      <c r="M128" s="0" t="n">
        <f aca="false">original_dataset!M128</f>
        <v>842157.92</v>
      </c>
      <c r="N128" s="0" t="n">
        <f aca="false">original_dataset!N128</f>
        <v>107348.22</v>
      </c>
      <c r="O128" s="0" t="str">
        <f aca="false">IF(ISBLANK(original_dataset!J128),"Yes","No")</f>
        <v>No</v>
      </c>
      <c r="P128" s="0" t="str">
        <f aca="false">IF(ISBLANK(original_dataset!L128),"Yes","No")</f>
        <v>No</v>
      </c>
    </row>
    <row r="129" customFormat="false" ht="15" hidden="false" customHeight="false" outlineLevel="0" collapsed="false">
      <c r="A129" s="0" t="str">
        <f aca="false">original_dataset!A129</f>
        <v>STR-1032</v>
      </c>
      <c r="B129" s="0" t="str">
        <f aca="false">original_dataset!B129</f>
        <v>2025-04-01</v>
      </c>
      <c r="C129" s="0" t="str">
        <f aca="false">original_dataset!C129</f>
        <v>South</v>
      </c>
      <c r="D129" s="0" t="str">
        <f aca="false">original_dataset!D129</f>
        <v>High Street</v>
      </c>
      <c r="E129" s="0" t="n">
        <f aca="false">original_dataset!E129</f>
        <v>37828.5</v>
      </c>
      <c r="F129" s="0" t="n">
        <f aca="false">original_dataset!F129</f>
        <v>8221</v>
      </c>
      <c r="G129" s="0" t="n">
        <f aca="false">original_dataset!G129</f>
        <v>0.096</v>
      </c>
      <c r="H129" s="0" t="n">
        <f aca="false">original_dataset!H129</f>
        <v>19</v>
      </c>
      <c r="I129" s="0" t="n">
        <f aca="false">original_dataset!I129</f>
        <v>81.5</v>
      </c>
      <c r="J129" s="0" t="n">
        <f aca="false">IF(ISBLANK(original_dataset!J129),MEDIAN(original_dataset!$J$2:$J$321),original_dataset!J129)</f>
        <v>3.19</v>
      </c>
      <c r="K129" s="0" t="n">
        <f aca="false">original_dataset!K129</f>
        <v>0</v>
      </c>
      <c r="L129" s="0" t="n">
        <f aca="false">IF(ISBLANK(original_dataset!L129),MEDIAN(original_dataset!$L$2:$L$321),original_dataset!L129)</f>
        <v>4.8</v>
      </c>
      <c r="M129" s="0" t="n">
        <f aca="false">original_dataset!M129</f>
        <v>697155.3</v>
      </c>
      <c r="N129" s="0" t="n">
        <f aca="false">original_dataset!N129</f>
        <v>136408.54</v>
      </c>
      <c r="O129" s="0" t="str">
        <f aca="false">IF(ISBLANK(original_dataset!J129),"Yes","No")</f>
        <v>No</v>
      </c>
      <c r="P129" s="0" t="str">
        <f aca="false">IF(ISBLANK(original_dataset!L129),"Yes","No")</f>
        <v>No</v>
      </c>
    </row>
    <row r="130" customFormat="false" ht="15" hidden="false" customHeight="false" outlineLevel="0" collapsed="false">
      <c r="A130" s="0" t="str">
        <f aca="false">original_dataset!A130</f>
        <v>STR-1033</v>
      </c>
      <c r="B130" s="0" t="str">
        <f aca="false">original_dataset!B130</f>
        <v>2025-01-01</v>
      </c>
      <c r="C130" s="0" t="str">
        <f aca="false">original_dataset!C130</f>
        <v>East</v>
      </c>
      <c r="D130" s="0" t="str">
        <f aca="false">original_dataset!D130</f>
        <v>High Street</v>
      </c>
      <c r="E130" s="0" t="n">
        <f aca="false">original_dataset!E130</f>
        <v>66250.53</v>
      </c>
      <c r="F130" s="0" t="n">
        <f aca="false">original_dataset!F130</f>
        <v>10618</v>
      </c>
      <c r="G130" s="0" t="n">
        <f aca="false">original_dataset!G130</f>
        <v>0.142</v>
      </c>
      <c r="H130" s="0" t="n">
        <f aca="false">original_dataset!H130</f>
        <v>27</v>
      </c>
      <c r="I130" s="0" t="n">
        <f aca="false">original_dataset!I130</f>
        <v>88.3</v>
      </c>
      <c r="J130" s="0" t="n">
        <f aca="false">IF(ISBLANK(original_dataset!J130),MEDIAN(original_dataset!$J$2:$J$321),original_dataset!J130)</f>
        <v>1.1</v>
      </c>
      <c r="K130" s="0" t="n">
        <f aca="false">original_dataset!K130</f>
        <v>1</v>
      </c>
      <c r="L130" s="0" t="n">
        <f aca="false">IF(ISBLANK(original_dataset!L130),MEDIAN(original_dataset!$L$2:$L$321),original_dataset!L130)</f>
        <v>4.4</v>
      </c>
      <c r="M130" s="0" t="n">
        <f aca="false">original_dataset!M130</f>
        <v>849018.3</v>
      </c>
      <c r="N130" s="0" t="n">
        <f aca="false">original_dataset!N130</f>
        <v>149035.13</v>
      </c>
      <c r="O130" s="0" t="str">
        <f aca="false">IF(ISBLANK(original_dataset!J130),"Yes","No")</f>
        <v>No</v>
      </c>
      <c r="P130" s="0" t="str">
        <f aca="false">IF(ISBLANK(original_dataset!L130),"Yes","No")</f>
        <v>No</v>
      </c>
    </row>
    <row r="131" customFormat="false" ht="15" hidden="false" customHeight="false" outlineLevel="0" collapsed="false">
      <c r="A131" s="0" t="str">
        <f aca="false">original_dataset!A131</f>
        <v>STR-1033</v>
      </c>
      <c r="B131" s="0" t="str">
        <f aca="false">original_dataset!B131</f>
        <v>2025-02-01</v>
      </c>
      <c r="C131" s="0" t="str">
        <f aca="false">original_dataset!C131</f>
        <v>East</v>
      </c>
      <c r="D131" s="0" t="str">
        <f aca="false">original_dataset!D131</f>
        <v>High Street</v>
      </c>
      <c r="E131" s="0" t="n">
        <f aca="false">original_dataset!E131</f>
        <v>68410.93</v>
      </c>
      <c r="F131" s="0" t="n">
        <f aca="false">original_dataset!F131</f>
        <v>10596</v>
      </c>
      <c r="G131" s="0" t="n">
        <f aca="false">original_dataset!G131</f>
        <v>0.207</v>
      </c>
      <c r="H131" s="0" t="n">
        <f aca="false">original_dataset!H131</f>
        <v>25</v>
      </c>
      <c r="I131" s="0" t="n">
        <f aca="false">original_dataset!I131</f>
        <v>81.2</v>
      </c>
      <c r="J131" s="0" t="n">
        <f aca="false">IF(ISBLANK(original_dataset!J131),MEDIAN(original_dataset!$J$2:$J$321),original_dataset!J131)</f>
        <v>0.21</v>
      </c>
      <c r="K131" s="0" t="n">
        <f aca="false">original_dataset!K131</f>
        <v>0</v>
      </c>
      <c r="L131" s="0" t="n">
        <f aca="false">IF(ISBLANK(original_dataset!L131),MEDIAN(original_dataset!$L$2:$L$321),original_dataset!L131)</f>
        <v>4</v>
      </c>
      <c r="M131" s="0" t="n">
        <f aca="false">original_dataset!M131</f>
        <v>801830.35</v>
      </c>
      <c r="N131" s="0" t="n">
        <f aca="false">original_dataset!N131</f>
        <v>114875.32</v>
      </c>
      <c r="O131" s="0" t="str">
        <f aca="false">IF(ISBLANK(original_dataset!J131),"Yes","No")</f>
        <v>No</v>
      </c>
      <c r="P131" s="0" t="str">
        <f aca="false">IF(ISBLANK(original_dataset!L131),"Yes","No")</f>
        <v>No</v>
      </c>
    </row>
    <row r="132" customFormat="false" ht="15" hidden="false" customHeight="false" outlineLevel="0" collapsed="false">
      <c r="A132" s="0" t="str">
        <f aca="false">original_dataset!A132</f>
        <v>STR-1033</v>
      </c>
      <c r="B132" s="0" t="str">
        <f aca="false">original_dataset!B132</f>
        <v>2025-03-01</v>
      </c>
      <c r="C132" s="0" t="str">
        <f aca="false">original_dataset!C132</f>
        <v>East</v>
      </c>
      <c r="D132" s="0" t="str">
        <f aca="false">original_dataset!D132</f>
        <v>High Street</v>
      </c>
      <c r="E132" s="0" t="n">
        <f aca="false">original_dataset!E132</f>
        <v>50735.63</v>
      </c>
      <c r="F132" s="0" t="n">
        <f aca="false">original_dataset!F132</f>
        <v>9619</v>
      </c>
      <c r="G132" s="0" t="n">
        <f aca="false">original_dataset!G132</f>
        <v>0.144</v>
      </c>
      <c r="H132" s="0" t="n">
        <f aca="false">original_dataset!H132</f>
        <v>19</v>
      </c>
      <c r="I132" s="0" t="n">
        <f aca="false">original_dataset!I132</f>
        <v>93.8</v>
      </c>
      <c r="J132" s="0" t="n">
        <f aca="false">IF(ISBLANK(original_dataset!J132),MEDIAN(original_dataset!$J$2:$J$321),original_dataset!J132)</f>
        <v>5.12</v>
      </c>
      <c r="K132" s="0" t="n">
        <f aca="false">original_dataset!K132</f>
        <v>1</v>
      </c>
      <c r="L132" s="0" t="n">
        <f aca="false">IF(ISBLANK(original_dataset!L132),MEDIAN(original_dataset!$L$2:$L$321),original_dataset!L132)</f>
        <v>4.5</v>
      </c>
      <c r="M132" s="0" t="n">
        <f aca="false">original_dataset!M132</f>
        <v>725235.28</v>
      </c>
      <c r="N132" s="0" t="n">
        <f aca="false">original_dataset!N132</f>
        <v>121632.24</v>
      </c>
      <c r="O132" s="0" t="str">
        <f aca="false">IF(ISBLANK(original_dataset!J132),"Yes","No")</f>
        <v>No</v>
      </c>
      <c r="P132" s="0" t="str">
        <f aca="false">IF(ISBLANK(original_dataset!L132),"Yes","No")</f>
        <v>No</v>
      </c>
    </row>
    <row r="133" customFormat="false" ht="15" hidden="false" customHeight="false" outlineLevel="0" collapsed="false">
      <c r="A133" s="0" t="str">
        <f aca="false">original_dataset!A133</f>
        <v>STR-1033</v>
      </c>
      <c r="B133" s="0" t="str">
        <f aca="false">original_dataset!B133</f>
        <v>2025-04-01</v>
      </c>
      <c r="C133" s="0" t="str">
        <f aca="false">original_dataset!C133</f>
        <v>East</v>
      </c>
      <c r="D133" s="0" t="str">
        <f aca="false">original_dataset!D133</f>
        <v>High Street</v>
      </c>
      <c r="E133" s="0" t="n">
        <f aca="false">original_dataset!E133</f>
        <v>66455.8</v>
      </c>
      <c r="F133" s="0" t="n">
        <f aca="false">original_dataset!F133</f>
        <v>10836</v>
      </c>
      <c r="G133" s="0" t="n">
        <f aca="false">original_dataset!G133</f>
        <v>0.089</v>
      </c>
      <c r="H133" s="0" t="n">
        <f aca="false">original_dataset!H133</f>
        <v>25</v>
      </c>
      <c r="I133" s="0" t="n">
        <f aca="false">original_dataset!I133</f>
        <v>85</v>
      </c>
      <c r="J133" s="0" t="n">
        <f aca="false">IF(ISBLANK(original_dataset!J133),MEDIAN(original_dataset!$J$2:$J$321),original_dataset!J133)</f>
        <v>9.77</v>
      </c>
      <c r="K133" s="0" t="n">
        <f aca="false">original_dataset!K133</f>
        <v>0</v>
      </c>
      <c r="L133" s="0" t="n">
        <f aca="false">IF(ISBLANK(original_dataset!L133),MEDIAN(original_dataset!$L$2:$L$321),original_dataset!L133)</f>
        <v>4.5</v>
      </c>
      <c r="M133" s="0" t="n">
        <f aca="false">original_dataset!M133</f>
        <v>811452.72</v>
      </c>
      <c r="N133" s="0" t="n">
        <f aca="false">original_dataset!N133</f>
        <v>131325.67</v>
      </c>
      <c r="O133" s="0" t="str">
        <f aca="false">IF(ISBLANK(original_dataset!J133),"Yes","No")</f>
        <v>No</v>
      </c>
      <c r="P133" s="0" t="str">
        <f aca="false">IF(ISBLANK(original_dataset!L133),"Yes","No")</f>
        <v>No</v>
      </c>
    </row>
    <row r="134" customFormat="false" ht="15" hidden="false" customHeight="false" outlineLevel="0" collapsed="false">
      <c r="A134" s="0" t="str">
        <f aca="false">original_dataset!A134</f>
        <v>STR-1034</v>
      </c>
      <c r="B134" s="0" t="str">
        <f aca="false">original_dataset!B134</f>
        <v>2025-01-01</v>
      </c>
      <c r="C134" s="0" t="str">
        <f aca="false">original_dataset!C134</f>
        <v>North</v>
      </c>
      <c r="D134" s="0" t="str">
        <f aca="false">original_dataset!D134</f>
        <v>High Street</v>
      </c>
      <c r="E134" s="0" t="n">
        <f aca="false">original_dataset!E134</f>
        <v>70276.28</v>
      </c>
      <c r="F134" s="0" t="n">
        <f aca="false">original_dataset!F134</f>
        <v>3043</v>
      </c>
      <c r="G134" s="0" t="n">
        <f aca="false">original_dataset!G134</f>
        <v>0.079</v>
      </c>
      <c r="H134" s="0" t="n">
        <f aca="false">original_dataset!H134</f>
        <v>9</v>
      </c>
      <c r="I134" s="0" t="n">
        <f aca="false">original_dataset!I134</f>
        <v>87.9</v>
      </c>
      <c r="J134" s="0" t="n">
        <f aca="false">IF(ISBLANK(original_dataset!J134),MEDIAN(original_dataset!$J$2:$J$321),original_dataset!J134)</f>
        <v>3.77</v>
      </c>
      <c r="K134" s="0" t="n">
        <f aca="false">original_dataset!K134</f>
        <v>0</v>
      </c>
      <c r="L134" s="0" t="n">
        <f aca="false">IF(ISBLANK(original_dataset!L134),MEDIAN(original_dataset!$L$2:$L$321),original_dataset!L134)</f>
        <v>4.4</v>
      </c>
      <c r="M134" s="0" t="n">
        <f aca="false">original_dataset!M134</f>
        <v>527300.13</v>
      </c>
      <c r="N134" s="0" t="n">
        <f aca="false">original_dataset!N134</f>
        <v>84197.87</v>
      </c>
      <c r="O134" s="0" t="str">
        <f aca="false">IF(ISBLANK(original_dataset!J134),"Yes","No")</f>
        <v>No</v>
      </c>
      <c r="P134" s="0" t="str">
        <f aca="false">IF(ISBLANK(original_dataset!L134),"Yes","No")</f>
        <v>No</v>
      </c>
    </row>
    <row r="135" customFormat="false" ht="15" hidden="false" customHeight="false" outlineLevel="0" collapsed="false">
      <c r="A135" s="0" t="str">
        <f aca="false">original_dataset!A135</f>
        <v>STR-1034</v>
      </c>
      <c r="B135" s="0" t="str">
        <f aca="false">original_dataset!B135</f>
        <v>2025-02-01</v>
      </c>
      <c r="C135" s="0" t="str">
        <f aca="false">original_dataset!C135</f>
        <v>North</v>
      </c>
      <c r="D135" s="0" t="str">
        <f aca="false">original_dataset!D135</f>
        <v>High Street</v>
      </c>
      <c r="E135" s="0" t="n">
        <f aca="false">original_dataset!E135</f>
        <v>22071.64</v>
      </c>
      <c r="F135" s="0" t="n">
        <f aca="false">original_dataset!F135</f>
        <v>1814</v>
      </c>
      <c r="G135" s="0" t="n">
        <f aca="false">original_dataset!G135</f>
        <v>0.196</v>
      </c>
      <c r="H135" s="0" t="n">
        <f aca="false">original_dataset!H135</f>
        <v>8</v>
      </c>
      <c r="I135" s="0" t="n">
        <f aca="false">original_dataset!I135</f>
        <v>81.1</v>
      </c>
      <c r="J135" s="0" t="n">
        <f aca="false">IF(ISBLANK(original_dataset!J135),MEDIAN(original_dataset!$J$2:$J$321),original_dataset!J135)</f>
        <v>0.78</v>
      </c>
      <c r="K135" s="0" t="n">
        <f aca="false">original_dataset!K135</f>
        <v>0</v>
      </c>
      <c r="L135" s="0" t="n">
        <f aca="false">IF(ISBLANK(original_dataset!L135),MEDIAN(original_dataset!$L$2:$L$321),original_dataset!L135)</f>
        <v>3.9</v>
      </c>
      <c r="M135" s="0" t="n">
        <f aca="false">original_dataset!M135</f>
        <v>400831.65</v>
      </c>
      <c r="N135" s="0" t="n">
        <f aca="false">original_dataset!N135</f>
        <v>70979.31</v>
      </c>
      <c r="O135" s="0" t="str">
        <f aca="false">IF(ISBLANK(original_dataset!J135),"Yes","No")</f>
        <v>No</v>
      </c>
      <c r="P135" s="0" t="str">
        <f aca="false">IF(ISBLANK(original_dataset!L135),"Yes","No")</f>
        <v>Yes</v>
      </c>
    </row>
    <row r="136" customFormat="false" ht="15" hidden="false" customHeight="false" outlineLevel="0" collapsed="false">
      <c r="A136" s="0" t="str">
        <f aca="false">original_dataset!A136</f>
        <v>STR-1034</v>
      </c>
      <c r="B136" s="0" t="str">
        <f aca="false">original_dataset!B136</f>
        <v>2025-03-01</v>
      </c>
      <c r="C136" s="0" t="str">
        <f aca="false">original_dataset!C136</f>
        <v>North</v>
      </c>
      <c r="D136" s="0" t="str">
        <f aca="false">original_dataset!D136</f>
        <v>High Street</v>
      </c>
      <c r="E136" s="0" t="n">
        <f aca="false">original_dataset!E136</f>
        <v>52285.45</v>
      </c>
      <c r="F136" s="0" t="n">
        <f aca="false">original_dataset!F136</f>
        <v>3618</v>
      </c>
      <c r="G136" s="0" t="n">
        <f aca="false">original_dataset!G136</f>
        <v>0.086</v>
      </c>
      <c r="H136" s="0" t="n">
        <f aca="false">original_dataset!H136</f>
        <v>11</v>
      </c>
      <c r="I136" s="0" t="n">
        <f aca="false">original_dataset!I136</f>
        <v>95.6</v>
      </c>
      <c r="J136" s="0" t="n">
        <f aca="false">IF(ISBLANK(original_dataset!J136),MEDIAN(original_dataset!$J$2:$J$321),original_dataset!J136)</f>
        <v>5.17</v>
      </c>
      <c r="K136" s="0" t="n">
        <f aca="false">original_dataset!K136</f>
        <v>1</v>
      </c>
      <c r="L136" s="0" t="n">
        <f aca="false">IF(ISBLANK(original_dataset!L136),MEDIAN(original_dataset!$L$2:$L$321),original_dataset!L136)</f>
        <v>4.4</v>
      </c>
      <c r="M136" s="0" t="n">
        <f aca="false">original_dataset!M136</f>
        <v>593247.25</v>
      </c>
      <c r="N136" s="0" t="n">
        <f aca="false">original_dataset!N136</f>
        <v>81240.29</v>
      </c>
      <c r="O136" s="0" t="str">
        <f aca="false">IF(ISBLANK(original_dataset!J136),"Yes","No")</f>
        <v>No</v>
      </c>
      <c r="P136" s="0" t="str">
        <f aca="false">IF(ISBLANK(original_dataset!L136),"Yes","No")</f>
        <v>No</v>
      </c>
    </row>
    <row r="137" customFormat="false" ht="15" hidden="false" customHeight="false" outlineLevel="0" collapsed="false">
      <c r="A137" s="0" t="str">
        <f aca="false">original_dataset!A137</f>
        <v>STR-1034</v>
      </c>
      <c r="B137" s="0" t="str">
        <f aca="false">original_dataset!B137</f>
        <v>2025-04-01</v>
      </c>
      <c r="C137" s="0" t="str">
        <f aca="false">original_dataset!C137</f>
        <v>North</v>
      </c>
      <c r="D137" s="0" t="str">
        <f aca="false">original_dataset!D137</f>
        <v>High Street</v>
      </c>
      <c r="E137" s="0" t="n">
        <f aca="false">original_dataset!E137</f>
        <v>70366.76</v>
      </c>
      <c r="F137" s="0" t="n">
        <f aca="false">original_dataset!F137</f>
        <v>1963</v>
      </c>
      <c r="G137" s="0" t="n">
        <f aca="false">original_dataset!G137</f>
        <v>0.182</v>
      </c>
      <c r="H137" s="0" t="n">
        <f aca="false">original_dataset!H137</f>
        <v>8</v>
      </c>
      <c r="I137" s="0" t="n">
        <f aca="false">original_dataset!I137</f>
        <v>89.8</v>
      </c>
      <c r="J137" s="0" t="n">
        <f aca="false">IF(ISBLANK(original_dataset!J137),MEDIAN(original_dataset!$J$2:$J$321),original_dataset!J137)</f>
        <v>3.2</v>
      </c>
      <c r="K137" s="0" t="n">
        <f aca="false">original_dataset!K137</f>
        <v>0</v>
      </c>
      <c r="L137" s="0" t="n">
        <f aca="false">IF(ISBLANK(original_dataset!L137),MEDIAN(original_dataset!$L$2:$L$321),original_dataset!L137)</f>
        <v>4.6</v>
      </c>
      <c r="M137" s="0" t="n">
        <f aca="false">original_dataset!M137</f>
        <v>529075.95</v>
      </c>
      <c r="N137" s="0" t="n">
        <f aca="false">original_dataset!N137</f>
        <v>95978.83</v>
      </c>
      <c r="O137" s="0" t="str">
        <f aca="false">IF(ISBLANK(original_dataset!J137),"Yes","No")</f>
        <v>No</v>
      </c>
      <c r="P137" s="0" t="str">
        <f aca="false">IF(ISBLANK(original_dataset!L137),"Yes","No")</f>
        <v>No</v>
      </c>
    </row>
    <row r="138" customFormat="false" ht="15" hidden="false" customHeight="false" outlineLevel="0" collapsed="false">
      <c r="A138" s="0" t="str">
        <f aca="false">original_dataset!A138</f>
        <v>STR-1035</v>
      </c>
      <c r="B138" s="0" t="str">
        <f aca="false">original_dataset!B138</f>
        <v>2025-01-01</v>
      </c>
      <c r="C138" s="0" t="str">
        <f aca="false">original_dataset!C138</f>
        <v>South</v>
      </c>
      <c r="D138" s="0" t="str">
        <f aca="false">original_dataset!D138</f>
        <v>Residential</v>
      </c>
      <c r="E138" s="0" t="n">
        <f aca="false">original_dataset!E138</f>
        <v>71320.66</v>
      </c>
      <c r="F138" s="0" t="n">
        <f aca="false">original_dataset!F138</f>
        <v>7888</v>
      </c>
      <c r="G138" s="0" t="n">
        <f aca="false">original_dataset!G138</f>
        <v>0.048</v>
      </c>
      <c r="H138" s="0" t="n">
        <f aca="false">original_dataset!H138</f>
        <v>20</v>
      </c>
      <c r="I138" s="0" t="n">
        <f aca="false">original_dataset!I138</f>
        <v>78.1</v>
      </c>
      <c r="J138" s="0" t="n">
        <f aca="false">IF(ISBLANK(original_dataset!J138),MEDIAN(original_dataset!$J$2:$J$321),original_dataset!J138)</f>
        <v>3.4</v>
      </c>
      <c r="K138" s="0" t="n">
        <f aca="false">original_dataset!K138</f>
        <v>0</v>
      </c>
      <c r="L138" s="0" t="n">
        <f aca="false">IF(ISBLANK(original_dataset!L138),MEDIAN(original_dataset!$L$2:$L$321),original_dataset!L138)</f>
        <v>3.9</v>
      </c>
      <c r="M138" s="0" t="n">
        <f aca="false">original_dataset!M138</f>
        <v>633638.03</v>
      </c>
      <c r="N138" s="0" t="n">
        <f aca="false">original_dataset!N138</f>
        <v>99402.01</v>
      </c>
      <c r="O138" s="0" t="str">
        <f aca="false">IF(ISBLANK(original_dataset!J138),"Yes","No")</f>
        <v>No</v>
      </c>
      <c r="P138" s="0" t="str">
        <f aca="false">IF(ISBLANK(original_dataset!L138),"Yes","No")</f>
        <v>Yes</v>
      </c>
    </row>
    <row r="139" customFormat="false" ht="15" hidden="false" customHeight="false" outlineLevel="0" collapsed="false">
      <c r="A139" s="0" t="str">
        <f aca="false">original_dataset!A139</f>
        <v>STR-1035</v>
      </c>
      <c r="B139" s="0" t="str">
        <f aca="false">original_dataset!B139</f>
        <v>2025-02-01</v>
      </c>
      <c r="C139" s="0" t="str">
        <f aca="false">original_dataset!C139</f>
        <v>South</v>
      </c>
      <c r="D139" s="0" t="str">
        <f aca="false">original_dataset!D139</f>
        <v>Residential</v>
      </c>
      <c r="E139" s="0" t="n">
        <f aca="false">original_dataset!E139</f>
        <v>75109.67</v>
      </c>
      <c r="F139" s="0" t="n">
        <f aca="false">original_dataset!F139</f>
        <v>6244</v>
      </c>
      <c r="G139" s="0" t="n">
        <f aca="false">original_dataset!G139</f>
        <v>0.079</v>
      </c>
      <c r="H139" s="0" t="n">
        <f aca="false">original_dataset!H139</f>
        <v>15</v>
      </c>
      <c r="I139" s="0" t="n">
        <f aca="false">original_dataset!I139</f>
        <v>96.3</v>
      </c>
      <c r="J139" s="0" t="n">
        <f aca="false">IF(ISBLANK(original_dataset!J139),MEDIAN(original_dataset!$J$2:$J$321),original_dataset!J139)</f>
        <v>7.38</v>
      </c>
      <c r="K139" s="0" t="n">
        <f aca="false">original_dataset!K139</f>
        <v>0</v>
      </c>
      <c r="L139" s="0" t="n">
        <f aca="false">IF(ISBLANK(original_dataset!L139),MEDIAN(original_dataset!$L$2:$L$321),original_dataset!L139)</f>
        <v>3.7</v>
      </c>
      <c r="M139" s="0" t="n">
        <f aca="false">original_dataset!M139</f>
        <v>743348.84</v>
      </c>
      <c r="N139" s="0" t="n">
        <f aca="false">original_dataset!N139</f>
        <v>104186.09</v>
      </c>
      <c r="O139" s="0" t="str">
        <f aca="false">IF(ISBLANK(original_dataset!J139),"Yes","No")</f>
        <v>No</v>
      </c>
      <c r="P139" s="0" t="str">
        <f aca="false">IF(ISBLANK(original_dataset!L139),"Yes","No")</f>
        <v>No</v>
      </c>
    </row>
    <row r="140" customFormat="false" ht="15" hidden="false" customHeight="false" outlineLevel="0" collapsed="false">
      <c r="A140" s="0" t="str">
        <f aca="false">original_dataset!A140</f>
        <v>STR-1035</v>
      </c>
      <c r="B140" s="0" t="str">
        <f aca="false">original_dataset!B140</f>
        <v>2025-03-01</v>
      </c>
      <c r="C140" s="0" t="str">
        <f aca="false">original_dataset!C140</f>
        <v>South</v>
      </c>
      <c r="D140" s="0" t="str">
        <f aca="false">original_dataset!D140</f>
        <v>Residential</v>
      </c>
      <c r="E140" s="0" t="n">
        <f aca="false">original_dataset!E140</f>
        <v>69779</v>
      </c>
      <c r="F140" s="0" t="n">
        <f aca="false">original_dataset!F140</f>
        <v>6544</v>
      </c>
      <c r="G140" s="0" t="n">
        <f aca="false">original_dataset!G140</f>
        <v>0.152</v>
      </c>
      <c r="H140" s="0" t="n">
        <f aca="false">original_dataset!H140</f>
        <v>18</v>
      </c>
      <c r="I140" s="0" t="n">
        <f aca="false">original_dataset!I140</f>
        <v>90.2</v>
      </c>
      <c r="J140" s="0" t="n">
        <f aca="false">IF(ISBLANK(original_dataset!J140),MEDIAN(original_dataset!$J$2:$J$321),original_dataset!J140)</f>
        <v>0.85</v>
      </c>
      <c r="K140" s="0" t="n">
        <f aca="false">original_dataset!K140</f>
        <v>1</v>
      </c>
      <c r="L140" s="0" t="n">
        <f aca="false">IF(ISBLANK(original_dataset!L140),MEDIAN(original_dataset!$L$2:$L$321),original_dataset!L140)</f>
        <v>3.3</v>
      </c>
      <c r="M140" s="0" t="n">
        <f aca="false">original_dataset!M140</f>
        <v>758827.64</v>
      </c>
      <c r="N140" s="0" t="n">
        <f aca="false">original_dataset!N140</f>
        <v>161439.48</v>
      </c>
      <c r="O140" s="0" t="str">
        <f aca="false">IF(ISBLANK(original_dataset!J140),"Yes","No")</f>
        <v>No</v>
      </c>
      <c r="P140" s="0" t="str">
        <f aca="false">IF(ISBLANK(original_dataset!L140),"Yes","No")</f>
        <v>No</v>
      </c>
    </row>
    <row r="141" customFormat="false" ht="15" hidden="false" customHeight="false" outlineLevel="0" collapsed="false">
      <c r="A141" s="0" t="str">
        <f aca="false">original_dataset!A141</f>
        <v>STR-1035</v>
      </c>
      <c r="B141" s="0" t="str">
        <f aca="false">original_dataset!B141</f>
        <v>2025-04-01</v>
      </c>
      <c r="C141" s="0" t="str">
        <f aca="false">original_dataset!C141</f>
        <v>South</v>
      </c>
      <c r="D141" s="0" t="str">
        <f aca="false">original_dataset!D141</f>
        <v>Residential</v>
      </c>
      <c r="E141" s="0" t="n">
        <f aca="false">original_dataset!E141</f>
        <v>44211.95</v>
      </c>
      <c r="F141" s="0" t="n">
        <f aca="false">original_dataset!F141</f>
        <v>5465</v>
      </c>
      <c r="G141" s="0" t="n">
        <f aca="false">original_dataset!G141</f>
        <v>0.187</v>
      </c>
      <c r="H141" s="0" t="n">
        <f aca="false">original_dataset!H141</f>
        <v>12</v>
      </c>
      <c r="I141" s="0" t="n">
        <f aca="false">original_dataset!I141</f>
        <v>90</v>
      </c>
      <c r="J141" s="0" t="n">
        <f aca="false">IF(ISBLANK(original_dataset!J141),MEDIAN(original_dataset!$J$2:$J$321),original_dataset!J141)</f>
        <v>2.89</v>
      </c>
      <c r="K141" s="0" t="n">
        <f aca="false">original_dataset!K141</f>
        <v>0</v>
      </c>
      <c r="L141" s="0" t="n">
        <f aca="false">IF(ISBLANK(original_dataset!L141),MEDIAN(original_dataset!$L$2:$L$321),original_dataset!L141)</f>
        <v>3.6</v>
      </c>
      <c r="M141" s="0" t="n">
        <f aca="false">original_dataset!M141</f>
        <v>646559.71</v>
      </c>
      <c r="N141" s="0" t="n">
        <f aca="false">original_dataset!N141</f>
        <v>97981.75</v>
      </c>
      <c r="O141" s="0" t="str">
        <f aca="false">IF(ISBLANK(original_dataset!J141),"Yes","No")</f>
        <v>No</v>
      </c>
      <c r="P141" s="0" t="str">
        <f aca="false">IF(ISBLANK(original_dataset!L141),"Yes","No")</f>
        <v>No</v>
      </c>
    </row>
    <row r="142" customFormat="false" ht="15" hidden="false" customHeight="false" outlineLevel="0" collapsed="false">
      <c r="A142" s="0" t="str">
        <f aca="false">original_dataset!A142</f>
        <v>STR-1036</v>
      </c>
      <c r="B142" s="0" t="str">
        <f aca="false">original_dataset!B142</f>
        <v>2025-01-01</v>
      </c>
      <c r="C142" s="0" t="str">
        <f aca="false">original_dataset!C142</f>
        <v>West</v>
      </c>
      <c r="D142" s="0" t="str">
        <f aca="false">original_dataset!D142</f>
        <v>High Street</v>
      </c>
      <c r="E142" s="0" t="n">
        <f aca="false">original_dataset!E142</f>
        <v>51430.31</v>
      </c>
      <c r="F142" s="0" t="n">
        <f aca="false">original_dataset!F142</f>
        <v>6427</v>
      </c>
      <c r="G142" s="0" t="n">
        <f aca="false">original_dataset!G142</f>
        <v>0.234</v>
      </c>
      <c r="H142" s="0" t="n">
        <f aca="false">original_dataset!H142</f>
        <v>14</v>
      </c>
      <c r="I142" s="0" t="n">
        <f aca="false">original_dataset!I142</f>
        <v>88.8</v>
      </c>
      <c r="J142" s="0" t="n">
        <f aca="false">IF(ISBLANK(original_dataset!J142),MEDIAN(original_dataset!$J$2:$J$321),original_dataset!J142)</f>
        <v>0.77</v>
      </c>
      <c r="K142" s="0" t="n">
        <f aca="false">original_dataset!K142</f>
        <v>0</v>
      </c>
      <c r="L142" s="0" t="n">
        <f aca="false">IF(ISBLANK(original_dataset!L142),MEDIAN(original_dataset!$L$2:$L$321),original_dataset!L142)</f>
        <v>4.1</v>
      </c>
      <c r="M142" s="0" t="n">
        <f aca="false">original_dataset!M142</f>
        <v>715890.53</v>
      </c>
      <c r="N142" s="0" t="n">
        <f aca="false">original_dataset!N142</f>
        <v>109032.15</v>
      </c>
      <c r="O142" s="0" t="str">
        <f aca="false">IF(ISBLANK(original_dataset!J142),"Yes","No")</f>
        <v>No</v>
      </c>
      <c r="P142" s="0" t="str">
        <f aca="false">IF(ISBLANK(original_dataset!L142),"Yes","No")</f>
        <v>No</v>
      </c>
    </row>
    <row r="143" customFormat="false" ht="15" hidden="false" customHeight="false" outlineLevel="0" collapsed="false">
      <c r="A143" s="0" t="str">
        <f aca="false">original_dataset!A143</f>
        <v>STR-1036</v>
      </c>
      <c r="B143" s="0" t="str">
        <f aca="false">original_dataset!B143</f>
        <v>2025-02-01</v>
      </c>
      <c r="C143" s="0" t="str">
        <f aca="false">original_dataset!C143</f>
        <v>West</v>
      </c>
      <c r="D143" s="0" t="str">
        <f aca="false">original_dataset!D143</f>
        <v>High Street</v>
      </c>
      <c r="E143" s="0" t="n">
        <f aca="false">original_dataset!E143</f>
        <v>45706.49</v>
      </c>
      <c r="F143" s="0" t="n">
        <f aca="false">original_dataset!F143</f>
        <v>6704</v>
      </c>
      <c r="G143" s="0" t="n">
        <f aca="false">original_dataset!G143</f>
        <v>0.038</v>
      </c>
      <c r="H143" s="0" t="n">
        <f aca="false">original_dataset!H143</f>
        <v>15</v>
      </c>
      <c r="I143" s="0" t="n">
        <f aca="false">original_dataset!I143</f>
        <v>94.2</v>
      </c>
      <c r="J143" s="0" t="n">
        <f aca="false">IF(ISBLANK(original_dataset!J143),MEDIAN(original_dataset!$J$2:$J$321),original_dataset!J143)</f>
        <v>2.92</v>
      </c>
      <c r="K143" s="0" t="n">
        <f aca="false">original_dataset!K143</f>
        <v>0</v>
      </c>
      <c r="L143" s="0" t="n">
        <f aca="false">IF(ISBLANK(original_dataset!L143),MEDIAN(original_dataset!$L$2:$L$321),original_dataset!L143)</f>
        <v>4.2</v>
      </c>
      <c r="M143" s="0" t="n">
        <f aca="false">original_dataset!M143</f>
        <v>715097.57</v>
      </c>
      <c r="N143" s="0" t="n">
        <f aca="false">original_dataset!N143</f>
        <v>151875.86</v>
      </c>
      <c r="O143" s="0" t="str">
        <f aca="false">IF(ISBLANK(original_dataset!J143),"Yes","No")</f>
        <v>No</v>
      </c>
      <c r="P143" s="0" t="str">
        <f aca="false">IF(ISBLANK(original_dataset!L143),"Yes","No")</f>
        <v>No</v>
      </c>
    </row>
    <row r="144" customFormat="false" ht="15" hidden="false" customHeight="false" outlineLevel="0" collapsed="false">
      <c r="A144" s="0" t="str">
        <f aca="false">original_dataset!A144</f>
        <v>STR-1036</v>
      </c>
      <c r="B144" s="0" t="str">
        <f aca="false">original_dataset!B144</f>
        <v>2025-03-01</v>
      </c>
      <c r="C144" s="0" t="str">
        <f aca="false">original_dataset!C144</f>
        <v>West</v>
      </c>
      <c r="D144" s="0" t="str">
        <f aca="false">original_dataset!D144</f>
        <v>High Street</v>
      </c>
      <c r="E144" s="0" t="n">
        <f aca="false">original_dataset!E144</f>
        <v>44034.6</v>
      </c>
      <c r="F144" s="0" t="n">
        <f aca="false">original_dataset!F144</f>
        <v>5645</v>
      </c>
      <c r="G144" s="0" t="n">
        <f aca="false">original_dataset!G144</f>
        <v>0.069</v>
      </c>
      <c r="H144" s="0" t="n">
        <f aca="false">original_dataset!H144</f>
        <v>18</v>
      </c>
      <c r="I144" s="0" t="n">
        <f aca="false">original_dataset!I144</f>
        <v>88.5</v>
      </c>
      <c r="J144" s="0" t="n">
        <f aca="false">IF(ISBLANK(original_dataset!J144),MEDIAN(original_dataset!$J$2:$J$321),original_dataset!J144)</f>
        <v>3.07</v>
      </c>
      <c r="K144" s="0" t="n">
        <f aca="false">original_dataset!K144</f>
        <v>0</v>
      </c>
      <c r="L144" s="0" t="n">
        <f aca="false">IF(ISBLANK(original_dataset!L144),MEDIAN(original_dataset!$L$2:$L$321),original_dataset!L144)</f>
        <v>3.8</v>
      </c>
      <c r="M144" s="0" t="n">
        <f aca="false">original_dataset!M144</f>
        <v>682639.28</v>
      </c>
      <c r="N144" s="0" t="n">
        <f aca="false">original_dataset!N144</f>
        <v>77557.53</v>
      </c>
      <c r="O144" s="0" t="str">
        <f aca="false">IF(ISBLANK(original_dataset!J144),"Yes","No")</f>
        <v>No</v>
      </c>
      <c r="P144" s="0" t="str">
        <f aca="false">IF(ISBLANK(original_dataset!L144),"Yes","No")</f>
        <v>No</v>
      </c>
    </row>
    <row r="145" customFormat="false" ht="15" hidden="false" customHeight="false" outlineLevel="0" collapsed="false">
      <c r="A145" s="0" t="str">
        <f aca="false">original_dataset!A145</f>
        <v>STR-1036</v>
      </c>
      <c r="B145" s="0" t="str">
        <f aca="false">original_dataset!B145</f>
        <v>2025-04-01</v>
      </c>
      <c r="C145" s="0" t="str">
        <f aca="false">original_dataset!C145</f>
        <v>West</v>
      </c>
      <c r="D145" s="0" t="str">
        <f aca="false">original_dataset!D145</f>
        <v>High Street</v>
      </c>
      <c r="E145" s="0" t="n">
        <f aca="false">original_dataset!E145</f>
        <v>50198.12</v>
      </c>
      <c r="F145" s="0" t="n">
        <f aca="false">original_dataset!F145</f>
        <v>6089</v>
      </c>
      <c r="G145" s="0" t="n">
        <f aca="false">original_dataset!G145</f>
        <v>0.182</v>
      </c>
      <c r="H145" s="0" t="n">
        <f aca="false">original_dataset!H145</f>
        <v>19</v>
      </c>
      <c r="I145" s="0" t="n">
        <f aca="false">original_dataset!I145</f>
        <v>94</v>
      </c>
      <c r="J145" s="0" t="n">
        <f aca="false">IF(ISBLANK(original_dataset!J145),MEDIAN(original_dataset!$J$2:$J$321),original_dataset!J145)</f>
        <v>9.7</v>
      </c>
      <c r="K145" s="0" t="n">
        <f aca="false">original_dataset!K145</f>
        <v>0</v>
      </c>
      <c r="L145" s="0" t="n">
        <f aca="false">IF(ISBLANK(original_dataset!L145),MEDIAN(original_dataset!$L$2:$L$321),original_dataset!L145)</f>
        <v>3.9</v>
      </c>
      <c r="M145" s="0" t="n">
        <f aca="false">original_dataset!M145</f>
        <v>695098.51</v>
      </c>
      <c r="N145" s="0" t="n">
        <f aca="false">original_dataset!N145</f>
        <v>108192.75</v>
      </c>
      <c r="O145" s="0" t="str">
        <f aca="false">IF(ISBLANK(original_dataset!J145),"Yes","No")</f>
        <v>No</v>
      </c>
      <c r="P145" s="0" t="str">
        <f aca="false">IF(ISBLANK(original_dataset!L145),"Yes","No")</f>
        <v>No</v>
      </c>
    </row>
    <row r="146" customFormat="false" ht="15" hidden="false" customHeight="false" outlineLevel="0" collapsed="false">
      <c r="A146" s="0" t="str">
        <f aca="false">original_dataset!A146</f>
        <v>STR-1037</v>
      </c>
      <c r="B146" s="0" t="str">
        <f aca="false">original_dataset!B146</f>
        <v>2025-01-01</v>
      </c>
      <c r="C146" s="0" t="str">
        <f aca="false">original_dataset!C146</f>
        <v>North</v>
      </c>
      <c r="D146" s="0" t="str">
        <f aca="false">original_dataset!D146</f>
        <v>Residential</v>
      </c>
      <c r="E146" s="0" t="n">
        <f aca="false">original_dataset!E146</f>
        <v>70488.2</v>
      </c>
      <c r="F146" s="0" t="n">
        <f aca="false">original_dataset!F146</f>
        <v>4312</v>
      </c>
      <c r="G146" s="0" t="n">
        <f aca="false">original_dataset!G146</f>
        <v>0.169</v>
      </c>
      <c r="H146" s="0" t="n">
        <f aca="false">original_dataset!H146</f>
        <v>12</v>
      </c>
      <c r="I146" s="0" t="n">
        <f aca="false">original_dataset!I146</f>
        <v>90.2</v>
      </c>
      <c r="J146" s="0" t="n">
        <f aca="false">IF(ISBLANK(original_dataset!J146),MEDIAN(original_dataset!$J$2:$J$321),original_dataset!J146)</f>
        <v>3.71</v>
      </c>
      <c r="K146" s="0" t="n">
        <f aca="false">original_dataset!K146</f>
        <v>0</v>
      </c>
      <c r="L146" s="0" t="n">
        <f aca="false">IF(ISBLANK(original_dataset!L146),MEDIAN(original_dataset!$L$2:$L$321),original_dataset!L146)</f>
        <v>3.2</v>
      </c>
      <c r="M146" s="0" t="n">
        <f aca="false">original_dataset!M146</f>
        <v>577732.57</v>
      </c>
      <c r="N146" s="0" t="n">
        <f aca="false">original_dataset!N146</f>
        <v>93804.27</v>
      </c>
      <c r="O146" s="0" t="str">
        <f aca="false">IF(ISBLANK(original_dataset!J146),"Yes","No")</f>
        <v>No</v>
      </c>
      <c r="P146" s="0" t="str">
        <f aca="false">IF(ISBLANK(original_dataset!L146),"Yes","No")</f>
        <v>No</v>
      </c>
    </row>
    <row r="147" customFormat="false" ht="15" hidden="false" customHeight="false" outlineLevel="0" collapsed="false">
      <c r="A147" s="0" t="str">
        <f aca="false">original_dataset!A147</f>
        <v>STR-1037</v>
      </c>
      <c r="B147" s="0" t="str">
        <f aca="false">original_dataset!B147</f>
        <v>2025-02-01</v>
      </c>
      <c r="C147" s="0" t="str">
        <f aca="false">original_dataset!C147</f>
        <v>North</v>
      </c>
      <c r="D147" s="0" t="str">
        <f aca="false">original_dataset!D147</f>
        <v>Residential</v>
      </c>
      <c r="E147" s="0" t="n">
        <f aca="false">original_dataset!E147</f>
        <v>50909.27</v>
      </c>
      <c r="F147" s="0" t="n">
        <f aca="false">original_dataset!F147</f>
        <v>3152</v>
      </c>
      <c r="G147" s="0" t="n">
        <f aca="false">original_dataset!G147</f>
        <v>0.06</v>
      </c>
      <c r="H147" s="0" t="n">
        <f aca="false">original_dataset!H147</f>
        <v>13</v>
      </c>
      <c r="I147" s="0" t="n">
        <f aca="false">original_dataset!I147</f>
        <v>93.7</v>
      </c>
      <c r="J147" s="0" t="n">
        <f aca="false">IF(ISBLANK(original_dataset!J147),MEDIAN(original_dataset!$J$2:$J$321),original_dataset!J147)</f>
        <v>10.79</v>
      </c>
      <c r="K147" s="0" t="n">
        <f aca="false">original_dataset!K147</f>
        <v>0</v>
      </c>
      <c r="L147" s="0" t="n">
        <f aca="false">IF(ISBLANK(original_dataset!L147),MEDIAN(original_dataset!$L$2:$L$321),original_dataset!L147)</f>
        <v>3.5</v>
      </c>
      <c r="M147" s="0" t="n">
        <f aca="false">original_dataset!M147</f>
        <v>537058.33</v>
      </c>
      <c r="N147" s="0" t="n">
        <f aca="false">original_dataset!N147</f>
        <v>93555.71</v>
      </c>
      <c r="O147" s="0" t="str">
        <f aca="false">IF(ISBLANK(original_dataset!J147),"Yes","No")</f>
        <v>No</v>
      </c>
      <c r="P147" s="0" t="str">
        <f aca="false">IF(ISBLANK(original_dataset!L147),"Yes","No")</f>
        <v>No</v>
      </c>
    </row>
    <row r="148" customFormat="false" ht="15" hidden="false" customHeight="false" outlineLevel="0" collapsed="false">
      <c r="A148" s="0" t="str">
        <f aca="false">original_dataset!A148</f>
        <v>STR-1037</v>
      </c>
      <c r="B148" s="0" t="str">
        <f aca="false">original_dataset!B148</f>
        <v>2025-03-01</v>
      </c>
      <c r="C148" s="0" t="str">
        <f aca="false">original_dataset!C148</f>
        <v>North</v>
      </c>
      <c r="D148" s="0" t="str">
        <f aca="false">original_dataset!D148</f>
        <v>Residential</v>
      </c>
      <c r="E148" s="0" t="n">
        <f aca="false">original_dataset!E148</f>
        <v>53351.7</v>
      </c>
      <c r="F148" s="0" t="n">
        <f aca="false">original_dataset!F148</f>
        <v>4259</v>
      </c>
      <c r="G148" s="0" t="n">
        <f aca="false">original_dataset!G148</f>
        <v>0.156</v>
      </c>
      <c r="H148" s="0" t="n">
        <f aca="false">original_dataset!H148</f>
        <v>15</v>
      </c>
      <c r="I148" s="0" t="n">
        <f aca="false">original_dataset!I148</f>
        <v>93.7</v>
      </c>
      <c r="J148" s="0" t="n">
        <f aca="false">IF(ISBLANK(original_dataset!J148),MEDIAN(original_dataset!$J$2:$J$321),original_dataset!J148)</f>
        <v>6.03</v>
      </c>
      <c r="K148" s="0" t="n">
        <f aca="false">original_dataset!K148</f>
        <v>0</v>
      </c>
      <c r="L148" s="0" t="n">
        <f aca="false">IF(ISBLANK(original_dataset!L148),MEDIAN(original_dataset!$L$2:$L$321),original_dataset!L148)</f>
        <v>3.4</v>
      </c>
      <c r="M148" s="0" t="n">
        <f aca="false">original_dataset!M148</f>
        <v>601568.87</v>
      </c>
      <c r="N148" s="0" t="n">
        <f aca="false">original_dataset!N148</f>
        <v>91634.82</v>
      </c>
      <c r="O148" s="0" t="str">
        <f aca="false">IF(ISBLANK(original_dataset!J148),"Yes","No")</f>
        <v>No</v>
      </c>
      <c r="P148" s="0" t="str">
        <f aca="false">IF(ISBLANK(original_dataset!L148),"Yes","No")</f>
        <v>No</v>
      </c>
    </row>
    <row r="149" customFormat="false" ht="15" hidden="false" customHeight="false" outlineLevel="0" collapsed="false">
      <c r="A149" s="0" t="str">
        <f aca="false">original_dataset!A149</f>
        <v>STR-1037</v>
      </c>
      <c r="B149" s="0" t="str">
        <f aca="false">original_dataset!B149</f>
        <v>2025-04-01</v>
      </c>
      <c r="C149" s="0" t="str">
        <f aca="false">original_dataset!C149</f>
        <v>North</v>
      </c>
      <c r="D149" s="0" t="str">
        <f aca="false">original_dataset!D149</f>
        <v>Residential</v>
      </c>
      <c r="E149" s="0" t="n">
        <f aca="false">original_dataset!E149</f>
        <v>60322.4</v>
      </c>
      <c r="F149" s="0" t="n">
        <f aca="false">original_dataset!F149</f>
        <v>3350</v>
      </c>
      <c r="G149" s="0" t="n">
        <f aca="false">original_dataset!G149</f>
        <v>0.108</v>
      </c>
      <c r="H149" s="0" t="n">
        <f aca="false">original_dataset!H149</f>
        <v>12</v>
      </c>
      <c r="I149" s="0" t="n">
        <f aca="false">original_dataset!I149</f>
        <v>89.4</v>
      </c>
      <c r="J149" s="0" t="n">
        <f aca="false">IF(ISBLANK(original_dataset!J149),MEDIAN(original_dataset!$J$2:$J$321),original_dataset!J149)</f>
        <v>4.92</v>
      </c>
      <c r="K149" s="0" t="n">
        <f aca="false">original_dataset!K149</f>
        <v>0</v>
      </c>
      <c r="L149" s="0" t="n">
        <f aca="false">IF(ISBLANK(original_dataset!L149),MEDIAN(original_dataset!$L$2:$L$321),original_dataset!L149)</f>
        <v>3.4</v>
      </c>
      <c r="M149" s="0" t="n">
        <f aca="false">original_dataset!M149</f>
        <v>570964.84</v>
      </c>
      <c r="N149" s="0" t="n">
        <f aca="false">original_dataset!N149</f>
        <v>81331.07</v>
      </c>
      <c r="O149" s="0" t="str">
        <f aca="false">IF(ISBLANK(original_dataset!J149),"Yes","No")</f>
        <v>No</v>
      </c>
      <c r="P149" s="0" t="str">
        <f aca="false">IF(ISBLANK(original_dataset!L149),"Yes","No")</f>
        <v>No</v>
      </c>
    </row>
    <row r="150" customFormat="false" ht="15" hidden="false" customHeight="false" outlineLevel="0" collapsed="false">
      <c r="A150" s="0" t="str">
        <f aca="false">original_dataset!A150</f>
        <v>STR-1038</v>
      </c>
      <c r="B150" s="0" t="str">
        <f aca="false">original_dataset!B150</f>
        <v>2025-01-01</v>
      </c>
      <c r="C150" s="0" t="str">
        <f aca="false">original_dataset!C150</f>
        <v>South</v>
      </c>
      <c r="D150" s="0" t="str">
        <f aca="false">original_dataset!D150</f>
        <v>Mall</v>
      </c>
      <c r="E150" s="0" t="n">
        <f aca="false">original_dataset!E150</f>
        <v>51575.68</v>
      </c>
      <c r="F150" s="0" t="n">
        <f aca="false">original_dataset!F150</f>
        <v>5329</v>
      </c>
      <c r="G150" s="0" t="n">
        <f aca="false">original_dataset!G150</f>
        <v>0.047</v>
      </c>
      <c r="H150" s="0" t="n">
        <f aca="false">original_dataset!H150</f>
        <v>17</v>
      </c>
      <c r="I150" s="0" t="n">
        <f aca="false">original_dataset!I150</f>
        <v>88.1</v>
      </c>
      <c r="J150" s="0" t="n">
        <f aca="false">IF(ISBLANK(original_dataset!J150),MEDIAN(original_dataset!$J$2:$J$321),original_dataset!J150)</f>
        <v>19.78</v>
      </c>
      <c r="K150" s="0" t="n">
        <f aca="false">original_dataset!K150</f>
        <v>0</v>
      </c>
      <c r="L150" s="0" t="n">
        <f aca="false">IF(ISBLANK(original_dataset!L150),MEDIAN(original_dataset!$L$2:$L$321),original_dataset!L150)</f>
        <v>3.8</v>
      </c>
      <c r="M150" s="0" t="n">
        <f aca="false">original_dataset!M150</f>
        <v>614024.91</v>
      </c>
      <c r="N150" s="0" t="n">
        <f aca="false">original_dataset!N150</f>
        <v>84828.93</v>
      </c>
      <c r="O150" s="0" t="str">
        <f aca="false">IF(ISBLANK(original_dataset!J150),"Yes","No")</f>
        <v>No</v>
      </c>
      <c r="P150" s="0" t="str">
        <f aca="false">IF(ISBLANK(original_dataset!L150),"Yes","No")</f>
        <v>No</v>
      </c>
    </row>
    <row r="151" customFormat="false" ht="15" hidden="false" customHeight="false" outlineLevel="0" collapsed="false">
      <c r="A151" s="0" t="str">
        <f aca="false">original_dataset!A151</f>
        <v>STR-1038</v>
      </c>
      <c r="B151" s="0" t="str">
        <f aca="false">original_dataset!B151</f>
        <v>2025-02-01</v>
      </c>
      <c r="C151" s="0" t="str">
        <f aca="false">original_dataset!C151</f>
        <v>South</v>
      </c>
      <c r="D151" s="0" t="str">
        <f aca="false">original_dataset!D151</f>
        <v>Mall</v>
      </c>
      <c r="E151" s="0" t="n">
        <f aca="false">original_dataset!E151</f>
        <v>43319.94</v>
      </c>
      <c r="F151" s="0" t="n">
        <f aca="false">original_dataset!F151</f>
        <v>6551</v>
      </c>
      <c r="G151" s="0" t="n">
        <f aca="false">original_dataset!G151</f>
        <v>0.044</v>
      </c>
      <c r="H151" s="0" t="n">
        <f aca="false">original_dataset!H151</f>
        <v>13</v>
      </c>
      <c r="I151" s="0" t="n">
        <f aca="false">original_dataset!I151</f>
        <v>99</v>
      </c>
      <c r="J151" s="0" t="n">
        <f aca="false">IF(ISBLANK(original_dataset!J151),MEDIAN(original_dataset!$J$2:$J$321),original_dataset!J151)</f>
        <v>5.45</v>
      </c>
      <c r="K151" s="0" t="n">
        <f aca="false">original_dataset!K151</f>
        <v>0</v>
      </c>
      <c r="L151" s="0" t="n">
        <f aca="false">IF(ISBLANK(original_dataset!L151),MEDIAN(original_dataset!$L$2:$L$321),original_dataset!L151)</f>
        <v>4.1</v>
      </c>
      <c r="M151" s="0" t="n">
        <f aca="false">original_dataset!M151</f>
        <v>712868.35</v>
      </c>
      <c r="N151" s="0" t="n">
        <f aca="false">original_dataset!N151</f>
        <v>133650.51</v>
      </c>
      <c r="O151" s="0" t="str">
        <f aca="false">IF(ISBLANK(original_dataset!J151),"Yes","No")</f>
        <v>No</v>
      </c>
      <c r="P151" s="0" t="str">
        <f aca="false">IF(ISBLANK(original_dataset!L151),"Yes","No")</f>
        <v>No</v>
      </c>
    </row>
    <row r="152" customFormat="false" ht="15" hidden="false" customHeight="false" outlineLevel="0" collapsed="false">
      <c r="A152" s="0" t="str">
        <f aca="false">original_dataset!A152</f>
        <v>STR-1038</v>
      </c>
      <c r="B152" s="0" t="str">
        <f aca="false">original_dataset!B152</f>
        <v>2025-03-01</v>
      </c>
      <c r="C152" s="0" t="str">
        <f aca="false">original_dataset!C152</f>
        <v>South</v>
      </c>
      <c r="D152" s="0" t="str">
        <f aca="false">original_dataset!D152</f>
        <v>Mall</v>
      </c>
      <c r="E152" s="0" t="n">
        <f aca="false">original_dataset!E152</f>
        <v>47093.55</v>
      </c>
      <c r="F152" s="0" t="n">
        <f aca="false">original_dataset!F152</f>
        <v>5550</v>
      </c>
      <c r="G152" s="0" t="n">
        <f aca="false">original_dataset!G152</f>
        <v>0.1</v>
      </c>
      <c r="H152" s="0" t="n">
        <f aca="false">original_dataset!H152</f>
        <v>12</v>
      </c>
      <c r="I152" s="0" t="n">
        <f aca="false">original_dataset!I152</f>
        <v>95</v>
      </c>
      <c r="J152" s="0" t="n">
        <f aca="false">IF(ISBLANK(original_dataset!J152),MEDIAN(original_dataset!$J$2:$J$321),original_dataset!J152)</f>
        <v>2.33</v>
      </c>
      <c r="K152" s="0" t="n">
        <f aca="false">original_dataset!K152</f>
        <v>1</v>
      </c>
      <c r="L152" s="0" t="n">
        <f aca="false">IF(ISBLANK(original_dataset!L152),MEDIAN(original_dataset!$L$2:$L$321),original_dataset!L152)</f>
        <v>3.7</v>
      </c>
      <c r="M152" s="0" t="n">
        <f aca="false">original_dataset!M152</f>
        <v>696744.15</v>
      </c>
      <c r="N152" s="0" t="n">
        <f aca="false">original_dataset!N152</f>
        <v>152230.09</v>
      </c>
      <c r="O152" s="0" t="str">
        <f aca="false">IF(ISBLANK(original_dataset!J152),"Yes","No")</f>
        <v>No</v>
      </c>
      <c r="P152" s="0" t="str">
        <f aca="false">IF(ISBLANK(original_dataset!L152),"Yes","No")</f>
        <v>No</v>
      </c>
    </row>
    <row r="153" customFormat="false" ht="15" hidden="false" customHeight="false" outlineLevel="0" collapsed="false">
      <c r="A153" s="0" t="str">
        <f aca="false">original_dataset!A153</f>
        <v>STR-1038</v>
      </c>
      <c r="B153" s="0" t="str">
        <f aca="false">original_dataset!B153</f>
        <v>2025-04-01</v>
      </c>
      <c r="C153" s="0" t="str">
        <f aca="false">original_dataset!C153</f>
        <v>South</v>
      </c>
      <c r="D153" s="0" t="str">
        <f aca="false">original_dataset!D153</f>
        <v>Mall</v>
      </c>
      <c r="E153" s="0" t="n">
        <f aca="false">original_dataset!E153</f>
        <v>71855.09</v>
      </c>
      <c r="F153" s="0" t="n">
        <f aca="false">original_dataset!F153</f>
        <v>5911</v>
      </c>
      <c r="G153" s="0" t="n">
        <f aca="false">original_dataset!G153</f>
        <v>0.197</v>
      </c>
      <c r="H153" s="0" t="n">
        <f aca="false">original_dataset!H153</f>
        <v>15</v>
      </c>
      <c r="I153" s="0" t="n">
        <f aca="false">original_dataset!I153</f>
        <v>94.3</v>
      </c>
      <c r="J153" s="0" t="n">
        <f aca="false">IF(ISBLANK(original_dataset!J153),MEDIAN(original_dataset!$J$2:$J$321),original_dataset!J153)</f>
        <v>3.55</v>
      </c>
      <c r="K153" s="0" t="n">
        <f aca="false">original_dataset!K153</f>
        <v>0</v>
      </c>
      <c r="L153" s="0" t="n">
        <f aca="false">IF(ISBLANK(original_dataset!L153),MEDIAN(original_dataset!$L$2:$L$321),original_dataset!L153)</f>
        <v>4.1</v>
      </c>
      <c r="M153" s="0" t="n">
        <f aca="false">original_dataset!M153</f>
        <v>725847.99</v>
      </c>
      <c r="N153" s="0" t="n">
        <f aca="false">original_dataset!N153</f>
        <v>122698.73</v>
      </c>
      <c r="O153" s="0" t="str">
        <f aca="false">IF(ISBLANK(original_dataset!J153),"Yes","No")</f>
        <v>No</v>
      </c>
      <c r="P153" s="0" t="str">
        <f aca="false">IF(ISBLANK(original_dataset!L153),"Yes","No")</f>
        <v>No</v>
      </c>
    </row>
    <row r="154" customFormat="false" ht="15" hidden="false" customHeight="false" outlineLevel="0" collapsed="false">
      <c r="A154" s="0" t="str">
        <f aca="false">original_dataset!A154</f>
        <v>STR-1039</v>
      </c>
      <c r="B154" s="0" t="str">
        <f aca="false">original_dataset!B154</f>
        <v>2025-01-01</v>
      </c>
      <c r="C154" s="0" t="str">
        <f aca="false">original_dataset!C154</f>
        <v>East</v>
      </c>
      <c r="D154" s="0" t="str">
        <f aca="false">original_dataset!D154</f>
        <v>High Street</v>
      </c>
      <c r="E154" s="0" t="n">
        <f aca="false">original_dataset!E154</f>
        <v>75645.23</v>
      </c>
      <c r="F154" s="0" t="n">
        <f aca="false">original_dataset!F154</f>
        <v>9674</v>
      </c>
      <c r="G154" s="0" t="n">
        <f aca="false">original_dataset!G154</f>
        <v>0.234</v>
      </c>
      <c r="H154" s="0" t="n">
        <f aca="false">original_dataset!H154</f>
        <v>21</v>
      </c>
      <c r="I154" s="0" t="n">
        <f aca="false">original_dataset!I154</f>
        <v>87.4</v>
      </c>
      <c r="J154" s="0" t="n">
        <f aca="false">IF(ISBLANK(original_dataset!J154),MEDIAN(original_dataset!$J$2:$J$321),original_dataset!J154)</f>
        <v>0.2</v>
      </c>
      <c r="K154" s="0" t="n">
        <f aca="false">original_dataset!K154</f>
        <v>0</v>
      </c>
      <c r="L154" s="0" t="n">
        <f aca="false">IF(ISBLANK(original_dataset!L154),MEDIAN(original_dataset!$L$2:$L$321),original_dataset!L154)</f>
        <v>4.5</v>
      </c>
      <c r="M154" s="0" t="n">
        <f aca="false">original_dataset!M154</f>
        <v>785028.25</v>
      </c>
      <c r="N154" s="0" t="n">
        <f aca="false">original_dataset!N154</f>
        <v>110726.44</v>
      </c>
      <c r="O154" s="0" t="str">
        <f aca="false">IF(ISBLANK(original_dataset!J154),"Yes","No")</f>
        <v>No</v>
      </c>
      <c r="P154" s="0" t="str">
        <f aca="false">IF(ISBLANK(original_dataset!L154),"Yes","No")</f>
        <v>No</v>
      </c>
    </row>
    <row r="155" customFormat="false" ht="15" hidden="false" customHeight="false" outlineLevel="0" collapsed="false">
      <c r="A155" s="0" t="str">
        <f aca="false">original_dataset!A155</f>
        <v>STR-1039</v>
      </c>
      <c r="B155" s="0" t="str">
        <f aca="false">original_dataset!B155</f>
        <v>2025-02-01</v>
      </c>
      <c r="C155" s="0" t="str">
        <f aca="false">original_dataset!C155</f>
        <v>East</v>
      </c>
      <c r="D155" s="0" t="str">
        <f aca="false">original_dataset!D155</f>
        <v>High Street</v>
      </c>
      <c r="E155" s="0" t="n">
        <f aca="false">original_dataset!E155</f>
        <v>64374.75</v>
      </c>
      <c r="F155" s="0" t="n">
        <f aca="false">original_dataset!F155</f>
        <v>6740</v>
      </c>
      <c r="G155" s="0" t="n">
        <f aca="false">original_dataset!G155</f>
        <v>0.169</v>
      </c>
      <c r="H155" s="0" t="n">
        <f aca="false">original_dataset!H155</f>
        <v>18</v>
      </c>
      <c r="I155" s="0" t="n">
        <f aca="false">original_dataset!I155</f>
        <v>87</v>
      </c>
      <c r="J155" s="0" t="n">
        <f aca="false">IF(ISBLANK(original_dataset!J155),MEDIAN(original_dataset!$J$2:$J$321),original_dataset!J155)</f>
        <v>2.09</v>
      </c>
      <c r="K155" s="0" t="n">
        <f aca="false">original_dataset!K155</f>
        <v>0</v>
      </c>
      <c r="L155" s="0" t="n">
        <f aca="false">IF(ISBLANK(original_dataset!L155),MEDIAN(original_dataset!$L$2:$L$321),original_dataset!L155)</f>
        <v>4.2</v>
      </c>
      <c r="M155" s="0" t="n">
        <f aca="false">original_dataset!M155</f>
        <v>698492.67</v>
      </c>
      <c r="N155" s="0" t="n">
        <f aca="false">original_dataset!N155</f>
        <v>117319.32</v>
      </c>
      <c r="O155" s="0" t="str">
        <f aca="false">IF(ISBLANK(original_dataset!J155),"Yes","No")</f>
        <v>No</v>
      </c>
      <c r="P155" s="0" t="str">
        <f aca="false">IF(ISBLANK(original_dataset!L155),"Yes","No")</f>
        <v>No</v>
      </c>
    </row>
    <row r="156" customFormat="false" ht="15" hidden="false" customHeight="false" outlineLevel="0" collapsed="false">
      <c r="A156" s="0" t="str">
        <f aca="false">original_dataset!A156</f>
        <v>STR-1039</v>
      </c>
      <c r="B156" s="0" t="str">
        <f aca="false">original_dataset!B156</f>
        <v>2025-03-01</v>
      </c>
      <c r="C156" s="0" t="str">
        <f aca="false">original_dataset!C156</f>
        <v>East</v>
      </c>
      <c r="D156" s="0" t="str">
        <f aca="false">original_dataset!D156</f>
        <v>High Street</v>
      </c>
      <c r="E156" s="0" t="n">
        <f aca="false">original_dataset!E156</f>
        <v>61433.84</v>
      </c>
      <c r="F156" s="0" t="n">
        <f aca="false">original_dataset!F156</f>
        <v>7745</v>
      </c>
      <c r="G156" s="0" t="n">
        <f aca="false">original_dataset!G156</f>
        <v>0.18</v>
      </c>
      <c r="H156" s="0" t="n">
        <f aca="false">original_dataset!H156</f>
        <v>16</v>
      </c>
      <c r="I156" s="0" t="n">
        <f aca="false">original_dataset!I156</f>
        <v>90.5</v>
      </c>
      <c r="J156" s="0" t="n">
        <f aca="false">IF(ISBLANK(original_dataset!J156),MEDIAN(original_dataset!$J$2:$J$321),original_dataset!J156)</f>
        <v>2.26</v>
      </c>
      <c r="K156" s="0" t="n">
        <f aca="false">original_dataset!K156</f>
        <v>0</v>
      </c>
      <c r="L156" s="0" t="n">
        <f aca="false">IF(ISBLANK(original_dataset!L156),MEDIAN(original_dataset!$L$2:$L$321),original_dataset!L156)</f>
        <v>4.2</v>
      </c>
      <c r="M156" s="0" t="n">
        <f aca="false">original_dataset!M156</f>
        <v>685830.24</v>
      </c>
      <c r="N156" s="0" t="n">
        <f aca="false">original_dataset!N156</f>
        <v>128736.18</v>
      </c>
      <c r="O156" s="0" t="str">
        <f aca="false">IF(ISBLANK(original_dataset!J156),"Yes","No")</f>
        <v>No</v>
      </c>
      <c r="P156" s="0" t="str">
        <f aca="false">IF(ISBLANK(original_dataset!L156),"Yes","No")</f>
        <v>No</v>
      </c>
    </row>
    <row r="157" customFormat="false" ht="15" hidden="false" customHeight="false" outlineLevel="0" collapsed="false">
      <c r="A157" s="0" t="str">
        <f aca="false">original_dataset!A157</f>
        <v>STR-1039</v>
      </c>
      <c r="B157" s="0" t="str">
        <f aca="false">original_dataset!B157</f>
        <v>2025-04-01</v>
      </c>
      <c r="C157" s="0" t="str">
        <f aca="false">original_dataset!C157</f>
        <v>East</v>
      </c>
      <c r="D157" s="0" t="str">
        <f aca="false">original_dataset!D157</f>
        <v>High Street</v>
      </c>
      <c r="E157" s="0" t="n">
        <f aca="false">original_dataset!E157</f>
        <v>42698.14</v>
      </c>
      <c r="F157" s="0" t="n">
        <f aca="false">original_dataset!F157</f>
        <v>7693</v>
      </c>
      <c r="G157" s="0" t="n">
        <f aca="false">original_dataset!G157</f>
        <v>0.187</v>
      </c>
      <c r="H157" s="0" t="n">
        <f aca="false">original_dataset!H157</f>
        <v>19</v>
      </c>
      <c r="I157" s="0" t="n">
        <f aca="false">original_dataset!I157</f>
        <v>90.1</v>
      </c>
      <c r="J157" s="0" t="n">
        <f aca="false">IF(ISBLANK(original_dataset!J157),MEDIAN(original_dataset!$J$2:$J$321),original_dataset!J157)</f>
        <v>0.44</v>
      </c>
      <c r="K157" s="0" t="n">
        <f aca="false">original_dataset!K157</f>
        <v>0</v>
      </c>
      <c r="L157" s="0" t="n">
        <f aca="false">IF(ISBLANK(original_dataset!L157),MEDIAN(original_dataset!$L$2:$L$321),original_dataset!L157)</f>
        <v>4.4</v>
      </c>
      <c r="M157" s="0" t="n">
        <f aca="false">original_dataset!M157</f>
        <v>702318.94</v>
      </c>
      <c r="N157" s="0" t="n">
        <f aca="false">original_dataset!N157</f>
        <v>112829.29</v>
      </c>
      <c r="O157" s="0" t="str">
        <f aca="false">IF(ISBLANK(original_dataset!J157),"Yes","No")</f>
        <v>No</v>
      </c>
      <c r="P157" s="0" t="str">
        <f aca="false">IF(ISBLANK(original_dataset!L157),"Yes","No")</f>
        <v>No</v>
      </c>
    </row>
    <row r="158" customFormat="false" ht="15" hidden="false" customHeight="false" outlineLevel="0" collapsed="false">
      <c r="A158" s="0" t="str">
        <f aca="false">original_dataset!A158</f>
        <v>STR-1040</v>
      </c>
      <c r="B158" s="0" t="str">
        <f aca="false">original_dataset!B158</f>
        <v>2025-01-01</v>
      </c>
      <c r="C158" s="0" t="str">
        <f aca="false">original_dataset!C158</f>
        <v>North</v>
      </c>
      <c r="D158" s="0" t="str">
        <f aca="false">original_dataset!D158</f>
        <v>Mall</v>
      </c>
      <c r="E158" s="0" t="n">
        <f aca="false">original_dataset!E158</f>
        <v>86883.31</v>
      </c>
      <c r="F158" s="0" t="n">
        <f aca="false">original_dataset!F158</f>
        <v>6424</v>
      </c>
      <c r="G158" s="0" t="n">
        <f aca="false">original_dataset!G158</f>
        <v>0.057</v>
      </c>
      <c r="H158" s="0" t="n">
        <f aca="false">original_dataset!H158</f>
        <v>19</v>
      </c>
      <c r="I158" s="0" t="n">
        <f aca="false">original_dataset!I158</f>
        <v>85.2</v>
      </c>
      <c r="J158" s="0" t="n">
        <f aca="false">IF(ISBLANK(original_dataset!J158),MEDIAN(original_dataset!$J$2:$J$321),original_dataset!J158)</f>
        <v>3.08</v>
      </c>
      <c r="K158" s="0" t="n">
        <f aca="false">original_dataset!K158</f>
        <v>0</v>
      </c>
      <c r="L158" s="0" t="n">
        <f aca="false">IF(ISBLANK(original_dataset!L158),MEDIAN(original_dataset!$L$2:$L$321),original_dataset!L158)</f>
        <v>3.9</v>
      </c>
      <c r="M158" s="0" t="n">
        <f aca="false">original_dataset!M158</f>
        <v>700078.32</v>
      </c>
      <c r="N158" s="0" t="n">
        <f aca="false">original_dataset!N158</f>
        <v>123707.58</v>
      </c>
      <c r="O158" s="0" t="str">
        <f aca="false">IF(ISBLANK(original_dataset!J158),"Yes","No")</f>
        <v>No</v>
      </c>
      <c r="P158" s="0" t="str">
        <f aca="false">IF(ISBLANK(original_dataset!L158),"Yes","No")</f>
        <v>No</v>
      </c>
    </row>
    <row r="159" customFormat="false" ht="15" hidden="false" customHeight="false" outlineLevel="0" collapsed="false">
      <c r="A159" s="0" t="str">
        <f aca="false">original_dataset!A159</f>
        <v>STR-1040</v>
      </c>
      <c r="B159" s="0" t="str">
        <f aca="false">original_dataset!B159</f>
        <v>2025-02-01</v>
      </c>
      <c r="C159" s="0" t="str">
        <f aca="false">original_dataset!C159</f>
        <v>North</v>
      </c>
      <c r="D159" s="0" t="str">
        <f aca="false">original_dataset!D159</f>
        <v>Mall</v>
      </c>
      <c r="E159" s="0" t="n">
        <f aca="false">original_dataset!E159</f>
        <v>41863.08</v>
      </c>
      <c r="F159" s="0" t="n">
        <f aca="false">original_dataset!F159</f>
        <v>5400</v>
      </c>
      <c r="G159" s="0" t="n">
        <f aca="false">original_dataset!G159</f>
        <v>0.114</v>
      </c>
      <c r="H159" s="0" t="n">
        <f aca="false">original_dataset!H159</f>
        <v>11</v>
      </c>
      <c r="I159" s="0" t="n">
        <f aca="false">original_dataset!I159</f>
        <v>91.6</v>
      </c>
      <c r="J159" s="0" t="n">
        <f aca="false">IF(ISBLANK(original_dataset!J159),MEDIAN(original_dataset!$J$2:$J$321),original_dataset!J159)</f>
        <v>7.99</v>
      </c>
      <c r="K159" s="0" t="n">
        <f aca="false">original_dataset!K159</f>
        <v>0</v>
      </c>
      <c r="L159" s="0" t="n">
        <f aca="false">IF(ISBLANK(original_dataset!L159),MEDIAN(original_dataset!$L$2:$L$321),original_dataset!L159)</f>
        <v>3</v>
      </c>
      <c r="M159" s="0" t="n">
        <f aca="false">original_dataset!M159</f>
        <v>602002.32</v>
      </c>
      <c r="N159" s="0" t="n">
        <f aca="false">original_dataset!N159</f>
        <v>110453.28</v>
      </c>
      <c r="O159" s="0" t="str">
        <f aca="false">IF(ISBLANK(original_dataset!J159),"Yes","No")</f>
        <v>No</v>
      </c>
      <c r="P159" s="0" t="str">
        <f aca="false">IF(ISBLANK(original_dataset!L159),"Yes","No")</f>
        <v>No</v>
      </c>
    </row>
    <row r="160" customFormat="false" ht="15" hidden="false" customHeight="false" outlineLevel="0" collapsed="false">
      <c r="A160" s="0" t="str">
        <f aca="false">original_dataset!A160</f>
        <v>STR-1040</v>
      </c>
      <c r="B160" s="0" t="str">
        <f aca="false">original_dataset!B160</f>
        <v>2025-03-01</v>
      </c>
      <c r="C160" s="0" t="str">
        <f aca="false">original_dataset!C160</f>
        <v>North</v>
      </c>
      <c r="D160" s="0" t="str">
        <f aca="false">original_dataset!D160</f>
        <v>Mall</v>
      </c>
      <c r="E160" s="0" t="n">
        <f aca="false">original_dataset!E160</f>
        <v>56918.16</v>
      </c>
      <c r="F160" s="0" t="n">
        <f aca="false">original_dataset!F160</f>
        <v>7015</v>
      </c>
      <c r="G160" s="0" t="n">
        <f aca="false">original_dataset!G160</f>
        <v>0.158</v>
      </c>
      <c r="H160" s="0" t="n">
        <f aca="false">original_dataset!H160</f>
        <v>18</v>
      </c>
      <c r="I160" s="0" t="n">
        <f aca="false">original_dataset!I160</f>
        <v>74.2</v>
      </c>
      <c r="J160" s="0" t="n">
        <f aca="false">IF(ISBLANK(original_dataset!J160),MEDIAN(original_dataset!$J$2:$J$321),original_dataset!J160)</f>
        <v>0.2</v>
      </c>
      <c r="K160" s="0" t="n">
        <f aca="false">original_dataset!K160</f>
        <v>0</v>
      </c>
      <c r="L160" s="0" t="n">
        <f aca="false">IF(ISBLANK(original_dataset!L160),MEDIAN(original_dataset!$L$2:$L$321),original_dataset!L160)</f>
        <v>3.4</v>
      </c>
      <c r="M160" s="0" t="n">
        <f aca="false">original_dataset!M160</f>
        <v>724216.07</v>
      </c>
      <c r="N160" s="0" t="n">
        <f aca="false">original_dataset!N160</f>
        <v>100627.56</v>
      </c>
      <c r="O160" s="0" t="str">
        <f aca="false">IF(ISBLANK(original_dataset!J160),"Yes","No")</f>
        <v>No</v>
      </c>
      <c r="P160" s="0" t="str">
        <f aca="false">IF(ISBLANK(original_dataset!L160),"Yes","No")</f>
        <v>No</v>
      </c>
    </row>
    <row r="161" customFormat="false" ht="15" hidden="false" customHeight="false" outlineLevel="0" collapsed="false">
      <c r="A161" s="0" t="str">
        <f aca="false">original_dataset!A161</f>
        <v>STR-1040</v>
      </c>
      <c r="B161" s="0" t="str">
        <f aca="false">original_dataset!B161</f>
        <v>2025-04-01</v>
      </c>
      <c r="C161" s="0" t="str">
        <f aca="false">original_dataset!C161</f>
        <v>North</v>
      </c>
      <c r="D161" s="0" t="str">
        <f aca="false">original_dataset!D161</f>
        <v>Mall</v>
      </c>
      <c r="E161" s="0" t="n">
        <f aca="false">original_dataset!E161</f>
        <v>23254.57</v>
      </c>
      <c r="F161" s="0" t="n">
        <f aca="false">original_dataset!F161</f>
        <v>3847</v>
      </c>
      <c r="G161" s="0" t="n">
        <f aca="false">original_dataset!G161</f>
        <v>0.159</v>
      </c>
      <c r="H161" s="0" t="n">
        <f aca="false">original_dataset!H161</f>
        <v>12</v>
      </c>
      <c r="I161" s="0" t="n">
        <f aca="false">original_dataset!I161</f>
        <v>93</v>
      </c>
      <c r="J161" s="0" t="n">
        <f aca="false">IF(ISBLANK(original_dataset!J161),MEDIAN(original_dataset!$J$2:$J$321),original_dataset!J161)</f>
        <v>5.46</v>
      </c>
      <c r="K161" s="0" t="n">
        <f aca="false">original_dataset!K161</f>
        <v>0</v>
      </c>
      <c r="L161" s="0" t="n">
        <f aca="false">IF(ISBLANK(original_dataset!L161),MEDIAN(original_dataset!$L$2:$L$321),original_dataset!L161)</f>
        <v>3.3</v>
      </c>
      <c r="M161" s="0" t="n">
        <f aca="false">original_dataset!M161</f>
        <v>620973.03</v>
      </c>
      <c r="N161" s="0" t="n">
        <f aca="false">original_dataset!N161</f>
        <v>72303.85</v>
      </c>
      <c r="O161" s="0" t="str">
        <f aca="false">IF(ISBLANK(original_dataset!J161),"Yes","No")</f>
        <v>No</v>
      </c>
      <c r="P161" s="0" t="str">
        <f aca="false">IF(ISBLANK(original_dataset!L161),"Yes","No")</f>
        <v>No</v>
      </c>
    </row>
    <row r="162" customFormat="false" ht="15" hidden="false" customHeight="false" outlineLevel="0" collapsed="false">
      <c r="A162" s="0" t="str">
        <f aca="false">original_dataset!A162</f>
        <v>STR-1041</v>
      </c>
      <c r="B162" s="0" t="str">
        <f aca="false">original_dataset!B162</f>
        <v>2025-01-01</v>
      </c>
      <c r="C162" s="0" t="str">
        <f aca="false">original_dataset!C162</f>
        <v>South</v>
      </c>
      <c r="D162" s="0" t="str">
        <f aca="false">original_dataset!D162</f>
        <v>High Street</v>
      </c>
      <c r="E162" s="0" t="n">
        <f aca="false">original_dataset!E162</f>
        <v>41443.41</v>
      </c>
      <c r="F162" s="0" t="n">
        <f aca="false">original_dataset!F162</f>
        <v>7455</v>
      </c>
      <c r="G162" s="0" t="n">
        <f aca="false">original_dataset!G162</f>
        <v>0.175</v>
      </c>
      <c r="H162" s="0" t="n">
        <f aca="false">original_dataset!H162</f>
        <v>16</v>
      </c>
      <c r="I162" s="0" t="n">
        <f aca="false">original_dataset!I162</f>
        <v>90.1</v>
      </c>
      <c r="J162" s="0" t="n">
        <f aca="false">IF(ISBLANK(original_dataset!J162),MEDIAN(original_dataset!$J$2:$J$321),original_dataset!J162)</f>
        <v>4.05</v>
      </c>
      <c r="K162" s="0" t="n">
        <f aca="false">original_dataset!K162</f>
        <v>0</v>
      </c>
      <c r="L162" s="0" t="n">
        <f aca="false">IF(ISBLANK(original_dataset!L162),MEDIAN(original_dataset!$L$2:$L$321),original_dataset!L162)</f>
        <v>4</v>
      </c>
      <c r="M162" s="0" t="n">
        <f aca="false">original_dataset!M162</f>
        <v>650480.06</v>
      </c>
      <c r="N162" s="0" t="n">
        <f aca="false">original_dataset!N162</f>
        <v>109012.07</v>
      </c>
      <c r="O162" s="0" t="str">
        <f aca="false">IF(ISBLANK(original_dataset!J162),"Yes","No")</f>
        <v>No</v>
      </c>
      <c r="P162" s="0" t="str">
        <f aca="false">IF(ISBLANK(original_dataset!L162),"Yes","No")</f>
        <v>No</v>
      </c>
    </row>
    <row r="163" customFormat="false" ht="15" hidden="false" customHeight="false" outlineLevel="0" collapsed="false">
      <c r="A163" s="0" t="str">
        <f aca="false">original_dataset!A163</f>
        <v>STR-1041</v>
      </c>
      <c r="B163" s="0" t="str">
        <f aca="false">original_dataset!B163</f>
        <v>2025-02-01</v>
      </c>
      <c r="C163" s="0" t="str">
        <f aca="false">original_dataset!C163</f>
        <v>South</v>
      </c>
      <c r="D163" s="0" t="str">
        <f aca="false">original_dataset!D163</f>
        <v>High Street</v>
      </c>
      <c r="E163" s="0" t="n">
        <f aca="false">original_dataset!E163</f>
        <v>48438.85</v>
      </c>
      <c r="F163" s="0" t="n">
        <f aca="false">original_dataset!F163</f>
        <v>6992</v>
      </c>
      <c r="G163" s="0" t="n">
        <f aca="false">original_dataset!G163</f>
        <v>0.034</v>
      </c>
      <c r="H163" s="0" t="n">
        <f aca="false">original_dataset!H163</f>
        <v>20</v>
      </c>
      <c r="I163" s="0" t="n">
        <f aca="false">original_dataset!I163</f>
        <v>91</v>
      </c>
      <c r="J163" s="0" t="n">
        <f aca="false">IF(ISBLANK(original_dataset!J163),MEDIAN(original_dataset!$J$2:$J$321),original_dataset!J163)</f>
        <v>4.36</v>
      </c>
      <c r="K163" s="0" t="n">
        <f aca="false">original_dataset!K163</f>
        <v>0</v>
      </c>
      <c r="L163" s="0" t="n">
        <f aca="false">IF(ISBLANK(original_dataset!L163),MEDIAN(original_dataset!$L$2:$L$321),original_dataset!L163)</f>
        <v>4.2</v>
      </c>
      <c r="M163" s="0" t="n">
        <f aca="false">original_dataset!M163</f>
        <v>778298.88</v>
      </c>
      <c r="N163" s="0" t="n">
        <f aca="false">original_dataset!N163</f>
        <v>130076.72</v>
      </c>
      <c r="O163" s="0" t="str">
        <f aca="false">IF(ISBLANK(original_dataset!J163),"Yes","No")</f>
        <v>No</v>
      </c>
      <c r="P163" s="0" t="str">
        <f aca="false">IF(ISBLANK(original_dataset!L163),"Yes","No")</f>
        <v>No</v>
      </c>
    </row>
    <row r="164" customFormat="false" ht="15" hidden="false" customHeight="false" outlineLevel="0" collapsed="false">
      <c r="A164" s="0" t="str">
        <f aca="false">original_dataset!A164</f>
        <v>STR-1041</v>
      </c>
      <c r="B164" s="0" t="str">
        <f aca="false">original_dataset!B164</f>
        <v>2025-03-01</v>
      </c>
      <c r="C164" s="0" t="str">
        <f aca="false">original_dataset!C164</f>
        <v>South</v>
      </c>
      <c r="D164" s="0" t="str">
        <f aca="false">original_dataset!D164</f>
        <v>High Street</v>
      </c>
      <c r="E164" s="0" t="n">
        <f aca="false">original_dataset!E164</f>
        <v>57143.3</v>
      </c>
      <c r="F164" s="0" t="n">
        <f aca="false">original_dataset!F164</f>
        <v>8038</v>
      </c>
      <c r="G164" s="0" t="n">
        <f aca="false">original_dataset!G164</f>
        <v>0.193</v>
      </c>
      <c r="H164" s="0" t="n">
        <f aca="false">original_dataset!H164</f>
        <v>17</v>
      </c>
      <c r="I164" s="0" t="n">
        <f aca="false">original_dataset!I164</f>
        <v>72.6</v>
      </c>
      <c r="J164" s="0" t="n">
        <f aca="false">IF(ISBLANK(original_dataset!J164),MEDIAN(original_dataset!$J$2:$J$321),original_dataset!J164)</f>
        <v>3.365</v>
      </c>
      <c r="K164" s="0" t="n">
        <f aca="false">original_dataset!K164</f>
        <v>0</v>
      </c>
      <c r="L164" s="0" t="n">
        <f aca="false">IF(ISBLANK(original_dataset!L164),MEDIAN(original_dataset!$L$2:$L$321),original_dataset!L164)</f>
        <v>4.2</v>
      </c>
      <c r="M164" s="0" t="n">
        <f aca="false">original_dataset!M164</f>
        <v>677096.71</v>
      </c>
      <c r="N164" s="0" t="n">
        <f aca="false">original_dataset!N164</f>
        <v>97174.11</v>
      </c>
      <c r="O164" s="0" t="str">
        <f aca="false">IF(ISBLANK(original_dataset!J164),"Yes","No")</f>
        <v>Yes</v>
      </c>
      <c r="P164" s="0" t="str">
        <f aca="false">IF(ISBLANK(original_dataset!L164),"Yes","No")</f>
        <v>No</v>
      </c>
    </row>
    <row r="165" customFormat="false" ht="15" hidden="false" customHeight="false" outlineLevel="0" collapsed="false">
      <c r="A165" s="0" t="str">
        <f aca="false">original_dataset!A165</f>
        <v>STR-1041</v>
      </c>
      <c r="B165" s="0" t="str">
        <f aca="false">original_dataset!B165</f>
        <v>2025-04-01</v>
      </c>
      <c r="C165" s="0" t="str">
        <f aca="false">original_dataset!C165</f>
        <v>South</v>
      </c>
      <c r="D165" s="0" t="str">
        <f aca="false">original_dataset!D165</f>
        <v>High Street</v>
      </c>
      <c r="E165" s="0" t="n">
        <f aca="false">original_dataset!E165</f>
        <v>66870.62</v>
      </c>
      <c r="F165" s="0" t="n">
        <f aca="false">original_dataset!F165</f>
        <v>6055</v>
      </c>
      <c r="G165" s="0" t="n">
        <f aca="false">original_dataset!G165</f>
        <v>0.075</v>
      </c>
      <c r="H165" s="0" t="n">
        <f aca="false">original_dataset!H165</f>
        <v>19</v>
      </c>
      <c r="I165" s="0" t="n">
        <f aca="false">original_dataset!I165</f>
        <v>93.8</v>
      </c>
      <c r="J165" s="0" t="n">
        <f aca="false">IF(ISBLANK(original_dataset!J165),MEDIAN(original_dataset!$J$2:$J$321),original_dataset!J165)</f>
        <v>0.54</v>
      </c>
      <c r="K165" s="0" t="n">
        <f aca="false">original_dataset!K165</f>
        <v>0</v>
      </c>
      <c r="L165" s="0" t="n">
        <f aca="false">IF(ISBLANK(original_dataset!L165),MEDIAN(original_dataset!$L$2:$L$321),original_dataset!L165)</f>
        <v>4.3</v>
      </c>
      <c r="M165" s="0" t="n">
        <f aca="false">original_dataset!M165</f>
        <v>692008.64</v>
      </c>
      <c r="N165" s="0" t="n">
        <f aca="false">original_dataset!N165</f>
        <v>116337.87</v>
      </c>
      <c r="O165" s="0" t="str">
        <f aca="false">IF(ISBLANK(original_dataset!J165),"Yes","No")</f>
        <v>No</v>
      </c>
      <c r="P165" s="0" t="str">
        <f aca="false">IF(ISBLANK(original_dataset!L165),"Yes","No")</f>
        <v>No</v>
      </c>
    </row>
    <row r="166" customFormat="false" ht="15" hidden="false" customHeight="false" outlineLevel="0" collapsed="false">
      <c r="A166" s="0" t="str">
        <f aca="false">original_dataset!A166</f>
        <v>STR-1042</v>
      </c>
      <c r="B166" s="0" t="str">
        <f aca="false">original_dataset!B166</f>
        <v>2025-01-01</v>
      </c>
      <c r="C166" s="0" t="str">
        <f aca="false">original_dataset!C166</f>
        <v>North</v>
      </c>
      <c r="D166" s="0" t="str">
        <f aca="false">original_dataset!D166</f>
        <v>Mall</v>
      </c>
      <c r="E166" s="0" t="n">
        <f aca="false">original_dataset!E166</f>
        <v>72150.53</v>
      </c>
      <c r="F166" s="0" t="n">
        <f aca="false">original_dataset!F166</f>
        <v>9323</v>
      </c>
      <c r="G166" s="0" t="n">
        <f aca="false">original_dataset!G166</f>
        <v>0.157</v>
      </c>
      <c r="H166" s="0" t="n">
        <f aca="false">original_dataset!H166</f>
        <v>22</v>
      </c>
      <c r="I166" s="0" t="n">
        <f aca="false">original_dataset!I166</f>
        <v>82.9</v>
      </c>
      <c r="J166" s="0" t="n">
        <f aca="false">IF(ISBLANK(original_dataset!J166),MEDIAN(original_dataset!$J$2:$J$321),original_dataset!J166)</f>
        <v>11.37</v>
      </c>
      <c r="K166" s="0" t="n">
        <f aca="false">original_dataset!K166</f>
        <v>1</v>
      </c>
      <c r="L166" s="0" t="n">
        <f aca="false">IF(ISBLANK(original_dataset!L166),MEDIAN(original_dataset!$L$2:$L$321),original_dataset!L166)</f>
        <v>4.3</v>
      </c>
      <c r="M166" s="0" t="n">
        <f aca="false">original_dataset!M166</f>
        <v>825797.91</v>
      </c>
      <c r="N166" s="0" t="n">
        <f aca="false">original_dataset!N166</f>
        <v>130945.24</v>
      </c>
      <c r="O166" s="0" t="str">
        <f aca="false">IF(ISBLANK(original_dataset!J166),"Yes","No")</f>
        <v>No</v>
      </c>
      <c r="P166" s="0" t="str">
        <f aca="false">IF(ISBLANK(original_dataset!L166),"Yes","No")</f>
        <v>No</v>
      </c>
    </row>
    <row r="167" customFormat="false" ht="15" hidden="false" customHeight="false" outlineLevel="0" collapsed="false">
      <c r="A167" s="0" t="str">
        <f aca="false">original_dataset!A167</f>
        <v>STR-1042</v>
      </c>
      <c r="B167" s="0" t="str">
        <f aca="false">original_dataset!B167</f>
        <v>2025-02-01</v>
      </c>
      <c r="C167" s="0" t="str">
        <f aca="false">original_dataset!C167</f>
        <v>North</v>
      </c>
      <c r="D167" s="0" t="str">
        <f aca="false">original_dataset!D167</f>
        <v>Mall</v>
      </c>
      <c r="E167" s="0" t="n">
        <f aca="false">original_dataset!E167</f>
        <v>35303.3</v>
      </c>
      <c r="F167" s="0" t="n">
        <f aca="false">original_dataset!F167</f>
        <v>8789</v>
      </c>
      <c r="G167" s="0" t="n">
        <f aca="false">original_dataset!G167</f>
        <v>0.123</v>
      </c>
      <c r="H167" s="0" t="n">
        <f aca="false">original_dataset!H167</f>
        <v>22</v>
      </c>
      <c r="I167" s="0" t="n">
        <f aca="false">original_dataset!I167</f>
        <v>86.1</v>
      </c>
      <c r="J167" s="0" t="n">
        <f aca="false">IF(ISBLANK(original_dataset!J167),MEDIAN(original_dataset!$J$2:$J$321),original_dataset!J167)</f>
        <v>9.43</v>
      </c>
      <c r="K167" s="0" t="n">
        <f aca="false">original_dataset!K167</f>
        <v>0</v>
      </c>
      <c r="L167" s="0" t="n">
        <f aca="false">IF(ISBLANK(original_dataset!L167),MEDIAN(original_dataset!$L$2:$L$321),original_dataset!L167)</f>
        <v>4.2</v>
      </c>
      <c r="M167" s="0" t="n">
        <f aca="false">original_dataset!M167</f>
        <v>706285.52</v>
      </c>
      <c r="N167" s="0" t="n">
        <f aca="false">original_dataset!N167</f>
        <v>138014.72</v>
      </c>
      <c r="O167" s="0" t="str">
        <f aca="false">IF(ISBLANK(original_dataset!J167),"Yes","No")</f>
        <v>No</v>
      </c>
      <c r="P167" s="0" t="str">
        <f aca="false">IF(ISBLANK(original_dataset!L167),"Yes","No")</f>
        <v>No</v>
      </c>
    </row>
    <row r="168" customFormat="false" ht="15" hidden="false" customHeight="false" outlineLevel="0" collapsed="false">
      <c r="A168" s="0" t="str">
        <f aca="false">original_dataset!A168</f>
        <v>STR-1042</v>
      </c>
      <c r="B168" s="0" t="str">
        <f aca="false">original_dataset!B168</f>
        <v>2025-03-01</v>
      </c>
      <c r="C168" s="0" t="str">
        <f aca="false">original_dataset!C168</f>
        <v>North</v>
      </c>
      <c r="D168" s="0" t="str">
        <f aca="false">original_dataset!D168</f>
        <v>Mall</v>
      </c>
      <c r="E168" s="0" t="n">
        <f aca="false">original_dataset!E168</f>
        <v>30301.86</v>
      </c>
      <c r="F168" s="0" t="n">
        <f aca="false">original_dataset!F168</f>
        <v>6939</v>
      </c>
      <c r="G168" s="0" t="n">
        <f aca="false">original_dataset!G168</f>
        <v>0.09</v>
      </c>
      <c r="H168" s="0" t="n">
        <f aca="false">original_dataset!H168</f>
        <v>16</v>
      </c>
      <c r="I168" s="0" t="n">
        <f aca="false">original_dataset!I168</f>
        <v>90.3</v>
      </c>
      <c r="J168" s="0" t="n">
        <f aca="false">IF(ISBLANK(original_dataset!J168),MEDIAN(original_dataset!$J$2:$J$321),original_dataset!J168)</f>
        <v>3.49</v>
      </c>
      <c r="K168" s="0" t="n">
        <f aca="false">original_dataset!K168</f>
        <v>0</v>
      </c>
      <c r="L168" s="0" t="n">
        <f aca="false">IF(ISBLANK(original_dataset!L168),MEDIAN(original_dataset!$L$2:$L$321),original_dataset!L168)</f>
        <v>4</v>
      </c>
      <c r="M168" s="0" t="n">
        <f aca="false">original_dataset!M168</f>
        <v>665534.7</v>
      </c>
      <c r="N168" s="0" t="n">
        <f aca="false">original_dataset!N168</f>
        <v>113167.73</v>
      </c>
      <c r="O168" s="0" t="str">
        <f aca="false">IF(ISBLANK(original_dataset!J168),"Yes","No")</f>
        <v>No</v>
      </c>
      <c r="P168" s="0" t="str">
        <f aca="false">IF(ISBLANK(original_dataset!L168),"Yes","No")</f>
        <v>No</v>
      </c>
    </row>
    <row r="169" customFormat="false" ht="15" hidden="false" customHeight="false" outlineLevel="0" collapsed="false">
      <c r="A169" s="0" t="str">
        <f aca="false">original_dataset!A169</f>
        <v>STR-1042</v>
      </c>
      <c r="B169" s="0" t="str">
        <f aca="false">original_dataset!B169</f>
        <v>2025-04-01</v>
      </c>
      <c r="C169" s="0" t="str">
        <f aca="false">original_dataset!C169</f>
        <v>North</v>
      </c>
      <c r="D169" s="0" t="str">
        <f aca="false">original_dataset!D169</f>
        <v>Mall</v>
      </c>
      <c r="E169" s="0" t="n">
        <f aca="false">original_dataset!E169</f>
        <v>78432.14</v>
      </c>
      <c r="F169" s="0" t="n">
        <f aca="false">original_dataset!F169</f>
        <v>9440</v>
      </c>
      <c r="G169" s="0" t="n">
        <f aca="false">original_dataset!G169</f>
        <v>0.126</v>
      </c>
      <c r="H169" s="0" t="n">
        <f aca="false">original_dataset!H169</f>
        <v>23</v>
      </c>
      <c r="I169" s="0" t="n">
        <f aca="false">original_dataset!I169</f>
        <v>89.2</v>
      </c>
      <c r="J169" s="0" t="n">
        <f aca="false">IF(ISBLANK(original_dataset!J169),MEDIAN(original_dataset!$J$2:$J$321),original_dataset!J169)</f>
        <v>7.86</v>
      </c>
      <c r="K169" s="0" t="n">
        <f aca="false">original_dataset!K169</f>
        <v>0</v>
      </c>
      <c r="L169" s="0" t="n">
        <f aca="false">IF(ISBLANK(original_dataset!L169),MEDIAN(original_dataset!$L$2:$L$321),original_dataset!L169)</f>
        <v>4.1</v>
      </c>
      <c r="M169" s="0" t="n">
        <f aca="false">original_dataset!M169</f>
        <v>820729.29</v>
      </c>
      <c r="N169" s="0" t="n">
        <f aca="false">original_dataset!N169</f>
        <v>159325.47</v>
      </c>
      <c r="O169" s="0" t="str">
        <f aca="false">IF(ISBLANK(original_dataset!J169),"Yes","No")</f>
        <v>No</v>
      </c>
      <c r="P169" s="0" t="str">
        <f aca="false">IF(ISBLANK(original_dataset!L169),"Yes","No")</f>
        <v>No</v>
      </c>
    </row>
    <row r="170" customFormat="false" ht="15" hidden="false" customHeight="false" outlineLevel="0" collapsed="false">
      <c r="A170" s="0" t="str">
        <f aca="false">original_dataset!A170</f>
        <v>STR-1043</v>
      </c>
      <c r="B170" s="0" t="str">
        <f aca="false">original_dataset!B170</f>
        <v>2025-01-01</v>
      </c>
      <c r="C170" s="0" t="str">
        <f aca="false">original_dataset!C170</f>
        <v>East</v>
      </c>
      <c r="D170" s="0" t="str">
        <f aca="false">original_dataset!D170</f>
        <v>Residential</v>
      </c>
      <c r="E170" s="0" t="n">
        <f aca="false">original_dataset!E170</f>
        <v>62059.18</v>
      </c>
      <c r="F170" s="0" t="n">
        <f aca="false">original_dataset!F170</f>
        <v>9374</v>
      </c>
      <c r="G170" s="0" t="n">
        <f aca="false">original_dataset!G170</f>
        <v>0.136</v>
      </c>
      <c r="H170" s="0" t="n">
        <f aca="false">original_dataset!H170</f>
        <v>25</v>
      </c>
      <c r="I170" s="0" t="n">
        <f aca="false">original_dataset!I170</f>
        <v>87.1</v>
      </c>
      <c r="J170" s="0" t="n">
        <f aca="false">IF(ISBLANK(original_dataset!J170),MEDIAN(original_dataset!$J$2:$J$321),original_dataset!J170)</f>
        <v>12.55</v>
      </c>
      <c r="K170" s="0" t="n">
        <f aca="false">original_dataset!K170</f>
        <v>0</v>
      </c>
      <c r="L170" s="0" t="n">
        <f aca="false">IF(ISBLANK(original_dataset!L170),MEDIAN(original_dataset!$L$2:$L$321),original_dataset!L170)</f>
        <v>4.9</v>
      </c>
      <c r="M170" s="0" t="n">
        <f aca="false">original_dataset!M170</f>
        <v>739831.73</v>
      </c>
      <c r="N170" s="0" t="n">
        <f aca="false">original_dataset!N170</f>
        <v>119490.21</v>
      </c>
      <c r="O170" s="0" t="str">
        <f aca="false">IF(ISBLANK(original_dataset!J170),"Yes","No")</f>
        <v>No</v>
      </c>
      <c r="P170" s="0" t="str">
        <f aca="false">IF(ISBLANK(original_dataset!L170),"Yes","No")</f>
        <v>No</v>
      </c>
    </row>
    <row r="171" customFormat="false" ht="15" hidden="false" customHeight="false" outlineLevel="0" collapsed="false">
      <c r="A171" s="0" t="str">
        <f aca="false">original_dataset!A171</f>
        <v>STR-1043</v>
      </c>
      <c r="B171" s="0" t="str">
        <f aca="false">original_dataset!B171</f>
        <v>2025-02-01</v>
      </c>
      <c r="C171" s="0" t="str">
        <f aca="false">original_dataset!C171</f>
        <v>East</v>
      </c>
      <c r="D171" s="0" t="str">
        <f aca="false">original_dataset!D171</f>
        <v>Residential</v>
      </c>
      <c r="E171" s="0" t="n">
        <f aca="false">original_dataset!E171</f>
        <v>32834.48</v>
      </c>
      <c r="F171" s="0" t="n">
        <f aca="false">original_dataset!F171</f>
        <v>7576</v>
      </c>
      <c r="G171" s="0" t="n">
        <f aca="false">original_dataset!G171</f>
        <v>0.099</v>
      </c>
      <c r="H171" s="0" t="n">
        <f aca="false">original_dataset!H171</f>
        <v>15</v>
      </c>
      <c r="I171" s="0" t="n">
        <f aca="false">original_dataset!I171</f>
        <v>84.1</v>
      </c>
      <c r="J171" s="0" t="n">
        <f aca="false">IF(ISBLANK(original_dataset!J171),MEDIAN(original_dataset!$J$2:$J$321),original_dataset!J171)</f>
        <v>3.48</v>
      </c>
      <c r="K171" s="0" t="n">
        <f aca="false">original_dataset!K171</f>
        <v>0</v>
      </c>
      <c r="L171" s="0" t="n">
        <f aca="false">IF(ISBLANK(original_dataset!L171),MEDIAN(original_dataset!$L$2:$L$321),original_dataset!L171)</f>
        <v>5</v>
      </c>
      <c r="M171" s="0" t="n">
        <f aca="false">original_dataset!M171</f>
        <v>593637.14</v>
      </c>
      <c r="N171" s="0" t="n">
        <f aca="false">original_dataset!N171</f>
        <v>106648.14</v>
      </c>
      <c r="O171" s="0" t="str">
        <f aca="false">IF(ISBLANK(original_dataset!J171),"Yes","No")</f>
        <v>No</v>
      </c>
      <c r="P171" s="0" t="str">
        <f aca="false">IF(ISBLANK(original_dataset!L171),"Yes","No")</f>
        <v>No</v>
      </c>
    </row>
    <row r="172" customFormat="false" ht="15" hidden="false" customHeight="false" outlineLevel="0" collapsed="false">
      <c r="A172" s="0" t="str">
        <f aca="false">original_dataset!A172</f>
        <v>STR-1043</v>
      </c>
      <c r="B172" s="0" t="str">
        <f aca="false">original_dataset!B172</f>
        <v>2025-03-01</v>
      </c>
      <c r="C172" s="0" t="str">
        <f aca="false">original_dataset!C172</f>
        <v>East</v>
      </c>
      <c r="D172" s="0" t="str">
        <f aca="false">original_dataset!D172</f>
        <v>Residential</v>
      </c>
      <c r="E172" s="0" t="n">
        <f aca="false">original_dataset!E172</f>
        <v>50825.08</v>
      </c>
      <c r="F172" s="0" t="n">
        <f aca="false">original_dataset!F172</f>
        <v>8949</v>
      </c>
      <c r="G172" s="0" t="n">
        <f aca="false">original_dataset!G172</f>
        <v>0.157</v>
      </c>
      <c r="H172" s="0" t="n">
        <f aca="false">original_dataset!H172</f>
        <v>21</v>
      </c>
      <c r="I172" s="0" t="n">
        <f aca="false">original_dataset!I172</f>
        <v>84.7</v>
      </c>
      <c r="J172" s="0" t="n">
        <f aca="false">IF(ISBLANK(original_dataset!J172),MEDIAN(original_dataset!$J$2:$J$321),original_dataset!J172)</f>
        <v>7.73</v>
      </c>
      <c r="K172" s="0" t="n">
        <f aca="false">original_dataset!K172</f>
        <v>0</v>
      </c>
      <c r="L172" s="0" t="n">
        <f aca="false">IF(ISBLANK(original_dataset!L172),MEDIAN(original_dataset!$L$2:$L$321),original_dataset!L172)</f>
        <v>4.9</v>
      </c>
      <c r="M172" s="0" t="n">
        <f aca="false">original_dataset!M172</f>
        <v>769702.76</v>
      </c>
      <c r="N172" s="0" t="n">
        <f aca="false">original_dataset!N172</f>
        <v>158697</v>
      </c>
      <c r="O172" s="0" t="str">
        <f aca="false">IF(ISBLANK(original_dataset!J172),"Yes","No")</f>
        <v>No</v>
      </c>
      <c r="P172" s="0" t="str">
        <f aca="false">IF(ISBLANK(original_dataset!L172),"Yes","No")</f>
        <v>No</v>
      </c>
    </row>
    <row r="173" customFormat="false" ht="15" hidden="false" customHeight="false" outlineLevel="0" collapsed="false">
      <c r="A173" s="0" t="str">
        <f aca="false">original_dataset!A173</f>
        <v>STR-1043</v>
      </c>
      <c r="B173" s="0" t="str">
        <f aca="false">original_dataset!B173</f>
        <v>2025-04-01</v>
      </c>
      <c r="C173" s="0" t="str">
        <f aca="false">original_dataset!C173</f>
        <v>East</v>
      </c>
      <c r="D173" s="0" t="str">
        <f aca="false">original_dataset!D173</f>
        <v>Residential</v>
      </c>
      <c r="E173" s="0" t="n">
        <f aca="false">original_dataset!E173</f>
        <v>36606.51</v>
      </c>
      <c r="F173" s="0" t="n">
        <f aca="false">original_dataset!F173</f>
        <v>7671</v>
      </c>
      <c r="G173" s="0" t="n">
        <f aca="false">original_dataset!G173</f>
        <v>0.118</v>
      </c>
      <c r="H173" s="0" t="n">
        <f aca="false">original_dataset!H173</f>
        <v>18</v>
      </c>
      <c r="I173" s="0" t="n">
        <f aca="false">original_dataset!I173</f>
        <v>89.8</v>
      </c>
      <c r="J173" s="0" t="n">
        <f aca="false">IF(ISBLANK(original_dataset!J173),MEDIAN(original_dataset!$J$2:$J$321),original_dataset!J173)</f>
        <v>0.25</v>
      </c>
      <c r="K173" s="0" t="n">
        <f aca="false">original_dataset!K173</f>
        <v>0</v>
      </c>
      <c r="L173" s="0" t="n">
        <f aca="false">IF(ISBLANK(original_dataset!L173),MEDIAN(original_dataset!$L$2:$L$321),original_dataset!L173)</f>
        <v>4.4</v>
      </c>
      <c r="M173" s="0" t="n">
        <f aca="false">original_dataset!M173</f>
        <v>679731.57</v>
      </c>
      <c r="N173" s="0" t="n">
        <f aca="false">original_dataset!N173</f>
        <v>121546.42</v>
      </c>
      <c r="O173" s="0" t="str">
        <f aca="false">IF(ISBLANK(original_dataset!J173),"Yes","No")</f>
        <v>No</v>
      </c>
      <c r="P173" s="0" t="str">
        <f aca="false">IF(ISBLANK(original_dataset!L173),"Yes","No")</f>
        <v>No</v>
      </c>
    </row>
    <row r="174" customFormat="false" ht="15" hidden="false" customHeight="false" outlineLevel="0" collapsed="false">
      <c r="A174" s="0" t="str">
        <f aca="false">original_dataset!A174</f>
        <v>STR-1044</v>
      </c>
      <c r="B174" s="0" t="str">
        <f aca="false">original_dataset!B174</f>
        <v>2025-01-01</v>
      </c>
      <c r="C174" s="0" t="str">
        <f aca="false">original_dataset!C174</f>
        <v>East</v>
      </c>
      <c r="D174" s="0" t="str">
        <f aca="false">original_dataset!D174</f>
        <v>Residential</v>
      </c>
      <c r="E174" s="0" t="n">
        <f aca="false">original_dataset!E174</f>
        <v>65237.79</v>
      </c>
      <c r="F174" s="0" t="n">
        <f aca="false">original_dataset!F174</f>
        <v>8741</v>
      </c>
      <c r="G174" s="0" t="n">
        <f aca="false">original_dataset!G174</f>
        <v>0.157</v>
      </c>
      <c r="H174" s="0" t="n">
        <f aca="false">original_dataset!H174</f>
        <v>20</v>
      </c>
      <c r="I174" s="0" t="n">
        <f aca="false">original_dataset!I174</f>
        <v>94.4</v>
      </c>
      <c r="J174" s="0" t="n">
        <f aca="false">IF(ISBLANK(original_dataset!J174),MEDIAN(original_dataset!$J$2:$J$321),original_dataset!J174)</f>
        <v>6.43</v>
      </c>
      <c r="K174" s="0" t="n">
        <f aca="false">original_dataset!K174</f>
        <v>0</v>
      </c>
      <c r="L174" s="0" t="n">
        <f aca="false">IF(ISBLANK(original_dataset!L174),MEDIAN(original_dataset!$L$2:$L$321),original_dataset!L174)</f>
        <v>3.3</v>
      </c>
      <c r="M174" s="0" t="n">
        <f aca="false">original_dataset!M174</f>
        <v>780344.18</v>
      </c>
      <c r="N174" s="0" t="n">
        <f aca="false">original_dataset!N174</f>
        <v>118239.09</v>
      </c>
      <c r="O174" s="0" t="str">
        <f aca="false">IF(ISBLANK(original_dataset!J174),"Yes","No")</f>
        <v>No</v>
      </c>
      <c r="P174" s="0" t="str">
        <f aca="false">IF(ISBLANK(original_dataset!L174),"Yes","No")</f>
        <v>No</v>
      </c>
    </row>
    <row r="175" customFormat="false" ht="15" hidden="false" customHeight="false" outlineLevel="0" collapsed="false">
      <c r="A175" s="0" t="str">
        <f aca="false">original_dataset!A175</f>
        <v>STR-1044</v>
      </c>
      <c r="B175" s="0" t="str">
        <f aca="false">original_dataset!B175</f>
        <v>2025-02-01</v>
      </c>
      <c r="C175" s="0" t="str">
        <f aca="false">original_dataset!C175</f>
        <v>East</v>
      </c>
      <c r="D175" s="0" t="str">
        <f aca="false">original_dataset!D175</f>
        <v>Residential</v>
      </c>
      <c r="E175" s="0" t="n">
        <f aca="false">original_dataset!E175</f>
        <v>43645.98</v>
      </c>
      <c r="F175" s="0" t="n">
        <f aca="false">original_dataset!F175</f>
        <v>9480</v>
      </c>
      <c r="G175" s="0" t="n">
        <f aca="false">original_dataset!G175</f>
        <v>0.109</v>
      </c>
      <c r="H175" s="0" t="n">
        <f aca="false">original_dataset!H175</f>
        <v>22</v>
      </c>
      <c r="I175" s="0" t="n">
        <f aca="false">original_dataset!I175</f>
        <v>89</v>
      </c>
      <c r="J175" s="0" t="n">
        <f aca="false">IF(ISBLANK(original_dataset!J175),MEDIAN(original_dataset!$J$2:$J$321),original_dataset!J175)</f>
        <v>2.11</v>
      </c>
      <c r="K175" s="0" t="n">
        <f aca="false">original_dataset!K175</f>
        <v>0</v>
      </c>
      <c r="L175" s="0" t="n">
        <f aca="false">IF(ISBLANK(original_dataset!L175),MEDIAN(original_dataset!$L$2:$L$321),original_dataset!L175)</f>
        <v>3.1</v>
      </c>
      <c r="M175" s="0" t="n">
        <f aca="false">original_dataset!M175</f>
        <v>721364.11</v>
      </c>
      <c r="N175" s="0" t="n">
        <f aca="false">original_dataset!N175</f>
        <v>147272.81</v>
      </c>
      <c r="O175" s="0" t="str">
        <f aca="false">IF(ISBLANK(original_dataset!J175),"Yes","No")</f>
        <v>No</v>
      </c>
      <c r="P175" s="0" t="str">
        <f aca="false">IF(ISBLANK(original_dataset!L175),"Yes","No")</f>
        <v>No</v>
      </c>
    </row>
    <row r="176" customFormat="false" ht="15" hidden="false" customHeight="false" outlineLevel="0" collapsed="false">
      <c r="A176" s="0" t="str">
        <f aca="false">original_dataset!A176</f>
        <v>STR-1044</v>
      </c>
      <c r="B176" s="0" t="str">
        <f aca="false">original_dataset!B176</f>
        <v>2025-03-01</v>
      </c>
      <c r="C176" s="0" t="str">
        <f aca="false">original_dataset!C176</f>
        <v>East</v>
      </c>
      <c r="D176" s="0" t="str">
        <f aca="false">original_dataset!D176</f>
        <v>Residential</v>
      </c>
      <c r="E176" s="0" t="n">
        <f aca="false">original_dataset!E176</f>
        <v>68040.15</v>
      </c>
      <c r="F176" s="0" t="n">
        <f aca="false">original_dataset!F176</f>
        <v>9826</v>
      </c>
      <c r="G176" s="0" t="n">
        <f aca="false">original_dataset!G176</f>
        <v>0.125</v>
      </c>
      <c r="H176" s="0" t="n">
        <f aca="false">original_dataset!H176</f>
        <v>20</v>
      </c>
      <c r="I176" s="0" t="n">
        <f aca="false">original_dataset!I176</f>
        <v>83.9</v>
      </c>
      <c r="J176" s="0" t="n">
        <f aca="false">IF(ISBLANK(original_dataset!J176),MEDIAN(original_dataset!$J$2:$J$321),original_dataset!J176)</f>
        <v>9.12</v>
      </c>
      <c r="K176" s="0" t="n">
        <f aca="false">original_dataset!K176</f>
        <v>0</v>
      </c>
      <c r="L176" s="0" t="n">
        <f aca="false">IF(ISBLANK(original_dataset!L176),MEDIAN(original_dataset!$L$2:$L$321),original_dataset!L176)</f>
        <v>3.6</v>
      </c>
      <c r="M176" s="0" t="n">
        <f aca="false">original_dataset!M176</f>
        <v>758138.29</v>
      </c>
      <c r="N176" s="0" t="n">
        <f aca="false">original_dataset!N176</f>
        <v>132975.26</v>
      </c>
      <c r="O176" s="0" t="str">
        <f aca="false">IF(ISBLANK(original_dataset!J176),"Yes","No")</f>
        <v>No</v>
      </c>
      <c r="P176" s="0" t="str">
        <f aca="false">IF(ISBLANK(original_dataset!L176),"Yes","No")</f>
        <v>No</v>
      </c>
    </row>
    <row r="177" customFormat="false" ht="15" hidden="false" customHeight="false" outlineLevel="0" collapsed="false">
      <c r="A177" s="0" t="str">
        <f aca="false">original_dataset!A177</f>
        <v>STR-1044</v>
      </c>
      <c r="B177" s="0" t="str">
        <f aca="false">original_dataset!B177</f>
        <v>2025-04-01</v>
      </c>
      <c r="C177" s="0" t="str">
        <f aca="false">original_dataset!C177</f>
        <v>East</v>
      </c>
      <c r="D177" s="0" t="str">
        <f aca="false">original_dataset!D177</f>
        <v>Residential</v>
      </c>
      <c r="E177" s="0" t="n">
        <f aca="false">original_dataset!E177</f>
        <v>63043.94</v>
      </c>
      <c r="F177" s="0" t="n">
        <f aca="false">original_dataset!F177</f>
        <v>10402</v>
      </c>
      <c r="G177" s="0" t="n">
        <f aca="false">original_dataset!G177</f>
        <v>0.159</v>
      </c>
      <c r="H177" s="0" t="n">
        <f aca="false">original_dataset!H177</f>
        <v>23</v>
      </c>
      <c r="I177" s="0" t="n">
        <f aca="false">original_dataset!I177</f>
        <v>93.9</v>
      </c>
      <c r="J177" s="0" t="n">
        <f aca="false">IF(ISBLANK(original_dataset!J177),MEDIAN(original_dataset!$J$2:$J$321),original_dataset!J177)</f>
        <v>2.71</v>
      </c>
      <c r="K177" s="0" t="n">
        <f aca="false">original_dataset!K177</f>
        <v>0</v>
      </c>
      <c r="L177" s="0" t="n">
        <f aca="false">IF(ISBLANK(original_dataset!L177),MEDIAN(original_dataset!$L$2:$L$321),original_dataset!L177)</f>
        <v>3.1</v>
      </c>
      <c r="M177" s="0" t="n">
        <f aca="false">original_dataset!M177</f>
        <v>804264</v>
      </c>
      <c r="N177" s="0" t="n">
        <f aca="false">original_dataset!N177</f>
        <v>167117.91</v>
      </c>
      <c r="O177" s="0" t="str">
        <f aca="false">IF(ISBLANK(original_dataset!J177),"Yes","No")</f>
        <v>No</v>
      </c>
      <c r="P177" s="0" t="str">
        <f aca="false">IF(ISBLANK(original_dataset!L177),"Yes","No")</f>
        <v>No</v>
      </c>
    </row>
    <row r="178" customFormat="false" ht="15" hidden="false" customHeight="false" outlineLevel="0" collapsed="false">
      <c r="A178" s="0" t="str">
        <f aca="false">original_dataset!A178</f>
        <v>STR-1045</v>
      </c>
      <c r="B178" s="0" t="str">
        <f aca="false">original_dataset!B178</f>
        <v>2025-01-01</v>
      </c>
      <c r="C178" s="0" t="str">
        <f aca="false">original_dataset!C178</f>
        <v>West</v>
      </c>
      <c r="D178" s="0" t="str">
        <f aca="false">original_dataset!D178</f>
        <v>Airport</v>
      </c>
      <c r="E178" s="0" t="n">
        <f aca="false">original_dataset!E178</f>
        <v>67494.09</v>
      </c>
      <c r="F178" s="0" t="n">
        <f aca="false">original_dataset!F178</f>
        <v>12361</v>
      </c>
      <c r="G178" s="0" t="n">
        <f aca="false">original_dataset!G178</f>
        <v>0.046</v>
      </c>
      <c r="H178" s="0" t="n">
        <f aca="false">original_dataset!H178</f>
        <v>24</v>
      </c>
      <c r="I178" s="0" t="n">
        <f aca="false">original_dataset!I178</f>
        <v>76.6</v>
      </c>
      <c r="J178" s="0" t="n">
        <f aca="false">IF(ISBLANK(original_dataset!J178),MEDIAN(original_dataset!$J$2:$J$321),original_dataset!J178)</f>
        <v>3.65</v>
      </c>
      <c r="K178" s="0" t="n">
        <f aca="false">original_dataset!K178</f>
        <v>1</v>
      </c>
      <c r="L178" s="0" t="n">
        <f aca="false">IF(ISBLANK(original_dataset!L178),MEDIAN(original_dataset!$L$2:$L$321),original_dataset!L178)</f>
        <v>3.7</v>
      </c>
      <c r="M178" s="0" t="n">
        <f aca="false">original_dataset!M178</f>
        <v>887537.75</v>
      </c>
      <c r="N178" s="0" t="n">
        <f aca="false">original_dataset!N178</f>
        <v>160362.92</v>
      </c>
      <c r="O178" s="0" t="str">
        <f aca="false">IF(ISBLANK(original_dataset!J178),"Yes","No")</f>
        <v>No</v>
      </c>
      <c r="P178" s="0" t="str">
        <f aca="false">IF(ISBLANK(original_dataset!L178),"Yes","No")</f>
        <v>No</v>
      </c>
    </row>
    <row r="179" customFormat="false" ht="15" hidden="false" customHeight="false" outlineLevel="0" collapsed="false">
      <c r="A179" s="0" t="str">
        <f aca="false">original_dataset!A179</f>
        <v>STR-1045</v>
      </c>
      <c r="B179" s="0" t="str">
        <f aca="false">original_dataset!B179</f>
        <v>2025-02-01</v>
      </c>
      <c r="C179" s="0" t="str">
        <f aca="false">original_dataset!C179</f>
        <v>West</v>
      </c>
      <c r="D179" s="0" t="str">
        <f aca="false">original_dataset!D179</f>
        <v>Airport</v>
      </c>
      <c r="E179" s="0" t="n">
        <f aca="false">original_dataset!E179</f>
        <v>29389.32</v>
      </c>
      <c r="F179" s="0" t="n">
        <f aca="false">original_dataset!F179</f>
        <v>7925</v>
      </c>
      <c r="G179" s="0" t="n">
        <f aca="false">original_dataset!G179</f>
        <v>0.177</v>
      </c>
      <c r="H179" s="0" t="n">
        <f aca="false">original_dataset!H179</f>
        <v>21</v>
      </c>
      <c r="I179" s="0" t="n">
        <f aca="false">original_dataset!I179</f>
        <v>90.9</v>
      </c>
      <c r="J179" s="0" t="n">
        <f aca="false">IF(ISBLANK(original_dataset!J179),MEDIAN(original_dataset!$J$2:$J$321),original_dataset!J179)</f>
        <v>7.86</v>
      </c>
      <c r="K179" s="0" t="n">
        <f aca="false">original_dataset!K179</f>
        <v>0</v>
      </c>
      <c r="L179" s="0" t="n">
        <f aca="false">IF(ISBLANK(original_dataset!L179),MEDIAN(original_dataset!$L$2:$L$321),original_dataset!L179)</f>
        <v>4</v>
      </c>
      <c r="M179" s="0" t="n">
        <f aca="false">original_dataset!M179</f>
        <v>783582</v>
      </c>
      <c r="N179" s="0" t="n">
        <f aca="false">original_dataset!N179</f>
        <v>130670.93</v>
      </c>
      <c r="O179" s="0" t="str">
        <f aca="false">IF(ISBLANK(original_dataset!J179),"Yes","No")</f>
        <v>No</v>
      </c>
      <c r="P179" s="0" t="str">
        <f aca="false">IF(ISBLANK(original_dataset!L179),"Yes","No")</f>
        <v>No</v>
      </c>
    </row>
    <row r="180" customFormat="false" ht="15" hidden="false" customHeight="false" outlineLevel="0" collapsed="false">
      <c r="A180" s="0" t="str">
        <f aca="false">original_dataset!A180</f>
        <v>STR-1045</v>
      </c>
      <c r="B180" s="0" t="str">
        <f aca="false">original_dataset!B180</f>
        <v>2025-03-01</v>
      </c>
      <c r="C180" s="0" t="str">
        <f aca="false">original_dataset!C180</f>
        <v>West</v>
      </c>
      <c r="D180" s="0" t="str">
        <f aca="false">original_dataset!D180</f>
        <v>Airport</v>
      </c>
      <c r="E180" s="0" t="n">
        <f aca="false">original_dataset!E180</f>
        <v>40535.09</v>
      </c>
      <c r="F180" s="0" t="n">
        <f aca="false">original_dataset!F180</f>
        <v>8870</v>
      </c>
      <c r="G180" s="0" t="n">
        <f aca="false">original_dataset!G180</f>
        <v>0.041</v>
      </c>
      <c r="H180" s="0" t="n">
        <f aca="false">original_dataset!H180</f>
        <v>21</v>
      </c>
      <c r="I180" s="0" t="n">
        <f aca="false">original_dataset!I180</f>
        <v>86.6</v>
      </c>
      <c r="J180" s="0" t="n">
        <f aca="false">IF(ISBLANK(original_dataset!J180),MEDIAN(original_dataset!$J$2:$J$321),original_dataset!J180)</f>
        <v>0.3</v>
      </c>
      <c r="K180" s="0" t="n">
        <f aca="false">original_dataset!K180</f>
        <v>0</v>
      </c>
      <c r="L180" s="0" t="n">
        <f aca="false">IF(ISBLANK(original_dataset!L180),MEDIAN(original_dataset!$L$2:$L$321),original_dataset!L180)</f>
        <v>4.1</v>
      </c>
      <c r="M180" s="0" t="n">
        <f aca="false">original_dataset!M180</f>
        <v>781955.52</v>
      </c>
      <c r="N180" s="0" t="n">
        <f aca="false">original_dataset!N180</f>
        <v>152578.71</v>
      </c>
      <c r="O180" s="0" t="str">
        <f aca="false">IF(ISBLANK(original_dataset!J180),"Yes","No")</f>
        <v>No</v>
      </c>
      <c r="P180" s="0" t="str">
        <f aca="false">IF(ISBLANK(original_dataset!L180),"Yes","No")</f>
        <v>No</v>
      </c>
    </row>
    <row r="181" customFormat="false" ht="15" hidden="false" customHeight="false" outlineLevel="0" collapsed="false">
      <c r="A181" s="0" t="str">
        <f aca="false">original_dataset!A181</f>
        <v>STR-1045</v>
      </c>
      <c r="B181" s="0" t="str">
        <f aca="false">original_dataset!B181</f>
        <v>2025-04-01</v>
      </c>
      <c r="C181" s="0" t="str">
        <f aca="false">original_dataset!C181</f>
        <v>West</v>
      </c>
      <c r="D181" s="0" t="str">
        <f aca="false">original_dataset!D181</f>
        <v>Airport</v>
      </c>
      <c r="E181" s="0" t="n">
        <f aca="false">original_dataset!E181</f>
        <v>74881.56</v>
      </c>
      <c r="F181" s="0" t="n">
        <f aca="false">original_dataset!F181</f>
        <v>9999</v>
      </c>
      <c r="G181" s="0" t="n">
        <f aca="false">original_dataset!G181</f>
        <v>0.013</v>
      </c>
      <c r="H181" s="0" t="n">
        <f aca="false">original_dataset!H181</f>
        <v>20</v>
      </c>
      <c r="I181" s="0" t="n">
        <f aca="false">original_dataset!I181</f>
        <v>89.6</v>
      </c>
      <c r="J181" s="0" t="n">
        <f aca="false">IF(ISBLANK(original_dataset!J181),MEDIAN(original_dataset!$J$2:$J$321),original_dataset!J181)</f>
        <v>8.44</v>
      </c>
      <c r="K181" s="0" t="n">
        <f aca="false">original_dataset!K181</f>
        <v>0</v>
      </c>
      <c r="L181" s="0" t="n">
        <f aca="false">IF(ISBLANK(original_dataset!L181),MEDIAN(original_dataset!$L$2:$L$321),original_dataset!L181)</f>
        <v>4.1</v>
      </c>
      <c r="M181" s="0" t="n">
        <f aca="false">original_dataset!M181</f>
        <v>898031.04</v>
      </c>
      <c r="N181" s="0" t="n">
        <f aca="false">original_dataset!N181</f>
        <v>138666.5</v>
      </c>
      <c r="O181" s="0" t="str">
        <f aca="false">IF(ISBLANK(original_dataset!J181),"Yes","No")</f>
        <v>No</v>
      </c>
      <c r="P181" s="0" t="str">
        <f aca="false">IF(ISBLANK(original_dataset!L181),"Yes","No")</f>
        <v>No</v>
      </c>
    </row>
    <row r="182" customFormat="false" ht="15" hidden="false" customHeight="false" outlineLevel="0" collapsed="false">
      <c r="A182" s="0" t="str">
        <f aca="false">original_dataset!A182</f>
        <v>STR-1046</v>
      </c>
      <c r="B182" s="0" t="str">
        <f aca="false">original_dataset!B182</f>
        <v>2025-01-01</v>
      </c>
      <c r="C182" s="0" t="str">
        <f aca="false">original_dataset!C182</f>
        <v>West</v>
      </c>
      <c r="D182" s="0" t="str">
        <f aca="false">original_dataset!D182</f>
        <v>Residential</v>
      </c>
      <c r="E182" s="0" t="n">
        <f aca="false">original_dataset!E182</f>
        <v>68491.11</v>
      </c>
      <c r="F182" s="0" t="n">
        <f aca="false">original_dataset!F182</f>
        <v>11154</v>
      </c>
      <c r="G182" s="0" t="n">
        <f aca="false">original_dataset!G182</f>
        <v>0.001</v>
      </c>
      <c r="H182" s="0" t="n">
        <f aca="false">original_dataset!H182</f>
        <v>24</v>
      </c>
      <c r="I182" s="0" t="n">
        <f aca="false">original_dataset!I182</f>
        <v>89.4</v>
      </c>
      <c r="J182" s="0" t="n">
        <f aca="false">IF(ISBLANK(original_dataset!J182),MEDIAN(original_dataset!$J$2:$J$321),original_dataset!J182)</f>
        <v>5.27</v>
      </c>
      <c r="K182" s="0" t="n">
        <f aca="false">original_dataset!K182</f>
        <v>1</v>
      </c>
      <c r="L182" s="0" t="n">
        <f aca="false">IF(ISBLANK(original_dataset!L182),MEDIAN(original_dataset!$L$2:$L$321),original_dataset!L182)</f>
        <v>3.9</v>
      </c>
      <c r="M182" s="0" t="n">
        <f aca="false">original_dataset!M182</f>
        <v>855341.28</v>
      </c>
      <c r="N182" s="0" t="n">
        <f aca="false">original_dataset!N182</f>
        <v>175823.8</v>
      </c>
      <c r="O182" s="0" t="str">
        <f aca="false">IF(ISBLANK(original_dataset!J182),"Yes","No")</f>
        <v>No</v>
      </c>
      <c r="P182" s="0" t="str">
        <f aca="false">IF(ISBLANK(original_dataset!L182),"Yes","No")</f>
        <v>No</v>
      </c>
    </row>
    <row r="183" customFormat="false" ht="15" hidden="false" customHeight="false" outlineLevel="0" collapsed="false">
      <c r="A183" s="0" t="str">
        <f aca="false">original_dataset!A183</f>
        <v>STR-1046</v>
      </c>
      <c r="B183" s="0" t="str">
        <f aca="false">original_dataset!B183</f>
        <v>2025-02-01</v>
      </c>
      <c r="C183" s="0" t="str">
        <f aca="false">original_dataset!C183</f>
        <v>West</v>
      </c>
      <c r="D183" s="0" t="str">
        <f aca="false">original_dataset!D183</f>
        <v>Residential</v>
      </c>
      <c r="E183" s="0" t="n">
        <f aca="false">original_dataset!E183</f>
        <v>45209.25</v>
      </c>
      <c r="F183" s="0" t="n">
        <f aca="false">original_dataset!F183</f>
        <v>9287</v>
      </c>
      <c r="G183" s="0" t="n">
        <f aca="false">original_dataset!G183</f>
        <v>0.141</v>
      </c>
      <c r="H183" s="0" t="n">
        <f aca="false">original_dataset!H183</f>
        <v>22</v>
      </c>
      <c r="I183" s="0" t="n">
        <f aca="false">original_dataset!I183</f>
        <v>86.4</v>
      </c>
      <c r="J183" s="0" t="n">
        <f aca="false">IF(ISBLANK(original_dataset!J183),MEDIAN(original_dataset!$J$2:$J$321),original_dataset!J183)</f>
        <v>13.22</v>
      </c>
      <c r="K183" s="0" t="n">
        <f aca="false">original_dataset!K183</f>
        <v>0</v>
      </c>
      <c r="L183" s="0" t="n">
        <f aca="false">IF(ISBLANK(original_dataset!L183),MEDIAN(original_dataset!$L$2:$L$321),original_dataset!L183)</f>
        <v>3.6</v>
      </c>
      <c r="M183" s="0" t="n">
        <f aca="false">original_dataset!M183</f>
        <v>751393.88</v>
      </c>
      <c r="N183" s="0" t="n">
        <f aca="false">original_dataset!N183</f>
        <v>91480.32</v>
      </c>
      <c r="O183" s="0" t="str">
        <f aca="false">IF(ISBLANK(original_dataset!J183),"Yes","No")</f>
        <v>No</v>
      </c>
      <c r="P183" s="0" t="str">
        <f aca="false">IF(ISBLANK(original_dataset!L183),"Yes","No")</f>
        <v>No</v>
      </c>
    </row>
    <row r="184" customFormat="false" ht="15" hidden="false" customHeight="false" outlineLevel="0" collapsed="false">
      <c r="A184" s="0" t="str">
        <f aca="false">original_dataset!A184</f>
        <v>STR-1046</v>
      </c>
      <c r="B184" s="0" t="str">
        <f aca="false">original_dataset!B184</f>
        <v>2025-03-01</v>
      </c>
      <c r="C184" s="0" t="str">
        <f aca="false">original_dataset!C184</f>
        <v>West</v>
      </c>
      <c r="D184" s="0" t="str">
        <f aca="false">original_dataset!D184</f>
        <v>Residential</v>
      </c>
      <c r="E184" s="0" t="n">
        <f aca="false">original_dataset!E184</f>
        <v>63010.23</v>
      </c>
      <c r="F184" s="0" t="n">
        <f aca="false">original_dataset!F184</f>
        <v>9812</v>
      </c>
      <c r="G184" s="0" t="n">
        <f aca="false">original_dataset!G184</f>
        <v>0.113</v>
      </c>
      <c r="H184" s="0" t="n">
        <f aca="false">original_dataset!H184</f>
        <v>24</v>
      </c>
      <c r="I184" s="0" t="n">
        <f aca="false">original_dataset!I184</f>
        <v>76.8</v>
      </c>
      <c r="J184" s="0" t="n">
        <f aca="false">IF(ISBLANK(original_dataset!J184),MEDIAN(original_dataset!$J$2:$J$321),original_dataset!J184)</f>
        <v>1.02</v>
      </c>
      <c r="K184" s="0" t="n">
        <f aca="false">original_dataset!K184</f>
        <v>1</v>
      </c>
      <c r="L184" s="0" t="n">
        <f aca="false">IF(ISBLANK(original_dataset!L184),MEDIAN(original_dataset!$L$2:$L$321),original_dataset!L184)</f>
        <v>3.8</v>
      </c>
      <c r="M184" s="0" t="n">
        <f aca="false">original_dataset!M184</f>
        <v>761077.08</v>
      </c>
      <c r="N184" s="0" t="n">
        <f aca="false">original_dataset!N184</f>
        <v>113605.93</v>
      </c>
      <c r="O184" s="0" t="str">
        <f aca="false">IF(ISBLANK(original_dataset!J184),"Yes","No")</f>
        <v>No</v>
      </c>
      <c r="P184" s="0" t="str">
        <f aca="false">IF(ISBLANK(original_dataset!L184),"Yes","No")</f>
        <v>No</v>
      </c>
    </row>
    <row r="185" customFormat="false" ht="15" hidden="false" customHeight="false" outlineLevel="0" collapsed="false">
      <c r="A185" s="0" t="str">
        <f aca="false">original_dataset!A185</f>
        <v>STR-1046</v>
      </c>
      <c r="B185" s="0" t="str">
        <f aca="false">original_dataset!B185</f>
        <v>2025-04-01</v>
      </c>
      <c r="C185" s="0" t="str">
        <f aca="false">original_dataset!C185</f>
        <v>West</v>
      </c>
      <c r="D185" s="0" t="str">
        <f aca="false">original_dataset!D185</f>
        <v>Residential</v>
      </c>
      <c r="E185" s="0" t="n">
        <f aca="false">original_dataset!E185</f>
        <v>57948.88</v>
      </c>
      <c r="F185" s="0" t="n">
        <f aca="false">original_dataset!F185</f>
        <v>10741</v>
      </c>
      <c r="G185" s="0" t="n">
        <f aca="false">original_dataset!G185</f>
        <v>0.07</v>
      </c>
      <c r="H185" s="0" t="n">
        <f aca="false">original_dataset!H185</f>
        <v>25</v>
      </c>
      <c r="I185" s="0" t="n">
        <f aca="false">original_dataset!I185</f>
        <v>90.1</v>
      </c>
      <c r="J185" s="0" t="n">
        <f aca="false">IF(ISBLANK(original_dataset!J185),MEDIAN(original_dataset!$J$2:$J$321),original_dataset!J185)</f>
        <v>4.03</v>
      </c>
      <c r="K185" s="0" t="n">
        <f aca="false">original_dataset!K185</f>
        <v>0</v>
      </c>
      <c r="L185" s="0" t="n">
        <f aca="false">IF(ISBLANK(original_dataset!L185),MEDIAN(original_dataset!$L$2:$L$321),original_dataset!L185)</f>
        <v>3.1</v>
      </c>
      <c r="M185" s="0" t="n">
        <f aca="false">original_dataset!M185</f>
        <v>819660.59</v>
      </c>
      <c r="N185" s="0" t="n">
        <f aca="false">original_dataset!N185</f>
        <v>172699.95</v>
      </c>
      <c r="O185" s="0" t="str">
        <f aca="false">IF(ISBLANK(original_dataset!J185),"Yes","No")</f>
        <v>No</v>
      </c>
      <c r="P185" s="0" t="str">
        <f aca="false">IF(ISBLANK(original_dataset!L185),"Yes","No")</f>
        <v>No</v>
      </c>
    </row>
    <row r="186" customFormat="false" ht="15" hidden="false" customHeight="false" outlineLevel="0" collapsed="false">
      <c r="A186" s="0" t="str">
        <f aca="false">original_dataset!A186</f>
        <v>STR-1047</v>
      </c>
      <c r="B186" s="0" t="str">
        <f aca="false">original_dataset!B186</f>
        <v>2025-01-01</v>
      </c>
      <c r="C186" s="0" t="str">
        <f aca="false">original_dataset!C186</f>
        <v>North</v>
      </c>
      <c r="D186" s="0" t="str">
        <f aca="false">original_dataset!D186</f>
        <v>High Street</v>
      </c>
      <c r="E186" s="0" t="n">
        <f aca="false">original_dataset!E186</f>
        <v>71941.62</v>
      </c>
      <c r="F186" s="0" t="n">
        <f aca="false">original_dataset!F186</f>
        <v>6084</v>
      </c>
      <c r="G186" s="0" t="n">
        <f aca="false">original_dataset!G186</f>
        <v>0.072</v>
      </c>
      <c r="H186" s="0" t="n">
        <f aca="false">original_dataset!H186</f>
        <v>13</v>
      </c>
      <c r="I186" s="0" t="n">
        <f aca="false">original_dataset!I186</f>
        <v>93.7</v>
      </c>
      <c r="J186" s="0" t="n">
        <f aca="false">IF(ISBLANK(original_dataset!J186),MEDIAN(original_dataset!$J$2:$J$321),original_dataset!J186)</f>
        <v>2.34</v>
      </c>
      <c r="K186" s="0" t="n">
        <f aca="false">original_dataset!K186</f>
        <v>0</v>
      </c>
      <c r="L186" s="0" t="n">
        <f aca="false">IF(ISBLANK(original_dataset!L186),MEDIAN(original_dataset!$L$2:$L$321),original_dataset!L186)</f>
        <v>4.4</v>
      </c>
      <c r="M186" s="0" t="n">
        <f aca="false">original_dataset!M186</f>
        <v>681855.56</v>
      </c>
      <c r="N186" s="0" t="n">
        <f aca="false">original_dataset!N186</f>
        <v>117645.61</v>
      </c>
      <c r="O186" s="0" t="str">
        <f aca="false">IF(ISBLANK(original_dataset!J186),"Yes","No")</f>
        <v>No</v>
      </c>
      <c r="P186" s="0" t="str">
        <f aca="false">IF(ISBLANK(original_dataset!L186),"Yes","No")</f>
        <v>No</v>
      </c>
    </row>
    <row r="187" customFormat="false" ht="15" hidden="false" customHeight="false" outlineLevel="0" collapsed="false">
      <c r="A187" s="0" t="str">
        <f aca="false">original_dataset!A187</f>
        <v>STR-1047</v>
      </c>
      <c r="B187" s="0" t="str">
        <f aca="false">original_dataset!B187</f>
        <v>2025-02-01</v>
      </c>
      <c r="C187" s="0" t="str">
        <f aca="false">original_dataset!C187</f>
        <v>North</v>
      </c>
      <c r="D187" s="0" t="str">
        <f aca="false">original_dataset!D187</f>
        <v>High Street</v>
      </c>
      <c r="E187" s="0" t="n">
        <f aca="false">original_dataset!E187</f>
        <v>57147.88</v>
      </c>
      <c r="F187" s="0" t="n">
        <f aca="false">original_dataset!F187</f>
        <v>5252</v>
      </c>
      <c r="G187" s="0" t="n">
        <f aca="false">original_dataset!G187</f>
        <v>0.161</v>
      </c>
      <c r="H187" s="0" t="n">
        <f aca="false">original_dataset!H187</f>
        <v>15</v>
      </c>
      <c r="I187" s="0" t="n">
        <f aca="false">original_dataset!I187</f>
        <v>95.5</v>
      </c>
      <c r="J187" s="0" t="n">
        <f aca="false">IF(ISBLANK(original_dataset!J187),MEDIAN(original_dataset!$J$2:$J$321),original_dataset!J187)</f>
        <v>8.51</v>
      </c>
      <c r="K187" s="0" t="n">
        <f aca="false">original_dataset!K187</f>
        <v>0</v>
      </c>
      <c r="L187" s="0" t="n">
        <f aca="false">IF(ISBLANK(original_dataset!L187),MEDIAN(original_dataset!$L$2:$L$321),original_dataset!L187)</f>
        <v>4.4</v>
      </c>
      <c r="M187" s="0" t="n">
        <f aca="false">original_dataset!M187</f>
        <v>678311.17</v>
      </c>
      <c r="N187" s="0" t="n">
        <f aca="false">original_dataset!N187</f>
        <v>132029.76</v>
      </c>
      <c r="O187" s="0" t="str">
        <f aca="false">IF(ISBLANK(original_dataset!J187),"Yes","No")</f>
        <v>No</v>
      </c>
      <c r="P187" s="0" t="str">
        <f aca="false">IF(ISBLANK(original_dataset!L187),"Yes","No")</f>
        <v>No</v>
      </c>
    </row>
    <row r="188" customFormat="false" ht="15" hidden="false" customHeight="false" outlineLevel="0" collapsed="false">
      <c r="A188" s="0" t="str">
        <f aca="false">original_dataset!A188</f>
        <v>STR-1047</v>
      </c>
      <c r="B188" s="0" t="str">
        <f aca="false">original_dataset!B188</f>
        <v>2025-03-01</v>
      </c>
      <c r="C188" s="0" t="str">
        <f aca="false">original_dataset!C188</f>
        <v>North</v>
      </c>
      <c r="D188" s="0" t="str">
        <f aca="false">original_dataset!D188</f>
        <v>High Street</v>
      </c>
      <c r="E188" s="0" t="n">
        <f aca="false">original_dataset!E188</f>
        <v>48031.74</v>
      </c>
      <c r="F188" s="0" t="n">
        <f aca="false">original_dataset!F188</f>
        <v>6516</v>
      </c>
      <c r="G188" s="0" t="n">
        <f aca="false">original_dataset!G188</f>
        <v>0.067</v>
      </c>
      <c r="H188" s="0" t="n">
        <f aca="false">original_dataset!H188</f>
        <v>14</v>
      </c>
      <c r="I188" s="0" t="n">
        <f aca="false">original_dataset!I188</f>
        <v>99</v>
      </c>
      <c r="J188" s="0" t="n">
        <f aca="false">IF(ISBLANK(original_dataset!J188),MEDIAN(original_dataset!$J$2:$J$321),original_dataset!J188)</f>
        <v>0.48</v>
      </c>
      <c r="K188" s="0" t="n">
        <f aca="false">original_dataset!K188</f>
        <v>1</v>
      </c>
      <c r="L188" s="0" t="n">
        <f aca="false">IF(ISBLANK(original_dataset!L188),MEDIAN(original_dataset!$L$2:$L$321),original_dataset!L188)</f>
        <v>4.3</v>
      </c>
      <c r="M188" s="0" t="n">
        <f aca="false">original_dataset!M188</f>
        <v>765906.95</v>
      </c>
      <c r="N188" s="0" t="n">
        <f aca="false">original_dataset!N188</f>
        <v>114005.9</v>
      </c>
      <c r="O188" s="0" t="str">
        <f aca="false">IF(ISBLANK(original_dataset!J188),"Yes","No")</f>
        <v>No</v>
      </c>
      <c r="P188" s="0" t="str">
        <f aca="false">IF(ISBLANK(original_dataset!L188),"Yes","No")</f>
        <v>No</v>
      </c>
    </row>
    <row r="189" customFormat="false" ht="15" hidden="false" customHeight="false" outlineLevel="0" collapsed="false">
      <c r="A189" s="0" t="str">
        <f aca="false">original_dataset!A189</f>
        <v>STR-1047</v>
      </c>
      <c r="B189" s="0" t="str">
        <f aca="false">original_dataset!B189</f>
        <v>2025-04-01</v>
      </c>
      <c r="C189" s="0" t="str">
        <f aca="false">original_dataset!C189</f>
        <v>North</v>
      </c>
      <c r="D189" s="0" t="str">
        <f aca="false">original_dataset!D189</f>
        <v>High Street</v>
      </c>
      <c r="E189" s="0" t="n">
        <f aca="false">original_dataset!E189</f>
        <v>72784.8</v>
      </c>
      <c r="F189" s="0" t="n">
        <f aca="false">original_dataset!F189</f>
        <v>7932</v>
      </c>
      <c r="G189" s="0" t="n">
        <f aca="false">original_dataset!G189</f>
        <v>0.094</v>
      </c>
      <c r="H189" s="0" t="n">
        <f aca="false">original_dataset!H189</f>
        <v>20</v>
      </c>
      <c r="I189" s="0" t="n">
        <f aca="false">original_dataset!I189</f>
        <v>74.9</v>
      </c>
      <c r="J189" s="0" t="n">
        <f aca="false">IF(ISBLANK(original_dataset!J189),MEDIAN(original_dataset!$J$2:$J$321),original_dataset!J189)</f>
        <v>13.62</v>
      </c>
      <c r="K189" s="0" t="n">
        <f aca="false">original_dataset!K189</f>
        <v>0</v>
      </c>
      <c r="L189" s="0" t="n">
        <f aca="false">IF(ISBLANK(original_dataset!L189),MEDIAN(original_dataset!$L$2:$L$321),original_dataset!L189)</f>
        <v>4.2</v>
      </c>
      <c r="M189" s="0" t="n">
        <f aca="false">original_dataset!M189</f>
        <v>712546.38</v>
      </c>
      <c r="N189" s="0" t="n">
        <f aca="false">original_dataset!N189</f>
        <v>101480.04</v>
      </c>
      <c r="O189" s="0" t="str">
        <f aca="false">IF(ISBLANK(original_dataset!J189),"Yes","No")</f>
        <v>No</v>
      </c>
      <c r="P189" s="0" t="str">
        <f aca="false">IF(ISBLANK(original_dataset!L189),"Yes","No")</f>
        <v>No</v>
      </c>
    </row>
    <row r="190" customFormat="false" ht="15" hidden="false" customHeight="false" outlineLevel="0" collapsed="false">
      <c r="A190" s="0" t="str">
        <f aca="false">original_dataset!A190</f>
        <v>STR-1048</v>
      </c>
      <c r="B190" s="0" t="str">
        <f aca="false">original_dataset!B190</f>
        <v>2025-01-01</v>
      </c>
      <c r="C190" s="0" t="str">
        <f aca="false">original_dataset!C190</f>
        <v>East</v>
      </c>
      <c r="D190" s="0" t="str">
        <f aca="false">original_dataset!D190</f>
        <v>High Street</v>
      </c>
      <c r="E190" s="0" t="n">
        <f aca="false">original_dataset!E190</f>
        <v>71641.9</v>
      </c>
      <c r="F190" s="0" t="n">
        <f aca="false">original_dataset!F190</f>
        <v>3506</v>
      </c>
      <c r="G190" s="0" t="n">
        <f aca="false">original_dataset!G190</f>
        <v>0</v>
      </c>
      <c r="H190" s="0" t="n">
        <f aca="false">original_dataset!H190</f>
        <v>11</v>
      </c>
      <c r="I190" s="0" t="n">
        <f aca="false">original_dataset!I190</f>
        <v>86.4</v>
      </c>
      <c r="J190" s="0" t="n">
        <f aca="false">IF(ISBLANK(original_dataset!J190),MEDIAN(original_dataset!$J$2:$J$321),original_dataset!J190)</f>
        <v>7.77</v>
      </c>
      <c r="K190" s="0" t="n">
        <f aca="false">original_dataset!K190</f>
        <v>0</v>
      </c>
      <c r="L190" s="0" t="n">
        <f aca="false">IF(ISBLANK(original_dataset!L190),MEDIAN(original_dataset!$L$2:$L$321),original_dataset!L190)</f>
        <v>4.1</v>
      </c>
      <c r="M190" s="0" t="n">
        <f aca="false">original_dataset!M190</f>
        <v>625993.83</v>
      </c>
      <c r="N190" s="0" t="n">
        <f aca="false">original_dataset!N190</f>
        <v>98960.32</v>
      </c>
      <c r="O190" s="0" t="str">
        <f aca="false">IF(ISBLANK(original_dataset!J190),"Yes","No")</f>
        <v>No</v>
      </c>
      <c r="P190" s="0" t="str">
        <f aca="false">IF(ISBLANK(original_dataset!L190),"Yes","No")</f>
        <v>No</v>
      </c>
    </row>
    <row r="191" customFormat="false" ht="15" hidden="false" customHeight="false" outlineLevel="0" collapsed="false">
      <c r="A191" s="0" t="str">
        <f aca="false">original_dataset!A191</f>
        <v>STR-1048</v>
      </c>
      <c r="B191" s="0" t="str">
        <f aca="false">original_dataset!B191</f>
        <v>2025-02-01</v>
      </c>
      <c r="C191" s="0" t="str">
        <f aca="false">original_dataset!C191</f>
        <v>East</v>
      </c>
      <c r="D191" s="0" t="str">
        <f aca="false">original_dataset!D191</f>
        <v>High Street</v>
      </c>
      <c r="E191" s="0" t="n">
        <f aca="false">original_dataset!E191</f>
        <v>55788.61</v>
      </c>
      <c r="F191" s="0" t="n">
        <f aca="false">original_dataset!F191</f>
        <v>2312</v>
      </c>
      <c r="G191" s="0" t="n">
        <f aca="false">original_dataset!G191</f>
        <v>0.058</v>
      </c>
      <c r="H191" s="0" t="n">
        <f aca="false">original_dataset!H191</f>
        <v>10</v>
      </c>
      <c r="I191" s="0" t="n">
        <f aca="false">original_dataset!I191</f>
        <v>91.3</v>
      </c>
      <c r="J191" s="0" t="n">
        <f aca="false">IF(ISBLANK(original_dataset!J191),MEDIAN(original_dataset!$J$2:$J$321),original_dataset!J191)</f>
        <v>1.99</v>
      </c>
      <c r="K191" s="0" t="n">
        <f aca="false">original_dataset!K191</f>
        <v>0</v>
      </c>
      <c r="L191" s="0" t="n">
        <f aca="false">IF(ISBLANK(original_dataset!L191),MEDIAN(original_dataset!$L$2:$L$321),original_dataset!L191)</f>
        <v>3.8</v>
      </c>
      <c r="M191" s="0" t="n">
        <f aca="false">original_dataset!M191</f>
        <v>550962.93</v>
      </c>
      <c r="N191" s="0" t="n">
        <f aca="false">original_dataset!N191</f>
        <v>97144.58</v>
      </c>
      <c r="O191" s="0" t="str">
        <f aca="false">IF(ISBLANK(original_dataset!J191),"Yes","No")</f>
        <v>No</v>
      </c>
      <c r="P191" s="0" t="str">
        <f aca="false">IF(ISBLANK(original_dataset!L191),"Yes","No")</f>
        <v>No</v>
      </c>
    </row>
    <row r="192" customFormat="false" ht="15" hidden="false" customHeight="false" outlineLevel="0" collapsed="false">
      <c r="A192" s="0" t="str">
        <f aca="false">original_dataset!A192</f>
        <v>STR-1048</v>
      </c>
      <c r="B192" s="0" t="str">
        <f aca="false">original_dataset!B192</f>
        <v>2025-03-01</v>
      </c>
      <c r="C192" s="0" t="str">
        <f aca="false">original_dataset!C192</f>
        <v>East</v>
      </c>
      <c r="D192" s="0" t="str">
        <f aca="false">original_dataset!D192</f>
        <v>High Street</v>
      </c>
      <c r="E192" s="0" t="n">
        <f aca="false">original_dataset!E192</f>
        <v>37705.88</v>
      </c>
      <c r="F192" s="0" t="n">
        <f aca="false">original_dataset!F192</f>
        <v>1268</v>
      </c>
      <c r="G192" s="0" t="n">
        <f aca="false">original_dataset!G192</f>
        <v>0.259</v>
      </c>
      <c r="H192" s="0" t="n">
        <f aca="false">original_dataset!H192</f>
        <v>9</v>
      </c>
      <c r="I192" s="0" t="n">
        <f aca="false">original_dataset!I192</f>
        <v>84.1</v>
      </c>
      <c r="J192" s="0" t="n">
        <f aca="false">IF(ISBLANK(original_dataset!J192),MEDIAN(original_dataset!$J$2:$J$321),original_dataset!J192)</f>
        <v>4.77</v>
      </c>
      <c r="K192" s="0" t="n">
        <f aca="false">original_dataset!K192</f>
        <v>0</v>
      </c>
      <c r="L192" s="0" t="n">
        <f aca="false">IF(ISBLANK(original_dataset!L192),MEDIAN(original_dataset!$L$2:$L$321),original_dataset!L192)</f>
        <v>3.8</v>
      </c>
      <c r="M192" s="0" t="n">
        <f aca="false">original_dataset!M192</f>
        <v>443275.59</v>
      </c>
      <c r="N192" s="0" t="n">
        <f aca="false">original_dataset!N192</f>
        <v>53544.36</v>
      </c>
      <c r="O192" s="0" t="str">
        <f aca="false">IF(ISBLANK(original_dataset!J192),"Yes","No")</f>
        <v>No</v>
      </c>
      <c r="P192" s="0" t="str">
        <f aca="false">IF(ISBLANK(original_dataset!L192),"Yes","No")</f>
        <v>No</v>
      </c>
    </row>
    <row r="193" customFormat="false" ht="15" hidden="false" customHeight="false" outlineLevel="0" collapsed="false">
      <c r="A193" s="0" t="str">
        <f aca="false">original_dataset!A193</f>
        <v>STR-1048</v>
      </c>
      <c r="B193" s="0" t="str">
        <f aca="false">original_dataset!B193</f>
        <v>2025-04-01</v>
      </c>
      <c r="C193" s="0" t="str">
        <f aca="false">original_dataset!C193</f>
        <v>East</v>
      </c>
      <c r="D193" s="0" t="str">
        <f aca="false">original_dataset!D193</f>
        <v>High Street</v>
      </c>
      <c r="E193" s="0" t="n">
        <f aca="false">original_dataset!E193</f>
        <v>54966.18</v>
      </c>
      <c r="F193" s="0" t="n">
        <f aca="false">original_dataset!F193</f>
        <v>4423</v>
      </c>
      <c r="G193" s="0" t="n">
        <f aca="false">original_dataset!G193</f>
        <v>0.186</v>
      </c>
      <c r="H193" s="0" t="n">
        <f aca="false">original_dataset!H193</f>
        <v>13</v>
      </c>
      <c r="I193" s="0" t="n">
        <f aca="false">original_dataset!I193</f>
        <v>88.7</v>
      </c>
      <c r="J193" s="0" t="n">
        <f aca="false">IF(ISBLANK(original_dataset!J193),MEDIAN(original_dataset!$J$2:$J$321),original_dataset!J193)</f>
        <v>0.2</v>
      </c>
      <c r="K193" s="0" t="n">
        <f aca="false">original_dataset!K193</f>
        <v>0</v>
      </c>
      <c r="L193" s="0" t="n">
        <f aca="false">IF(ISBLANK(original_dataset!L193),MEDIAN(original_dataset!$L$2:$L$321),original_dataset!L193)</f>
        <v>4.4</v>
      </c>
      <c r="M193" s="0" t="n">
        <f aca="false">original_dataset!M193</f>
        <v>554012.07</v>
      </c>
      <c r="N193" s="0" t="n">
        <f aca="false">original_dataset!N193</f>
        <v>81101.62</v>
      </c>
      <c r="O193" s="0" t="str">
        <f aca="false">IF(ISBLANK(original_dataset!J193),"Yes","No")</f>
        <v>No</v>
      </c>
      <c r="P193" s="0" t="str">
        <f aca="false">IF(ISBLANK(original_dataset!L193),"Yes","No")</f>
        <v>No</v>
      </c>
    </row>
    <row r="194" customFormat="false" ht="15" hidden="false" customHeight="false" outlineLevel="0" collapsed="false">
      <c r="A194" s="0" t="str">
        <f aca="false">original_dataset!A194</f>
        <v>STR-1049</v>
      </c>
      <c r="B194" s="0" t="str">
        <f aca="false">original_dataset!B194</f>
        <v>2025-01-01</v>
      </c>
      <c r="C194" s="0" t="str">
        <f aca="false">original_dataset!C194</f>
        <v>West</v>
      </c>
      <c r="D194" s="0" t="str">
        <f aca="false">original_dataset!D194</f>
        <v>Residential</v>
      </c>
      <c r="E194" s="0" t="n">
        <f aca="false">original_dataset!E194</f>
        <v>81796.74</v>
      </c>
      <c r="F194" s="0" t="n">
        <f aca="false">original_dataset!F194</f>
        <v>6177</v>
      </c>
      <c r="G194" s="0" t="n">
        <f aca="false">original_dataset!G194</f>
        <v>0.164</v>
      </c>
      <c r="H194" s="0" t="n">
        <f aca="false">original_dataset!H194</f>
        <v>14</v>
      </c>
      <c r="I194" s="0" t="n">
        <f aca="false">original_dataset!I194</f>
        <v>87.9</v>
      </c>
      <c r="J194" s="0" t="n">
        <f aca="false">IF(ISBLANK(original_dataset!J194),MEDIAN(original_dataset!$J$2:$J$321),original_dataset!J194)</f>
        <v>0.53</v>
      </c>
      <c r="K194" s="0" t="n">
        <f aca="false">original_dataset!K194</f>
        <v>0</v>
      </c>
      <c r="L194" s="0" t="n">
        <f aca="false">IF(ISBLANK(original_dataset!L194),MEDIAN(original_dataset!$L$2:$L$321),original_dataset!L194)</f>
        <v>3.2</v>
      </c>
      <c r="M194" s="0" t="n">
        <f aca="false">original_dataset!M194</f>
        <v>643428.85</v>
      </c>
      <c r="N194" s="0" t="n">
        <f aca="false">original_dataset!N194</f>
        <v>94477.63</v>
      </c>
      <c r="O194" s="0" t="str">
        <f aca="false">IF(ISBLANK(original_dataset!J194),"Yes","No")</f>
        <v>No</v>
      </c>
      <c r="P194" s="0" t="str">
        <f aca="false">IF(ISBLANK(original_dataset!L194),"Yes","No")</f>
        <v>No</v>
      </c>
    </row>
    <row r="195" customFormat="false" ht="15" hidden="false" customHeight="false" outlineLevel="0" collapsed="false">
      <c r="A195" s="0" t="str">
        <f aca="false">original_dataset!A195</f>
        <v>STR-1049</v>
      </c>
      <c r="B195" s="0" t="str">
        <f aca="false">original_dataset!B195</f>
        <v>2025-02-01</v>
      </c>
      <c r="C195" s="0" t="str">
        <f aca="false">original_dataset!C195</f>
        <v>West</v>
      </c>
      <c r="D195" s="0" t="str">
        <f aca="false">original_dataset!D195</f>
        <v>Residential</v>
      </c>
      <c r="E195" s="0" t="n">
        <f aca="false">original_dataset!E195</f>
        <v>51133.43</v>
      </c>
      <c r="F195" s="0" t="n">
        <f aca="false">original_dataset!F195</f>
        <v>5150</v>
      </c>
      <c r="G195" s="0" t="n">
        <f aca="false">original_dataset!G195</f>
        <v>0.15</v>
      </c>
      <c r="H195" s="0" t="n">
        <f aca="false">original_dataset!H195</f>
        <v>12</v>
      </c>
      <c r="I195" s="0" t="n">
        <f aca="false">original_dataset!I195</f>
        <v>88.5</v>
      </c>
      <c r="J195" s="0" t="n">
        <f aca="false">IF(ISBLANK(original_dataset!J195),MEDIAN(original_dataset!$J$2:$J$321),original_dataset!J195)</f>
        <v>1.54</v>
      </c>
      <c r="K195" s="0" t="n">
        <f aca="false">original_dataset!K195</f>
        <v>0</v>
      </c>
      <c r="L195" s="0" t="n">
        <f aca="false">IF(ISBLANK(original_dataset!L195),MEDIAN(original_dataset!$L$2:$L$321),original_dataset!L195)</f>
        <v>3.2</v>
      </c>
      <c r="M195" s="0" t="n">
        <f aca="false">original_dataset!M195</f>
        <v>611924.27</v>
      </c>
      <c r="N195" s="0" t="n">
        <f aca="false">original_dataset!N195</f>
        <v>115488.75</v>
      </c>
      <c r="O195" s="0" t="str">
        <f aca="false">IF(ISBLANK(original_dataset!J195),"Yes","No")</f>
        <v>No</v>
      </c>
      <c r="P195" s="0" t="str">
        <f aca="false">IF(ISBLANK(original_dataset!L195),"Yes","No")</f>
        <v>No</v>
      </c>
    </row>
    <row r="196" customFormat="false" ht="15" hidden="false" customHeight="false" outlineLevel="0" collapsed="false">
      <c r="A196" s="0" t="str">
        <f aca="false">original_dataset!A196</f>
        <v>STR-1049</v>
      </c>
      <c r="B196" s="0" t="str">
        <f aca="false">original_dataset!B196</f>
        <v>2025-03-01</v>
      </c>
      <c r="C196" s="0" t="str">
        <f aca="false">original_dataset!C196</f>
        <v>West</v>
      </c>
      <c r="D196" s="0" t="str">
        <f aca="false">original_dataset!D196</f>
        <v>Residential</v>
      </c>
      <c r="E196" s="0" t="n">
        <f aca="false">original_dataset!E196</f>
        <v>40220.18</v>
      </c>
      <c r="F196" s="0" t="n">
        <f aca="false">original_dataset!F196</f>
        <v>3783</v>
      </c>
      <c r="G196" s="0" t="n">
        <f aca="false">original_dataset!G196</f>
        <v>0.089</v>
      </c>
      <c r="H196" s="0" t="n">
        <f aca="false">original_dataset!H196</f>
        <v>14</v>
      </c>
      <c r="I196" s="0" t="n">
        <f aca="false">original_dataset!I196</f>
        <v>86.6</v>
      </c>
      <c r="J196" s="0" t="n">
        <f aca="false">IF(ISBLANK(original_dataset!J196),MEDIAN(original_dataset!$J$2:$J$321),original_dataset!J196)</f>
        <v>3.63</v>
      </c>
      <c r="K196" s="0" t="n">
        <f aca="false">original_dataset!K196</f>
        <v>0</v>
      </c>
      <c r="L196" s="0" t="n">
        <f aca="false">IF(ISBLANK(original_dataset!L196),MEDIAN(original_dataset!$L$2:$L$321),original_dataset!L196)</f>
        <v>3.7</v>
      </c>
      <c r="M196" s="0" t="n">
        <f aca="false">original_dataset!M196</f>
        <v>559422.02</v>
      </c>
      <c r="N196" s="0" t="n">
        <f aca="false">original_dataset!N196</f>
        <v>73528.74</v>
      </c>
      <c r="O196" s="0" t="str">
        <f aca="false">IF(ISBLANK(original_dataset!J196),"Yes","No")</f>
        <v>No</v>
      </c>
      <c r="P196" s="0" t="str">
        <f aca="false">IF(ISBLANK(original_dataset!L196),"Yes","No")</f>
        <v>No</v>
      </c>
    </row>
    <row r="197" customFormat="false" ht="15" hidden="false" customHeight="false" outlineLevel="0" collapsed="false">
      <c r="A197" s="0" t="str">
        <f aca="false">original_dataset!A197</f>
        <v>STR-1049</v>
      </c>
      <c r="B197" s="0" t="str">
        <f aca="false">original_dataset!B197</f>
        <v>2025-04-01</v>
      </c>
      <c r="C197" s="0" t="str">
        <f aca="false">original_dataset!C197</f>
        <v>West</v>
      </c>
      <c r="D197" s="0" t="str">
        <f aca="false">original_dataset!D197</f>
        <v>Residential</v>
      </c>
      <c r="E197" s="0" t="n">
        <f aca="false">original_dataset!E197</f>
        <v>41657.64</v>
      </c>
      <c r="F197" s="0" t="n">
        <f aca="false">original_dataset!F197</f>
        <v>3135</v>
      </c>
      <c r="G197" s="0" t="n">
        <f aca="false">original_dataset!G197</f>
        <v>0.229</v>
      </c>
      <c r="H197" s="0" t="n">
        <f aca="false">original_dataset!H197</f>
        <v>7</v>
      </c>
      <c r="I197" s="0" t="n">
        <f aca="false">original_dataset!I197</f>
        <v>85.4</v>
      </c>
      <c r="J197" s="0" t="n">
        <f aca="false">IF(ISBLANK(original_dataset!J197),MEDIAN(original_dataset!$J$2:$J$321),original_dataset!J197)</f>
        <v>13.48</v>
      </c>
      <c r="K197" s="0" t="n">
        <f aca="false">original_dataset!K197</f>
        <v>0</v>
      </c>
      <c r="L197" s="0" t="n">
        <f aca="false">IF(ISBLANK(original_dataset!L197),MEDIAN(original_dataset!$L$2:$L$321),original_dataset!L197)</f>
        <v>3.9</v>
      </c>
      <c r="M197" s="0" t="n">
        <f aca="false">original_dataset!M197</f>
        <v>449465.06</v>
      </c>
      <c r="N197" s="0" t="n">
        <f aca="false">original_dataset!N197</f>
        <v>65694.78</v>
      </c>
      <c r="O197" s="0" t="str">
        <f aca="false">IF(ISBLANK(original_dataset!J197),"Yes","No")</f>
        <v>No</v>
      </c>
      <c r="P197" s="0" t="str">
        <f aca="false">IF(ISBLANK(original_dataset!L197),"Yes","No")</f>
        <v>Yes</v>
      </c>
    </row>
    <row r="198" customFormat="false" ht="15" hidden="false" customHeight="false" outlineLevel="0" collapsed="false">
      <c r="A198" s="0" t="str">
        <f aca="false">original_dataset!A198</f>
        <v>STR-1050</v>
      </c>
      <c r="B198" s="0" t="str">
        <f aca="false">original_dataset!B198</f>
        <v>2025-01-01</v>
      </c>
      <c r="C198" s="0" t="str">
        <f aca="false">original_dataset!C198</f>
        <v>North</v>
      </c>
      <c r="D198" s="0" t="str">
        <f aca="false">original_dataset!D198</f>
        <v>Residential</v>
      </c>
      <c r="E198" s="0" t="n">
        <f aca="false">original_dataset!E198</f>
        <v>71851.45</v>
      </c>
      <c r="F198" s="0" t="n">
        <f aca="false">original_dataset!F198</f>
        <v>4970</v>
      </c>
      <c r="G198" s="0" t="n">
        <f aca="false">original_dataset!G198</f>
        <v>0.098</v>
      </c>
      <c r="H198" s="0" t="n">
        <f aca="false">original_dataset!H198</f>
        <v>11</v>
      </c>
      <c r="I198" s="0" t="n">
        <f aca="false">original_dataset!I198</f>
        <v>89.6</v>
      </c>
      <c r="J198" s="0" t="n">
        <f aca="false">IF(ISBLANK(original_dataset!J198),MEDIAN(original_dataset!$J$2:$J$321),original_dataset!J198)</f>
        <v>0.2</v>
      </c>
      <c r="K198" s="0" t="n">
        <f aca="false">original_dataset!K198</f>
        <v>0</v>
      </c>
      <c r="L198" s="0" t="n">
        <f aca="false">IF(ISBLANK(original_dataset!L198),MEDIAN(original_dataset!$L$2:$L$321),original_dataset!L198)</f>
        <v>4.2</v>
      </c>
      <c r="M198" s="0" t="n">
        <f aca="false">original_dataset!M198</f>
        <v>691447.43</v>
      </c>
      <c r="N198" s="0" t="n">
        <f aca="false">original_dataset!N198</f>
        <v>114077.69</v>
      </c>
      <c r="O198" s="0" t="str">
        <f aca="false">IF(ISBLANK(original_dataset!J198),"Yes","No")</f>
        <v>No</v>
      </c>
      <c r="P198" s="0" t="str">
        <f aca="false">IF(ISBLANK(original_dataset!L198),"Yes","No")</f>
        <v>No</v>
      </c>
    </row>
    <row r="199" customFormat="false" ht="15" hidden="false" customHeight="false" outlineLevel="0" collapsed="false">
      <c r="A199" s="0" t="str">
        <f aca="false">original_dataset!A199</f>
        <v>STR-1050</v>
      </c>
      <c r="B199" s="0" t="str">
        <f aca="false">original_dataset!B199</f>
        <v>2025-02-01</v>
      </c>
      <c r="C199" s="0" t="str">
        <f aca="false">original_dataset!C199</f>
        <v>North</v>
      </c>
      <c r="D199" s="0" t="str">
        <f aca="false">original_dataset!D199</f>
        <v>Residential</v>
      </c>
      <c r="E199" s="0" t="n">
        <f aca="false">original_dataset!E199</f>
        <v>54002.83</v>
      </c>
      <c r="F199" s="0" t="n">
        <f aca="false">original_dataset!F199</f>
        <v>4366</v>
      </c>
      <c r="G199" s="0" t="n">
        <f aca="false">original_dataset!G199</f>
        <v>0.027</v>
      </c>
      <c r="H199" s="0" t="n">
        <f aca="false">original_dataset!H199</f>
        <v>15</v>
      </c>
      <c r="I199" s="0" t="n">
        <f aca="false">original_dataset!I199</f>
        <v>90.6</v>
      </c>
      <c r="J199" s="0" t="n">
        <f aca="false">IF(ISBLANK(original_dataset!J199),MEDIAN(original_dataset!$J$2:$J$321),original_dataset!J199)</f>
        <v>12.82</v>
      </c>
      <c r="K199" s="0" t="n">
        <f aca="false">original_dataset!K199</f>
        <v>0</v>
      </c>
      <c r="L199" s="0" t="n">
        <f aca="false">IF(ISBLANK(original_dataset!L199),MEDIAN(original_dataset!$L$2:$L$321),original_dataset!L199)</f>
        <v>4.6</v>
      </c>
      <c r="M199" s="0" t="n">
        <f aca="false">original_dataset!M199</f>
        <v>574066.61</v>
      </c>
      <c r="N199" s="0" t="n">
        <f aca="false">original_dataset!N199</f>
        <v>124674.67</v>
      </c>
      <c r="O199" s="0" t="str">
        <f aca="false">IF(ISBLANK(original_dataset!J199),"Yes","No")</f>
        <v>No</v>
      </c>
      <c r="P199" s="0" t="str">
        <f aca="false">IF(ISBLANK(original_dataset!L199),"Yes","No")</f>
        <v>No</v>
      </c>
    </row>
    <row r="200" customFormat="false" ht="15" hidden="false" customHeight="false" outlineLevel="0" collapsed="false">
      <c r="A200" s="0" t="str">
        <f aca="false">original_dataset!A200</f>
        <v>STR-1050</v>
      </c>
      <c r="B200" s="0" t="str">
        <f aca="false">original_dataset!B200</f>
        <v>2025-03-01</v>
      </c>
      <c r="C200" s="0" t="str">
        <f aca="false">original_dataset!C200</f>
        <v>North</v>
      </c>
      <c r="D200" s="0" t="str">
        <f aca="false">original_dataset!D200</f>
        <v>Residential</v>
      </c>
      <c r="E200" s="0" t="n">
        <f aca="false">original_dataset!E200</f>
        <v>54479.33</v>
      </c>
      <c r="F200" s="0" t="n">
        <f aca="false">original_dataset!F200</f>
        <v>5012</v>
      </c>
      <c r="G200" s="0" t="n">
        <f aca="false">original_dataset!G200</f>
        <v>0.284</v>
      </c>
      <c r="H200" s="0" t="n">
        <f aca="false">original_dataset!H200</f>
        <v>13</v>
      </c>
      <c r="I200" s="0" t="n">
        <f aca="false">original_dataset!I200</f>
        <v>86</v>
      </c>
      <c r="J200" s="0" t="n">
        <f aca="false">IF(ISBLANK(original_dataset!J200),MEDIAN(original_dataset!$J$2:$J$321),original_dataset!J200)</f>
        <v>2.24</v>
      </c>
      <c r="K200" s="0" t="n">
        <f aca="false">original_dataset!K200</f>
        <v>1</v>
      </c>
      <c r="L200" s="0" t="n">
        <f aca="false">IF(ISBLANK(original_dataset!L200),MEDIAN(original_dataset!$L$2:$L$321),original_dataset!L200)</f>
        <v>4.3</v>
      </c>
      <c r="M200" s="0" t="n">
        <f aca="false">original_dataset!M200</f>
        <v>578949.84</v>
      </c>
      <c r="N200" s="0" t="n">
        <f aca="false">original_dataset!N200</f>
        <v>80253.65</v>
      </c>
      <c r="O200" s="0" t="str">
        <f aca="false">IF(ISBLANK(original_dataset!J200),"Yes","No")</f>
        <v>No</v>
      </c>
      <c r="P200" s="0" t="str">
        <f aca="false">IF(ISBLANK(original_dataset!L200),"Yes","No")</f>
        <v>No</v>
      </c>
    </row>
    <row r="201" customFormat="false" ht="15" hidden="false" customHeight="false" outlineLevel="0" collapsed="false">
      <c r="A201" s="0" t="str">
        <f aca="false">original_dataset!A201</f>
        <v>STR-1050</v>
      </c>
      <c r="B201" s="0" t="str">
        <f aca="false">original_dataset!B201</f>
        <v>2025-04-01</v>
      </c>
      <c r="C201" s="0" t="str">
        <f aca="false">original_dataset!C201</f>
        <v>North</v>
      </c>
      <c r="D201" s="0" t="str">
        <f aca="false">original_dataset!D201</f>
        <v>Residential</v>
      </c>
      <c r="E201" s="0" t="n">
        <f aca="false">original_dataset!E201</f>
        <v>61391.8</v>
      </c>
      <c r="F201" s="0" t="n">
        <f aca="false">original_dataset!F201</f>
        <v>5575</v>
      </c>
      <c r="G201" s="0" t="n">
        <f aca="false">original_dataset!G201</f>
        <v>0.189</v>
      </c>
      <c r="H201" s="0" t="n">
        <f aca="false">original_dataset!H201</f>
        <v>18</v>
      </c>
      <c r="I201" s="0" t="n">
        <f aca="false">original_dataset!I201</f>
        <v>90</v>
      </c>
      <c r="J201" s="0" t="n">
        <f aca="false">IF(ISBLANK(original_dataset!J201),MEDIAN(original_dataset!$J$2:$J$321),original_dataset!J201)</f>
        <v>1.8</v>
      </c>
      <c r="K201" s="0" t="n">
        <f aca="false">original_dataset!K201</f>
        <v>0</v>
      </c>
      <c r="L201" s="0" t="n">
        <f aca="false">IF(ISBLANK(original_dataset!L201),MEDIAN(original_dataset!$L$2:$L$321),original_dataset!L201)</f>
        <v>4.8</v>
      </c>
      <c r="M201" s="0" t="n">
        <f aca="false">original_dataset!M201</f>
        <v>735786.64</v>
      </c>
      <c r="N201" s="0" t="n">
        <f aca="false">original_dataset!N201</f>
        <v>126540.66</v>
      </c>
      <c r="O201" s="0" t="str">
        <f aca="false">IF(ISBLANK(original_dataset!J201),"Yes","No")</f>
        <v>No</v>
      </c>
      <c r="P201" s="0" t="str">
        <f aca="false">IF(ISBLANK(original_dataset!L201),"Yes","No")</f>
        <v>No</v>
      </c>
    </row>
    <row r="202" customFormat="false" ht="15" hidden="false" customHeight="false" outlineLevel="0" collapsed="false">
      <c r="A202" s="0" t="str">
        <f aca="false">original_dataset!A202</f>
        <v>STR-1051</v>
      </c>
      <c r="B202" s="0" t="str">
        <f aca="false">original_dataset!B202</f>
        <v>2025-01-01</v>
      </c>
      <c r="C202" s="0" t="str">
        <f aca="false">original_dataset!C202</f>
        <v>East</v>
      </c>
      <c r="D202" s="0" t="str">
        <f aca="false">original_dataset!D202</f>
        <v>Airport</v>
      </c>
      <c r="E202" s="0" t="n">
        <f aca="false">original_dataset!E202</f>
        <v>22312.93</v>
      </c>
      <c r="F202" s="0" t="n">
        <f aca="false">original_dataset!F202</f>
        <v>5955</v>
      </c>
      <c r="G202" s="0" t="n">
        <f aca="false">original_dataset!G202</f>
        <v>0.123</v>
      </c>
      <c r="H202" s="0" t="n">
        <f aca="false">original_dataset!H202</f>
        <v>13</v>
      </c>
      <c r="I202" s="0" t="n">
        <f aca="false">original_dataset!I202</f>
        <v>84.2</v>
      </c>
      <c r="J202" s="0" t="n">
        <f aca="false">IF(ISBLANK(original_dataset!J202),MEDIAN(original_dataset!$J$2:$J$321),original_dataset!J202)</f>
        <v>0.41</v>
      </c>
      <c r="K202" s="0" t="n">
        <f aca="false">original_dataset!K202</f>
        <v>1</v>
      </c>
      <c r="L202" s="0" t="n">
        <f aca="false">IF(ISBLANK(original_dataset!L202),MEDIAN(original_dataset!$L$2:$L$321),original_dataset!L202)</f>
        <v>4.6</v>
      </c>
      <c r="M202" s="0" t="n">
        <f aca="false">original_dataset!M202</f>
        <v>598904.9</v>
      </c>
      <c r="N202" s="0" t="n">
        <f aca="false">original_dataset!N202</f>
        <v>72861</v>
      </c>
      <c r="O202" s="0" t="str">
        <f aca="false">IF(ISBLANK(original_dataset!J202),"Yes","No")</f>
        <v>No</v>
      </c>
      <c r="P202" s="0" t="str">
        <f aca="false">IF(ISBLANK(original_dataset!L202),"Yes","No")</f>
        <v>No</v>
      </c>
    </row>
    <row r="203" customFormat="false" ht="15" hidden="false" customHeight="false" outlineLevel="0" collapsed="false">
      <c r="A203" s="0" t="str">
        <f aca="false">original_dataset!A203</f>
        <v>STR-1051</v>
      </c>
      <c r="B203" s="0" t="str">
        <f aca="false">original_dataset!B203</f>
        <v>2025-02-01</v>
      </c>
      <c r="C203" s="0" t="str">
        <f aca="false">original_dataset!C203</f>
        <v>East</v>
      </c>
      <c r="D203" s="0" t="str">
        <f aca="false">original_dataset!D203</f>
        <v>Airport</v>
      </c>
      <c r="E203" s="0" t="n">
        <f aca="false">original_dataset!E203</f>
        <v>78111.97</v>
      </c>
      <c r="F203" s="0" t="n">
        <f aca="false">original_dataset!F203</f>
        <v>6389</v>
      </c>
      <c r="G203" s="0" t="n">
        <f aca="false">original_dataset!G203</f>
        <v>0.15</v>
      </c>
      <c r="H203" s="0" t="n">
        <f aca="false">original_dataset!H203</f>
        <v>13</v>
      </c>
      <c r="I203" s="0" t="n">
        <f aca="false">original_dataset!I203</f>
        <v>83.9</v>
      </c>
      <c r="J203" s="0" t="n">
        <f aca="false">IF(ISBLANK(original_dataset!J203),MEDIAN(original_dataset!$J$2:$J$321),original_dataset!J203)</f>
        <v>3.05</v>
      </c>
      <c r="K203" s="0" t="n">
        <f aca="false">original_dataset!K203</f>
        <v>0</v>
      </c>
      <c r="L203" s="0" t="n">
        <f aca="false">IF(ISBLANK(original_dataset!L203),MEDIAN(original_dataset!$L$2:$L$321),original_dataset!L203)</f>
        <v>4.8</v>
      </c>
      <c r="M203" s="0" t="n">
        <f aca="false">original_dataset!M203</f>
        <v>787715.51</v>
      </c>
      <c r="N203" s="0" t="n">
        <f aca="false">original_dataset!N203</f>
        <v>128969.62</v>
      </c>
      <c r="O203" s="0" t="str">
        <f aca="false">IF(ISBLANK(original_dataset!J203),"Yes","No")</f>
        <v>No</v>
      </c>
      <c r="P203" s="0" t="str">
        <f aca="false">IF(ISBLANK(original_dataset!L203),"Yes","No")</f>
        <v>No</v>
      </c>
    </row>
    <row r="204" customFormat="false" ht="15" hidden="false" customHeight="false" outlineLevel="0" collapsed="false">
      <c r="A204" s="0" t="str">
        <f aca="false">original_dataset!A204</f>
        <v>STR-1051</v>
      </c>
      <c r="B204" s="0" t="str">
        <f aca="false">original_dataset!B204</f>
        <v>2025-03-01</v>
      </c>
      <c r="C204" s="0" t="str">
        <f aca="false">original_dataset!C204</f>
        <v>East</v>
      </c>
      <c r="D204" s="0" t="str">
        <f aca="false">original_dataset!D204</f>
        <v>Airport</v>
      </c>
      <c r="E204" s="0" t="n">
        <f aca="false">original_dataset!E204</f>
        <v>35203.23</v>
      </c>
      <c r="F204" s="0" t="n">
        <f aca="false">original_dataset!F204</f>
        <v>6896</v>
      </c>
      <c r="G204" s="0" t="n">
        <f aca="false">original_dataset!G204</f>
        <v>0.032</v>
      </c>
      <c r="H204" s="0" t="n">
        <f aca="false">original_dataset!H204</f>
        <v>14</v>
      </c>
      <c r="I204" s="0" t="n">
        <f aca="false">original_dataset!I204</f>
        <v>80.8</v>
      </c>
      <c r="J204" s="0" t="n">
        <f aca="false">IF(ISBLANK(original_dataset!J204),MEDIAN(original_dataset!$J$2:$J$321),original_dataset!J204)</f>
        <v>8.44</v>
      </c>
      <c r="K204" s="0" t="n">
        <f aca="false">original_dataset!K204</f>
        <v>1</v>
      </c>
      <c r="L204" s="0" t="n">
        <f aca="false">IF(ISBLANK(original_dataset!L204),MEDIAN(original_dataset!$L$2:$L$321),original_dataset!L204)</f>
        <v>5</v>
      </c>
      <c r="M204" s="0" t="n">
        <f aca="false">original_dataset!M204</f>
        <v>607084.92</v>
      </c>
      <c r="N204" s="0" t="n">
        <f aca="false">original_dataset!N204</f>
        <v>98558.49</v>
      </c>
      <c r="O204" s="0" t="str">
        <f aca="false">IF(ISBLANK(original_dataset!J204),"Yes","No")</f>
        <v>No</v>
      </c>
      <c r="P204" s="0" t="str">
        <f aca="false">IF(ISBLANK(original_dataset!L204),"Yes","No")</f>
        <v>No</v>
      </c>
    </row>
    <row r="205" customFormat="false" ht="15" hidden="false" customHeight="false" outlineLevel="0" collapsed="false">
      <c r="A205" s="0" t="str">
        <f aca="false">original_dataset!A205</f>
        <v>STR-1051</v>
      </c>
      <c r="B205" s="0" t="str">
        <f aca="false">original_dataset!B205</f>
        <v>2025-04-01</v>
      </c>
      <c r="C205" s="0" t="str">
        <f aca="false">original_dataset!C205</f>
        <v>East</v>
      </c>
      <c r="D205" s="0" t="str">
        <f aca="false">original_dataset!D205</f>
        <v>Airport</v>
      </c>
      <c r="E205" s="0" t="n">
        <f aca="false">original_dataset!E205</f>
        <v>64104.28</v>
      </c>
      <c r="F205" s="0" t="n">
        <f aca="false">original_dataset!F205</f>
        <v>6015</v>
      </c>
      <c r="G205" s="0" t="n">
        <f aca="false">original_dataset!G205</f>
        <v>0.127</v>
      </c>
      <c r="H205" s="0" t="n">
        <f aca="false">original_dataset!H205</f>
        <v>15</v>
      </c>
      <c r="I205" s="0" t="n">
        <f aca="false">original_dataset!I205</f>
        <v>88.7</v>
      </c>
      <c r="J205" s="0" t="n">
        <f aca="false">IF(ISBLANK(original_dataset!J205),MEDIAN(original_dataset!$J$2:$J$321),original_dataset!J205)</f>
        <v>0.78</v>
      </c>
      <c r="K205" s="0" t="n">
        <f aca="false">original_dataset!K205</f>
        <v>0</v>
      </c>
      <c r="L205" s="0" t="n">
        <f aca="false">IF(ISBLANK(original_dataset!L205),MEDIAN(original_dataset!$L$2:$L$321),original_dataset!L205)</f>
        <v>4</v>
      </c>
      <c r="M205" s="0" t="n">
        <f aca="false">original_dataset!M205</f>
        <v>650795.49</v>
      </c>
      <c r="N205" s="0" t="n">
        <f aca="false">original_dataset!N205</f>
        <v>103035.89</v>
      </c>
      <c r="O205" s="0" t="str">
        <f aca="false">IF(ISBLANK(original_dataset!J205),"Yes","No")</f>
        <v>No</v>
      </c>
      <c r="P205" s="0" t="str">
        <f aca="false">IF(ISBLANK(original_dataset!L205),"Yes","No")</f>
        <v>No</v>
      </c>
    </row>
    <row r="206" customFormat="false" ht="15" hidden="false" customHeight="false" outlineLevel="0" collapsed="false">
      <c r="A206" s="0" t="str">
        <f aca="false">original_dataset!A206</f>
        <v>STR-1052</v>
      </c>
      <c r="B206" s="0" t="str">
        <f aca="false">original_dataset!B206</f>
        <v>2025-01-01</v>
      </c>
      <c r="C206" s="0" t="str">
        <f aca="false">original_dataset!C206</f>
        <v>East</v>
      </c>
      <c r="D206" s="0" t="str">
        <f aca="false">original_dataset!D206</f>
        <v>Mall</v>
      </c>
      <c r="E206" s="0" t="n">
        <f aca="false">original_dataset!E206</f>
        <v>92090.14</v>
      </c>
      <c r="F206" s="0" t="n">
        <f aca="false">original_dataset!F206</f>
        <v>9476</v>
      </c>
      <c r="G206" s="0" t="n">
        <f aca="false">original_dataset!G206</f>
        <v>0.07</v>
      </c>
      <c r="H206" s="0" t="n">
        <f aca="false">original_dataset!H206</f>
        <v>24</v>
      </c>
      <c r="I206" s="0" t="n">
        <f aca="false">original_dataset!I206</f>
        <v>94.3</v>
      </c>
      <c r="J206" s="0" t="n">
        <f aca="false">IF(ISBLANK(original_dataset!J206),MEDIAN(original_dataset!$J$2:$J$321),original_dataset!J206)</f>
        <v>0.87</v>
      </c>
      <c r="K206" s="0" t="n">
        <f aca="false">original_dataset!K206</f>
        <v>0</v>
      </c>
      <c r="L206" s="0" t="n">
        <f aca="false">IF(ISBLANK(original_dataset!L206),MEDIAN(original_dataset!$L$2:$L$321),original_dataset!L206)</f>
        <v>3.7</v>
      </c>
      <c r="M206" s="0" t="n">
        <f aca="false">original_dataset!M206</f>
        <v>825060.52</v>
      </c>
      <c r="N206" s="0" t="n">
        <f aca="false">original_dataset!N206</f>
        <v>143613.15</v>
      </c>
      <c r="O206" s="0" t="str">
        <f aca="false">IF(ISBLANK(original_dataset!J206),"Yes","No")</f>
        <v>No</v>
      </c>
      <c r="P206" s="0" t="str">
        <f aca="false">IF(ISBLANK(original_dataset!L206),"Yes","No")</f>
        <v>No</v>
      </c>
    </row>
    <row r="207" customFormat="false" ht="15" hidden="false" customHeight="false" outlineLevel="0" collapsed="false">
      <c r="A207" s="0" t="str">
        <f aca="false">original_dataset!A207</f>
        <v>STR-1052</v>
      </c>
      <c r="B207" s="0" t="str">
        <f aca="false">original_dataset!B207</f>
        <v>2025-02-01</v>
      </c>
      <c r="C207" s="0" t="str">
        <f aca="false">original_dataset!C207</f>
        <v>East</v>
      </c>
      <c r="D207" s="0" t="str">
        <f aca="false">original_dataset!D207</f>
        <v>Mall</v>
      </c>
      <c r="E207" s="0" t="n">
        <f aca="false">original_dataset!E207</f>
        <v>54300.87</v>
      </c>
      <c r="F207" s="0" t="n">
        <f aca="false">original_dataset!F207</f>
        <v>7875</v>
      </c>
      <c r="G207" s="0" t="n">
        <f aca="false">original_dataset!G207</f>
        <v>0.107</v>
      </c>
      <c r="H207" s="0" t="n">
        <f aca="false">original_dataset!H207</f>
        <v>19</v>
      </c>
      <c r="I207" s="0" t="n">
        <f aca="false">original_dataset!I207</f>
        <v>94.1</v>
      </c>
      <c r="J207" s="0" t="n">
        <f aca="false">IF(ISBLANK(original_dataset!J207),MEDIAN(original_dataset!$J$2:$J$321),original_dataset!J207)</f>
        <v>0.95</v>
      </c>
      <c r="K207" s="0" t="n">
        <f aca="false">original_dataset!K207</f>
        <v>0</v>
      </c>
      <c r="L207" s="0" t="n">
        <f aca="false">IF(ISBLANK(original_dataset!L207),MEDIAN(original_dataset!$L$2:$L$321),original_dataset!L207)</f>
        <v>3.7</v>
      </c>
      <c r="M207" s="0" t="n">
        <f aca="false">original_dataset!M207</f>
        <v>795464.47</v>
      </c>
      <c r="N207" s="0" t="n">
        <f aca="false">original_dataset!N207</f>
        <v>161150.52</v>
      </c>
      <c r="O207" s="0" t="str">
        <f aca="false">IF(ISBLANK(original_dataset!J207),"Yes","No")</f>
        <v>No</v>
      </c>
      <c r="P207" s="0" t="str">
        <f aca="false">IF(ISBLANK(original_dataset!L207),"Yes","No")</f>
        <v>No</v>
      </c>
    </row>
    <row r="208" customFormat="false" ht="15" hidden="false" customHeight="false" outlineLevel="0" collapsed="false">
      <c r="A208" s="0" t="str">
        <f aca="false">original_dataset!A208</f>
        <v>STR-1052</v>
      </c>
      <c r="B208" s="0" t="str">
        <f aca="false">original_dataset!B208</f>
        <v>2025-03-01</v>
      </c>
      <c r="C208" s="0" t="str">
        <f aca="false">original_dataset!C208</f>
        <v>East</v>
      </c>
      <c r="D208" s="0" t="str">
        <f aca="false">original_dataset!D208</f>
        <v>Mall</v>
      </c>
      <c r="E208" s="0" t="n">
        <f aca="false">original_dataset!E208</f>
        <v>37983.35</v>
      </c>
      <c r="F208" s="0" t="n">
        <f aca="false">original_dataset!F208</f>
        <v>9283</v>
      </c>
      <c r="G208" s="0" t="n">
        <f aca="false">original_dataset!G208</f>
        <v>0.149</v>
      </c>
      <c r="H208" s="0" t="n">
        <f aca="false">original_dataset!H208</f>
        <v>19</v>
      </c>
      <c r="I208" s="0" t="n">
        <f aca="false">original_dataset!I208</f>
        <v>83.2</v>
      </c>
      <c r="J208" s="0" t="n">
        <f aca="false">IF(ISBLANK(original_dataset!J208),MEDIAN(original_dataset!$J$2:$J$321),original_dataset!J208)</f>
        <v>3.82</v>
      </c>
      <c r="K208" s="0" t="n">
        <f aca="false">original_dataset!K208</f>
        <v>0</v>
      </c>
      <c r="L208" s="0" t="n">
        <f aca="false">IF(ISBLANK(original_dataset!L208),MEDIAN(original_dataset!$L$2:$L$321),original_dataset!L208)</f>
        <v>3.7</v>
      </c>
      <c r="M208" s="0" t="n">
        <f aca="false">original_dataset!M208</f>
        <v>671868.59</v>
      </c>
      <c r="N208" s="0" t="n">
        <f aca="false">original_dataset!N208</f>
        <v>71003.28</v>
      </c>
      <c r="O208" s="0" t="str">
        <f aca="false">IF(ISBLANK(original_dataset!J208),"Yes","No")</f>
        <v>No</v>
      </c>
      <c r="P208" s="0" t="str">
        <f aca="false">IF(ISBLANK(original_dataset!L208),"Yes","No")</f>
        <v>No</v>
      </c>
    </row>
    <row r="209" customFormat="false" ht="15" hidden="false" customHeight="false" outlineLevel="0" collapsed="false">
      <c r="A209" s="0" t="str">
        <f aca="false">original_dataset!A209</f>
        <v>STR-1052</v>
      </c>
      <c r="B209" s="0" t="str">
        <f aca="false">original_dataset!B209</f>
        <v>2025-04-01</v>
      </c>
      <c r="C209" s="0" t="str">
        <f aca="false">original_dataset!C209</f>
        <v>East</v>
      </c>
      <c r="D209" s="0" t="str">
        <f aca="false">original_dataset!D209</f>
        <v>Mall</v>
      </c>
      <c r="E209" s="0" t="n">
        <f aca="false">original_dataset!E209</f>
        <v>56413.83</v>
      </c>
      <c r="F209" s="0" t="n">
        <f aca="false">original_dataset!F209</f>
        <v>8303</v>
      </c>
      <c r="G209" s="0" t="n">
        <f aca="false">original_dataset!G209</f>
        <v>0.116</v>
      </c>
      <c r="H209" s="0" t="n">
        <f aca="false">original_dataset!H209</f>
        <v>18</v>
      </c>
      <c r="I209" s="0" t="n">
        <f aca="false">original_dataset!I209</f>
        <v>93.6</v>
      </c>
      <c r="J209" s="0" t="n">
        <f aca="false">IF(ISBLANK(original_dataset!J209),MEDIAN(original_dataset!$J$2:$J$321),original_dataset!J209)</f>
        <v>2.7</v>
      </c>
      <c r="K209" s="0" t="n">
        <f aca="false">original_dataset!K209</f>
        <v>0</v>
      </c>
      <c r="L209" s="0" t="n">
        <f aca="false">IF(ISBLANK(original_dataset!L209),MEDIAN(original_dataset!$L$2:$L$321),original_dataset!L209)</f>
        <v>3.7</v>
      </c>
      <c r="M209" s="0" t="n">
        <f aca="false">original_dataset!M209</f>
        <v>675917.63</v>
      </c>
      <c r="N209" s="0" t="n">
        <f aca="false">original_dataset!N209</f>
        <v>112564.75</v>
      </c>
      <c r="O209" s="0" t="str">
        <f aca="false">IF(ISBLANK(original_dataset!J209),"Yes","No")</f>
        <v>No</v>
      </c>
      <c r="P209" s="0" t="str">
        <f aca="false">IF(ISBLANK(original_dataset!L209),"Yes","No")</f>
        <v>No</v>
      </c>
    </row>
    <row r="210" customFormat="false" ht="15" hidden="false" customHeight="false" outlineLevel="0" collapsed="false">
      <c r="A210" s="0" t="str">
        <f aca="false">original_dataset!A210</f>
        <v>STR-1053</v>
      </c>
      <c r="B210" s="0" t="str">
        <f aca="false">original_dataset!B210</f>
        <v>2025-01-01</v>
      </c>
      <c r="C210" s="0" t="str">
        <f aca="false">original_dataset!C210</f>
        <v>East</v>
      </c>
      <c r="D210" s="0" t="str">
        <f aca="false">original_dataset!D210</f>
        <v>High Street</v>
      </c>
      <c r="E210" s="0" t="n">
        <f aca="false">original_dataset!E210</f>
        <v>63457.19</v>
      </c>
      <c r="F210" s="0" t="n">
        <f aca="false">original_dataset!F210</f>
        <v>10125</v>
      </c>
      <c r="G210" s="0" t="n">
        <f aca="false">original_dataset!G210</f>
        <v>0.097</v>
      </c>
      <c r="H210" s="0" t="n">
        <f aca="false">original_dataset!H210</f>
        <v>24</v>
      </c>
      <c r="I210" s="0" t="n">
        <f aca="false">original_dataset!I210</f>
        <v>87</v>
      </c>
      <c r="J210" s="0" t="n">
        <f aca="false">IF(ISBLANK(original_dataset!J210),MEDIAN(original_dataset!$J$2:$J$321),original_dataset!J210)</f>
        <v>3.84</v>
      </c>
      <c r="K210" s="0" t="n">
        <f aca="false">original_dataset!K210</f>
        <v>1</v>
      </c>
      <c r="L210" s="0" t="n">
        <f aca="false">IF(ISBLANK(original_dataset!L210),MEDIAN(original_dataset!$L$2:$L$321),original_dataset!L210)</f>
        <v>3.7</v>
      </c>
      <c r="M210" s="0" t="n">
        <f aca="false">original_dataset!M210</f>
        <v>810446.53</v>
      </c>
      <c r="N210" s="0" t="n">
        <f aca="false">original_dataset!N210</f>
        <v>200575.34</v>
      </c>
      <c r="O210" s="0" t="str">
        <f aca="false">IF(ISBLANK(original_dataset!J210),"Yes","No")</f>
        <v>No</v>
      </c>
      <c r="P210" s="0" t="str">
        <f aca="false">IF(ISBLANK(original_dataset!L210),"Yes","No")</f>
        <v>No</v>
      </c>
    </row>
    <row r="211" customFormat="false" ht="15" hidden="false" customHeight="false" outlineLevel="0" collapsed="false">
      <c r="A211" s="0" t="str">
        <f aca="false">original_dataset!A211</f>
        <v>STR-1053</v>
      </c>
      <c r="B211" s="0" t="str">
        <f aca="false">original_dataset!B211</f>
        <v>2025-02-01</v>
      </c>
      <c r="C211" s="0" t="str">
        <f aca="false">original_dataset!C211</f>
        <v>East</v>
      </c>
      <c r="D211" s="0" t="str">
        <f aca="false">original_dataset!D211</f>
        <v>High Street</v>
      </c>
      <c r="E211" s="0" t="n">
        <f aca="false">original_dataset!E211</f>
        <v>62949.7</v>
      </c>
      <c r="F211" s="0" t="n">
        <f aca="false">original_dataset!F211</f>
        <v>9458</v>
      </c>
      <c r="G211" s="0" t="n">
        <f aca="false">original_dataset!G211</f>
        <v>0.171</v>
      </c>
      <c r="H211" s="0" t="n">
        <f aca="false">original_dataset!H211</f>
        <v>19</v>
      </c>
      <c r="I211" s="0" t="n">
        <f aca="false">original_dataset!I211</f>
        <v>84.9</v>
      </c>
      <c r="J211" s="0" t="n">
        <f aca="false">IF(ISBLANK(original_dataset!J211),MEDIAN(original_dataset!$J$2:$J$321),original_dataset!J211)</f>
        <v>5.09</v>
      </c>
      <c r="K211" s="0" t="n">
        <f aca="false">original_dataset!K211</f>
        <v>0</v>
      </c>
      <c r="L211" s="0" t="n">
        <f aca="false">IF(ISBLANK(original_dataset!L211),MEDIAN(original_dataset!$L$2:$L$321),original_dataset!L211)</f>
        <v>3.3</v>
      </c>
      <c r="M211" s="0" t="n">
        <f aca="false">original_dataset!M211</f>
        <v>691288.19</v>
      </c>
      <c r="N211" s="0" t="n">
        <f aca="false">original_dataset!N211</f>
        <v>159074.14</v>
      </c>
      <c r="O211" s="0" t="str">
        <f aca="false">IF(ISBLANK(original_dataset!J211),"Yes","No")</f>
        <v>No</v>
      </c>
      <c r="P211" s="0" t="str">
        <f aca="false">IF(ISBLANK(original_dataset!L211),"Yes","No")</f>
        <v>No</v>
      </c>
    </row>
    <row r="212" customFormat="false" ht="15" hidden="false" customHeight="false" outlineLevel="0" collapsed="false">
      <c r="A212" s="0" t="str">
        <f aca="false">original_dataset!A212</f>
        <v>STR-1053</v>
      </c>
      <c r="B212" s="0" t="str">
        <f aca="false">original_dataset!B212</f>
        <v>2025-03-01</v>
      </c>
      <c r="C212" s="0" t="str">
        <f aca="false">original_dataset!C212</f>
        <v>East</v>
      </c>
      <c r="D212" s="0" t="str">
        <f aca="false">original_dataset!D212</f>
        <v>High Street</v>
      </c>
      <c r="E212" s="0" t="n">
        <f aca="false">original_dataset!E212</f>
        <v>107970.19</v>
      </c>
      <c r="F212" s="0" t="n">
        <f aca="false">original_dataset!F212</f>
        <v>12870</v>
      </c>
      <c r="G212" s="0" t="n">
        <f aca="false">original_dataset!G212</f>
        <v>0.029</v>
      </c>
      <c r="H212" s="0" t="n">
        <f aca="false">original_dataset!H212</f>
        <v>31</v>
      </c>
      <c r="I212" s="0" t="n">
        <f aca="false">original_dataset!I212</f>
        <v>91.7</v>
      </c>
      <c r="J212" s="0" t="n">
        <f aca="false">IF(ISBLANK(original_dataset!J212),MEDIAN(original_dataset!$J$2:$J$321),original_dataset!J212)</f>
        <v>3.82</v>
      </c>
      <c r="K212" s="0" t="n">
        <f aca="false">original_dataset!K212</f>
        <v>1</v>
      </c>
      <c r="L212" s="0" t="n">
        <f aca="false">IF(ISBLANK(original_dataset!L212),MEDIAN(original_dataset!$L$2:$L$321),original_dataset!L212)</f>
        <v>3.7</v>
      </c>
      <c r="M212" s="0" t="n">
        <f aca="false">original_dataset!M212</f>
        <v>946833.54</v>
      </c>
      <c r="N212" s="0" t="n">
        <f aca="false">original_dataset!N212</f>
        <v>184540.31</v>
      </c>
      <c r="O212" s="0" t="str">
        <f aca="false">IF(ISBLANK(original_dataset!J212),"Yes","No")</f>
        <v>No</v>
      </c>
      <c r="P212" s="0" t="str">
        <f aca="false">IF(ISBLANK(original_dataset!L212),"Yes","No")</f>
        <v>No</v>
      </c>
    </row>
    <row r="213" customFormat="false" ht="15" hidden="false" customHeight="false" outlineLevel="0" collapsed="false">
      <c r="A213" s="0" t="str">
        <f aca="false">original_dataset!A213</f>
        <v>STR-1053</v>
      </c>
      <c r="B213" s="0" t="str">
        <f aca="false">original_dataset!B213</f>
        <v>2025-04-01</v>
      </c>
      <c r="C213" s="0" t="str">
        <f aca="false">original_dataset!C213</f>
        <v>East</v>
      </c>
      <c r="D213" s="0" t="str">
        <f aca="false">original_dataset!D213</f>
        <v>High Street</v>
      </c>
      <c r="E213" s="0" t="n">
        <f aca="false">original_dataset!E213</f>
        <v>49405.75</v>
      </c>
      <c r="F213" s="0" t="n">
        <f aca="false">original_dataset!F213</f>
        <v>9752</v>
      </c>
      <c r="G213" s="0" t="n">
        <f aca="false">original_dataset!G213</f>
        <v>0.093</v>
      </c>
      <c r="H213" s="0" t="n">
        <f aca="false">original_dataset!H213</f>
        <v>21</v>
      </c>
      <c r="I213" s="0" t="n">
        <f aca="false">original_dataset!I213</f>
        <v>87</v>
      </c>
      <c r="J213" s="0" t="n">
        <f aca="false">IF(ISBLANK(original_dataset!J213),MEDIAN(original_dataset!$J$2:$J$321),original_dataset!J213)</f>
        <v>12.28</v>
      </c>
      <c r="K213" s="0" t="n">
        <f aca="false">original_dataset!K213</f>
        <v>0</v>
      </c>
      <c r="L213" s="0" t="n">
        <f aca="false">IF(ISBLANK(original_dataset!L213),MEDIAN(original_dataset!$L$2:$L$321),original_dataset!L213)</f>
        <v>4.1</v>
      </c>
      <c r="M213" s="0" t="n">
        <f aca="false">original_dataset!M213</f>
        <v>761963.23</v>
      </c>
      <c r="N213" s="0" t="n">
        <f aca="false">original_dataset!N213</f>
        <v>150113.61</v>
      </c>
      <c r="O213" s="0" t="str">
        <f aca="false">IF(ISBLANK(original_dataset!J213),"Yes","No")</f>
        <v>No</v>
      </c>
      <c r="P213" s="0" t="str">
        <f aca="false">IF(ISBLANK(original_dataset!L213),"Yes","No")</f>
        <v>No</v>
      </c>
    </row>
    <row r="214" customFormat="false" ht="15" hidden="false" customHeight="false" outlineLevel="0" collapsed="false">
      <c r="A214" s="0" t="str">
        <f aca="false">original_dataset!A214</f>
        <v>STR-1054</v>
      </c>
      <c r="B214" s="0" t="str">
        <f aca="false">original_dataset!B214</f>
        <v>2025-01-01</v>
      </c>
      <c r="C214" s="0" t="str">
        <f aca="false">original_dataset!C214</f>
        <v>West</v>
      </c>
      <c r="D214" s="0" t="str">
        <f aca="false">original_dataset!D214</f>
        <v>Residential</v>
      </c>
      <c r="E214" s="0" t="n">
        <f aca="false">original_dataset!E214</f>
        <v>50887.46</v>
      </c>
      <c r="F214" s="0" t="n">
        <f aca="false">original_dataset!F214</f>
        <v>9505</v>
      </c>
      <c r="G214" s="0" t="n">
        <f aca="false">original_dataset!G214</f>
        <v>0.091</v>
      </c>
      <c r="H214" s="0" t="n">
        <f aca="false">original_dataset!H214</f>
        <v>25</v>
      </c>
      <c r="I214" s="0" t="n">
        <f aca="false">original_dataset!I214</f>
        <v>89.7</v>
      </c>
      <c r="J214" s="0" t="n">
        <f aca="false">IF(ISBLANK(original_dataset!J214),MEDIAN(original_dataset!$J$2:$J$321),original_dataset!J214)</f>
        <v>2.8</v>
      </c>
      <c r="K214" s="0" t="n">
        <f aca="false">original_dataset!K214</f>
        <v>0</v>
      </c>
      <c r="L214" s="0" t="n">
        <f aca="false">IF(ISBLANK(original_dataset!L214),MEDIAN(original_dataset!$L$2:$L$321),original_dataset!L214)</f>
        <v>4.3</v>
      </c>
      <c r="M214" s="0" t="n">
        <f aca="false">original_dataset!M214</f>
        <v>812152.6</v>
      </c>
      <c r="N214" s="0" t="n">
        <f aca="false">original_dataset!N214</f>
        <v>138419.43</v>
      </c>
      <c r="O214" s="0" t="str">
        <f aca="false">IF(ISBLANK(original_dataset!J214),"Yes","No")</f>
        <v>No</v>
      </c>
      <c r="P214" s="0" t="str">
        <f aca="false">IF(ISBLANK(original_dataset!L214),"Yes","No")</f>
        <v>No</v>
      </c>
    </row>
    <row r="215" customFormat="false" ht="15" hidden="false" customHeight="false" outlineLevel="0" collapsed="false">
      <c r="A215" s="0" t="str">
        <f aca="false">original_dataset!A215</f>
        <v>STR-1054</v>
      </c>
      <c r="B215" s="0" t="str">
        <f aca="false">original_dataset!B215</f>
        <v>2025-02-01</v>
      </c>
      <c r="C215" s="0" t="str">
        <f aca="false">original_dataset!C215</f>
        <v>West</v>
      </c>
      <c r="D215" s="0" t="str">
        <f aca="false">original_dataset!D215</f>
        <v>Residential</v>
      </c>
      <c r="E215" s="0" t="n">
        <f aca="false">original_dataset!E215</f>
        <v>41819.45</v>
      </c>
      <c r="F215" s="0" t="n">
        <f aca="false">original_dataset!F215</f>
        <v>9412</v>
      </c>
      <c r="G215" s="0" t="n">
        <f aca="false">original_dataset!G215</f>
        <v>0.15</v>
      </c>
      <c r="H215" s="0" t="n">
        <f aca="false">original_dataset!H215</f>
        <v>22</v>
      </c>
      <c r="I215" s="0" t="n">
        <f aca="false">original_dataset!I215</f>
        <v>91</v>
      </c>
      <c r="J215" s="0" t="n">
        <f aca="false">IF(ISBLANK(original_dataset!J215),MEDIAN(original_dataset!$J$2:$J$321),original_dataset!J215)</f>
        <v>3.67</v>
      </c>
      <c r="K215" s="0" t="n">
        <f aca="false">original_dataset!K215</f>
        <v>0</v>
      </c>
      <c r="L215" s="0" t="n">
        <f aca="false">IF(ISBLANK(original_dataset!L215),MEDIAN(original_dataset!$L$2:$L$321),original_dataset!L215)</f>
        <v>4.2</v>
      </c>
      <c r="M215" s="0" t="n">
        <f aca="false">original_dataset!M215</f>
        <v>804975.5</v>
      </c>
      <c r="N215" s="0" t="n">
        <f aca="false">original_dataset!N215</f>
        <v>140054.5</v>
      </c>
      <c r="O215" s="0" t="str">
        <f aca="false">IF(ISBLANK(original_dataset!J215),"Yes","No")</f>
        <v>No</v>
      </c>
      <c r="P215" s="0" t="str">
        <f aca="false">IF(ISBLANK(original_dataset!L215),"Yes","No")</f>
        <v>No</v>
      </c>
    </row>
    <row r="216" customFormat="false" ht="15" hidden="false" customHeight="false" outlineLevel="0" collapsed="false">
      <c r="A216" s="0" t="str">
        <f aca="false">original_dataset!A216</f>
        <v>STR-1054</v>
      </c>
      <c r="B216" s="0" t="str">
        <f aca="false">original_dataset!B216</f>
        <v>2025-03-01</v>
      </c>
      <c r="C216" s="0" t="str">
        <f aca="false">original_dataset!C216</f>
        <v>West</v>
      </c>
      <c r="D216" s="0" t="str">
        <f aca="false">original_dataset!D216</f>
        <v>Residential</v>
      </c>
      <c r="E216" s="0" t="n">
        <f aca="false">original_dataset!E216</f>
        <v>35296.54</v>
      </c>
      <c r="F216" s="0" t="n">
        <f aca="false">original_dataset!F216</f>
        <v>9644</v>
      </c>
      <c r="G216" s="0" t="n">
        <f aca="false">original_dataset!G216</f>
        <v>0</v>
      </c>
      <c r="H216" s="0" t="n">
        <f aca="false">original_dataset!H216</f>
        <v>22</v>
      </c>
      <c r="I216" s="0" t="n">
        <f aca="false">original_dataset!I216</f>
        <v>88</v>
      </c>
      <c r="J216" s="0" t="n">
        <f aca="false">IF(ISBLANK(original_dataset!J216),MEDIAN(original_dataset!$J$2:$J$321),original_dataset!J216)</f>
        <v>2.81</v>
      </c>
      <c r="K216" s="0" t="n">
        <f aca="false">original_dataset!K216</f>
        <v>0</v>
      </c>
      <c r="L216" s="0" t="n">
        <f aca="false">IF(ISBLANK(original_dataset!L216),MEDIAN(original_dataset!$L$2:$L$321),original_dataset!L216)</f>
        <v>4.7</v>
      </c>
      <c r="M216" s="0" t="n">
        <f aca="false">original_dataset!M216</f>
        <v>752321.72</v>
      </c>
      <c r="N216" s="0" t="n">
        <f aca="false">original_dataset!N216</f>
        <v>137788.51</v>
      </c>
      <c r="O216" s="0" t="str">
        <f aca="false">IF(ISBLANK(original_dataset!J216),"Yes","No")</f>
        <v>No</v>
      </c>
      <c r="P216" s="0" t="str">
        <f aca="false">IF(ISBLANK(original_dataset!L216),"Yes","No")</f>
        <v>No</v>
      </c>
    </row>
    <row r="217" customFormat="false" ht="15" hidden="false" customHeight="false" outlineLevel="0" collapsed="false">
      <c r="A217" s="0" t="str">
        <f aca="false">original_dataset!A217</f>
        <v>STR-1054</v>
      </c>
      <c r="B217" s="0" t="str">
        <f aca="false">original_dataset!B217</f>
        <v>2025-04-01</v>
      </c>
      <c r="C217" s="0" t="str">
        <f aca="false">original_dataset!C217</f>
        <v>West</v>
      </c>
      <c r="D217" s="0" t="str">
        <f aca="false">original_dataset!D217</f>
        <v>Residential</v>
      </c>
      <c r="E217" s="0" t="n">
        <f aca="false">original_dataset!E217</f>
        <v>47391.09</v>
      </c>
      <c r="F217" s="0" t="n">
        <f aca="false">original_dataset!F217</f>
        <v>11224</v>
      </c>
      <c r="G217" s="0" t="n">
        <f aca="false">original_dataset!G217</f>
        <v>0.147</v>
      </c>
      <c r="H217" s="0" t="n">
        <f aca="false">original_dataset!H217</f>
        <v>25</v>
      </c>
      <c r="I217" s="0" t="n">
        <f aca="false">original_dataset!I217</f>
        <v>88.4</v>
      </c>
      <c r="J217" s="0" t="n">
        <f aca="false">IF(ISBLANK(original_dataset!J217),MEDIAN(original_dataset!$J$2:$J$321),original_dataset!J217)</f>
        <v>2.44</v>
      </c>
      <c r="K217" s="0" t="n">
        <f aca="false">original_dataset!K217</f>
        <v>0</v>
      </c>
      <c r="L217" s="0" t="n">
        <f aca="false">IF(ISBLANK(original_dataset!L217),MEDIAN(original_dataset!$L$2:$L$321),original_dataset!L217)</f>
        <v>4.9</v>
      </c>
      <c r="M217" s="0" t="n">
        <f aca="false">original_dataset!M217</f>
        <v>836908.24</v>
      </c>
      <c r="N217" s="0" t="n">
        <f aca="false">original_dataset!N217</f>
        <v>141090.26</v>
      </c>
      <c r="O217" s="0" t="str">
        <f aca="false">IF(ISBLANK(original_dataset!J217),"Yes","No")</f>
        <v>No</v>
      </c>
      <c r="P217" s="0" t="str">
        <f aca="false">IF(ISBLANK(original_dataset!L217),"Yes","No")</f>
        <v>No</v>
      </c>
    </row>
    <row r="218" customFormat="false" ht="15" hidden="false" customHeight="false" outlineLevel="0" collapsed="false">
      <c r="A218" s="0" t="str">
        <f aca="false">original_dataset!A218</f>
        <v>STR-1055</v>
      </c>
      <c r="B218" s="0" t="str">
        <f aca="false">original_dataset!B218</f>
        <v>2025-01-01</v>
      </c>
      <c r="C218" s="0" t="str">
        <f aca="false">original_dataset!C218</f>
        <v>North</v>
      </c>
      <c r="D218" s="0" t="str">
        <f aca="false">original_dataset!D218</f>
        <v>Airport</v>
      </c>
      <c r="E218" s="0" t="n">
        <f aca="false">original_dataset!E218</f>
        <v>69180.54</v>
      </c>
      <c r="F218" s="0" t="n">
        <f aca="false">original_dataset!F218</f>
        <v>5394</v>
      </c>
      <c r="G218" s="0" t="n">
        <f aca="false">original_dataset!G218</f>
        <v>0.126</v>
      </c>
      <c r="H218" s="0" t="n">
        <f aca="false">original_dataset!H218</f>
        <v>12</v>
      </c>
      <c r="I218" s="0" t="n">
        <f aca="false">original_dataset!I218</f>
        <v>82.9</v>
      </c>
      <c r="J218" s="0" t="n">
        <f aca="false">IF(ISBLANK(original_dataset!J218),MEDIAN(original_dataset!$J$2:$J$321),original_dataset!J218)</f>
        <v>3.27</v>
      </c>
      <c r="K218" s="0" t="n">
        <f aca="false">original_dataset!K218</f>
        <v>0</v>
      </c>
      <c r="L218" s="0" t="n">
        <f aca="false">IF(ISBLANK(original_dataset!L218),MEDIAN(original_dataset!$L$2:$L$321),original_dataset!L218)</f>
        <v>3.3</v>
      </c>
      <c r="M218" s="0" t="n">
        <f aca="false">original_dataset!M218</f>
        <v>674289.1</v>
      </c>
      <c r="N218" s="0" t="n">
        <f aca="false">original_dataset!N218</f>
        <v>117773.79</v>
      </c>
      <c r="O218" s="0" t="str">
        <f aca="false">IF(ISBLANK(original_dataset!J218),"Yes","No")</f>
        <v>No</v>
      </c>
      <c r="P218" s="0" t="str">
        <f aca="false">IF(ISBLANK(original_dataset!L218),"Yes","No")</f>
        <v>No</v>
      </c>
    </row>
    <row r="219" customFormat="false" ht="15" hidden="false" customHeight="false" outlineLevel="0" collapsed="false">
      <c r="A219" s="0" t="str">
        <f aca="false">original_dataset!A219</f>
        <v>STR-1055</v>
      </c>
      <c r="B219" s="0" t="str">
        <f aca="false">original_dataset!B219</f>
        <v>2025-02-01</v>
      </c>
      <c r="C219" s="0" t="str">
        <f aca="false">original_dataset!C219</f>
        <v>North</v>
      </c>
      <c r="D219" s="0" t="str">
        <f aca="false">original_dataset!D219</f>
        <v>Airport</v>
      </c>
      <c r="E219" s="0" t="n">
        <f aca="false">original_dataset!E219</f>
        <v>33987.33</v>
      </c>
      <c r="F219" s="0" t="n">
        <f aca="false">original_dataset!F219</f>
        <v>5014</v>
      </c>
      <c r="G219" s="0" t="n">
        <f aca="false">original_dataset!G219</f>
        <v>0.246</v>
      </c>
      <c r="H219" s="0" t="n">
        <f aca="false">original_dataset!H219</f>
        <v>17</v>
      </c>
      <c r="I219" s="0" t="n">
        <f aca="false">original_dataset!I219</f>
        <v>94.3</v>
      </c>
      <c r="J219" s="0" t="n">
        <f aca="false">IF(ISBLANK(original_dataset!J219),MEDIAN(original_dataset!$J$2:$J$321),original_dataset!J219)</f>
        <v>10.34</v>
      </c>
      <c r="K219" s="0" t="n">
        <f aca="false">original_dataset!K219</f>
        <v>0</v>
      </c>
      <c r="L219" s="0" t="n">
        <f aca="false">IF(ISBLANK(original_dataset!L219),MEDIAN(original_dataset!$L$2:$L$321),original_dataset!L219)</f>
        <v>3.9</v>
      </c>
      <c r="M219" s="0" t="n">
        <f aca="false">original_dataset!M219</f>
        <v>622892.42</v>
      </c>
      <c r="N219" s="0" t="n">
        <f aca="false">original_dataset!N219</f>
        <v>101032.52</v>
      </c>
      <c r="O219" s="0" t="str">
        <f aca="false">IF(ISBLANK(original_dataset!J219),"Yes","No")</f>
        <v>No</v>
      </c>
      <c r="P219" s="0" t="str">
        <f aca="false">IF(ISBLANK(original_dataset!L219),"Yes","No")</f>
        <v>No</v>
      </c>
    </row>
    <row r="220" customFormat="false" ht="15" hidden="false" customHeight="false" outlineLevel="0" collapsed="false">
      <c r="A220" s="0" t="str">
        <f aca="false">original_dataset!A220</f>
        <v>STR-1055</v>
      </c>
      <c r="B220" s="0" t="str">
        <f aca="false">original_dataset!B220</f>
        <v>2025-03-01</v>
      </c>
      <c r="C220" s="0" t="str">
        <f aca="false">original_dataset!C220</f>
        <v>North</v>
      </c>
      <c r="D220" s="0" t="str">
        <f aca="false">original_dataset!D220</f>
        <v>Airport</v>
      </c>
      <c r="E220" s="0" t="n">
        <f aca="false">original_dataset!E220</f>
        <v>58785.33</v>
      </c>
      <c r="F220" s="0" t="n">
        <f aca="false">original_dataset!F220</f>
        <v>4467</v>
      </c>
      <c r="G220" s="0" t="n">
        <f aca="false">original_dataset!G220</f>
        <v>0.229</v>
      </c>
      <c r="H220" s="0" t="n">
        <f aca="false">original_dataset!H220</f>
        <v>14</v>
      </c>
      <c r="I220" s="0" t="n">
        <f aca="false">original_dataset!I220</f>
        <v>90.7</v>
      </c>
      <c r="J220" s="0" t="n">
        <f aca="false">IF(ISBLANK(original_dataset!J220),MEDIAN(original_dataset!$J$2:$J$321),original_dataset!J220)</f>
        <v>1.92</v>
      </c>
      <c r="K220" s="0" t="n">
        <f aca="false">original_dataset!K220</f>
        <v>0</v>
      </c>
      <c r="L220" s="0" t="n">
        <f aca="false">IF(ISBLANK(original_dataset!L220),MEDIAN(original_dataset!$L$2:$L$321),original_dataset!L220)</f>
        <v>3.7</v>
      </c>
      <c r="M220" s="0" t="n">
        <f aca="false">original_dataset!M220</f>
        <v>673348.56</v>
      </c>
      <c r="N220" s="0" t="n">
        <f aca="false">original_dataset!N220</f>
        <v>69464.59</v>
      </c>
      <c r="O220" s="0" t="str">
        <f aca="false">IF(ISBLANK(original_dataset!J220),"Yes","No")</f>
        <v>No</v>
      </c>
      <c r="P220" s="0" t="str">
        <f aca="false">IF(ISBLANK(original_dataset!L220),"Yes","No")</f>
        <v>No</v>
      </c>
    </row>
    <row r="221" customFormat="false" ht="15" hidden="false" customHeight="false" outlineLevel="0" collapsed="false">
      <c r="A221" s="0" t="str">
        <f aca="false">original_dataset!A221</f>
        <v>STR-1055</v>
      </c>
      <c r="B221" s="0" t="str">
        <f aca="false">original_dataset!B221</f>
        <v>2025-04-01</v>
      </c>
      <c r="C221" s="0" t="str">
        <f aca="false">original_dataset!C221</f>
        <v>North</v>
      </c>
      <c r="D221" s="0" t="str">
        <f aca="false">original_dataset!D221</f>
        <v>Airport</v>
      </c>
      <c r="E221" s="0" t="n">
        <f aca="false">original_dataset!E221</f>
        <v>16451.85</v>
      </c>
      <c r="F221" s="0" t="n">
        <f aca="false">original_dataset!F221</f>
        <v>4678</v>
      </c>
      <c r="G221" s="0" t="n">
        <f aca="false">original_dataset!G221</f>
        <v>0.133</v>
      </c>
      <c r="H221" s="0" t="n">
        <f aca="false">original_dataset!H221</f>
        <v>11</v>
      </c>
      <c r="I221" s="0" t="n">
        <f aca="false">original_dataset!I221</f>
        <v>95.9</v>
      </c>
      <c r="J221" s="0" t="n">
        <f aca="false">IF(ISBLANK(original_dataset!J221),MEDIAN(original_dataset!$J$2:$J$321),original_dataset!J221)</f>
        <v>3.1</v>
      </c>
      <c r="K221" s="0" t="n">
        <f aca="false">original_dataset!K221</f>
        <v>0</v>
      </c>
      <c r="L221" s="0" t="n">
        <f aca="false">IF(ISBLANK(original_dataset!L221),MEDIAN(original_dataset!$L$2:$L$321),original_dataset!L221)</f>
        <v>3.9</v>
      </c>
      <c r="M221" s="0" t="n">
        <f aca="false">original_dataset!M221</f>
        <v>606278.3</v>
      </c>
      <c r="N221" s="0" t="n">
        <f aca="false">original_dataset!N221</f>
        <v>102213.26</v>
      </c>
      <c r="O221" s="0" t="str">
        <f aca="false">IF(ISBLANK(original_dataset!J221),"Yes","No")</f>
        <v>No</v>
      </c>
      <c r="P221" s="0" t="str">
        <f aca="false">IF(ISBLANK(original_dataset!L221),"Yes","No")</f>
        <v>No</v>
      </c>
    </row>
    <row r="222" customFormat="false" ht="15" hidden="false" customHeight="false" outlineLevel="0" collapsed="false">
      <c r="A222" s="0" t="str">
        <f aca="false">original_dataset!A222</f>
        <v>STR-1056</v>
      </c>
      <c r="B222" s="0" t="str">
        <f aca="false">original_dataset!B222</f>
        <v>2025-01-01</v>
      </c>
      <c r="C222" s="0" t="str">
        <f aca="false">original_dataset!C222</f>
        <v>East</v>
      </c>
      <c r="D222" s="0" t="str">
        <f aca="false">original_dataset!D222</f>
        <v>High Street</v>
      </c>
      <c r="E222" s="0" t="n">
        <f aca="false">original_dataset!E222</f>
        <v>53367.73</v>
      </c>
      <c r="F222" s="0" t="n">
        <f aca="false">original_dataset!F222</f>
        <v>7291</v>
      </c>
      <c r="G222" s="0" t="n">
        <f aca="false">original_dataset!G222</f>
        <v>0.146</v>
      </c>
      <c r="H222" s="0" t="n">
        <f aca="false">original_dataset!H222</f>
        <v>18</v>
      </c>
      <c r="I222" s="0" t="n">
        <f aca="false">original_dataset!I222</f>
        <v>90.6</v>
      </c>
      <c r="J222" s="0" t="n">
        <f aca="false">IF(ISBLANK(original_dataset!J222),MEDIAN(original_dataset!$J$2:$J$321),original_dataset!J222)</f>
        <v>6.34</v>
      </c>
      <c r="K222" s="0" t="n">
        <f aca="false">original_dataset!K222</f>
        <v>1</v>
      </c>
      <c r="L222" s="0" t="n">
        <f aca="false">IF(ISBLANK(original_dataset!L222),MEDIAN(original_dataset!$L$2:$L$321),original_dataset!L222)</f>
        <v>3.8</v>
      </c>
      <c r="M222" s="0" t="n">
        <f aca="false">original_dataset!M222</f>
        <v>712219.81</v>
      </c>
      <c r="N222" s="0" t="n">
        <f aca="false">original_dataset!N222</f>
        <v>85906.54</v>
      </c>
      <c r="O222" s="0" t="str">
        <f aca="false">IF(ISBLANK(original_dataset!J222),"Yes","No")</f>
        <v>No</v>
      </c>
      <c r="P222" s="0" t="str">
        <f aca="false">IF(ISBLANK(original_dataset!L222),"Yes","No")</f>
        <v>No</v>
      </c>
    </row>
    <row r="223" customFormat="false" ht="15" hidden="false" customHeight="false" outlineLevel="0" collapsed="false">
      <c r="A223" s="0" t="str">
        <f aca="false">original_dataset!A223</f>
        <v>STR-1056</v>
      </c>
      <c r="B223" s="0" t="str">
        <f aca="false">original_dataset!B223</f>
        <v>2025-02-01</v>
      </c>
      <c r="C223" s="0" t="str">
        <f aca="false">original_dataset!C223</f>
        <v>East</v>
      </c>
      <c r="D223" s="0" t="str">
        <f aca="false">original_dataset!D223</f>
        <v>High Street</v>
      </c>
      <c r="E223" s="0" t="n">
        <f aca="false">original_dataset!E223</f>
        <v>27194.64</v>
      </c>
      <c r="F223" s="0" t="n">
        <f aca="false">original_dataset!F223</f>
        <v>7404</v>
      </c>
      <c r="G223" s="0" t="n">
        <f aca="false">original_dataset!G223</f>
        <v>0.088</v>
      </c>
      <c r="H223" s="0" t="n">
        <f aca="false">original_dataset!H223</f>
        <v>18</v>
      </c>
      <c r="I223" s="0" t="n">
        <f aca="false">original_dataset!I223</f>
        <v>90.2</v>
      </c>
      <c r="J223" s="0" t="n">
        <f aca="false">IF(ISBLANK(original_dataset!J223),MEDIAN(original_dataset!$J$2:$J$321),original_dataset!J223)</f>
        <v>1.2</v>
      </c>
      <c r="K223" s="0" t="n">
        <f aca="false">original_dataset!K223</f>
        <v>0</v>
      </c>
      <c r="L223" s="0" t="n">
        <f aca="false">IF(ISBLANK(original_dataset!L223),MEDIAN(original_dataset!$L$2:$L$321),original_dataset!L223)</f>
        <v>3.4</v>
      </c>
      <c r="M223" s="0" t="n">
        <f aca="false">original_dataset!M223</f>
        <v>672670.54</v>
      </c>
      <c r="N223" s="0" t="n">
        <f aca="false">original_dataset!N223</f>
        <v>132684.18</v>
      </c>
      <c r="O223" s="0" t="str">
        <f aca="false">IF(ISBLANK(original_dataset!J223),"Yes","No")</f>
        <v>No</v>
      </c>
      <c r="P223" s="0" t="str">
        <f aca="false">IF(ISBLANK(original_dataset!L223),"Yes","No")</f>
        <v>No</v>
      </c>
    </row>
    <row r="224" customFormat="false" ht="15" hidden="false" customHeight="false" outlineLevel="0" collapsed="false">
      <c r="A224" s="0" t="str">
        <f aca="false">original_dataset!A224</f>
        <v>STR-1056</v>
      </c>
      <c r="B224" s="0" t="str">
        <f aca="false">original_dataset!B224</f>
        <v>2025-03-01</v>
      </c>
      <c r="C224" s="0" t="str">
        <f aca="false">original_dataset!C224</f>
        <v>East</v>
      </c>
      <c r="D224" s="0" t="str">
        <f aca="false">original_dataset!D224</f>
        <v>High Street</v>
      </c>
      <c r="E224" s="0" t="n">
        <f aca="false">original_dataset!E224</f>
        <v>66962.74</v>
      </c>
      <c r="F224" s="0" t="n">
        <f aca="false">original_dataset!F224</f>
        <v>7880</v>
      </c>
      <c r="G224" s="0" t="n">
        <f aca="false">original_dataset!G224</f>
        <v>0.116</v>
      </c>
      <c r="H224" s="0" t="n">
        <f aca="false">original_dataset!H224</f>
        <v>19</v>
      </c>
      <c r="I224" s="0" t="n">
        <f aca="false">original_dataset!I224</f>
        <v>90.4</v>
      </c>
      <c r="J224" s="0" t="n">
        <f aca="false">IF(ISBLANK(original_dataset!J224),MEDIAN(original_dataset!$J$2:$J$321),original_dataset!J224)</f>
        <v>4.5</v>
      </c>
      <c r="K224" s="0" t="n">
        <f aca="false">original_dataset!K224</f>
        <v>0</v>
      </c>
      <c r="L224" s="0" t="n">
        <f aca="false">IF(ISBLANK(original_dataset!L224),MEDIAN(original_dataset!$L$2:$L$321),original_dataset!L224)</f>
        <v>3.3</v>
      </c>
      <c r="M224" s="0" t="n">
        <f aca="false">original_dataset!M224</f>
        <v>732667.92</v>
      </c>
      <c r="N224" s="0" t="n">
        <f aca="false">original_dataset!N224</f>
        <v>128654.46</v>
      </c>
      <c r="O224" s="0" t="str">
        <f aca="false">IF(ISBLANK(original_dataset!J224),"Yes","No")</f>
        <v>No</v>
      </c>
      <c r="P224" s="0" t="str">
        <f aca="false">IF(ISBLANK(original_dataset!L224),"Yes","No")</f>
        <v>No</v>
      </c>
    </row>
    <row r="225" customFormat="false" ht="15" hidden="false" customHeight="false" outlineLevel="0" collapsed="false">
      <c r="A225" s="0" t="str">
        <f aca="false">original_dataset!A225</f>
        <v>STR-1056</v>
      </c>
      <c r="B225" s="0" t="str">
        <f aca="false">original_dataset!B225</f>
        <v>2025-04-01</v>
      </c>
      <c r="C225" s="0" t="str">
        <f aca="false">original_dataset!C225</f>
        <v>East</v>
      </c>
      <c r="D225" s="0" t="str">
        <f aca="false">original_dataset!D225</f>
        <v>High Street</v>
      </c>
      <c r="E225" s="0" t="n">
        <f aca="false">original_dataset!E225</f>
        <v>73540.99</v>
      </c>
      <c r="F225" s="0" t="n">
        <f aca="false">original_dataset!F225</f>
        <v>8773</v>
      </c>
      <c r="G225" s="0" t="n">
        <f aca="false">original_dataset!G225</f>
        <v>0.035</v>
      </c>
      <c r="H225" s="0" t="n">
        <f aca="false">original_dataset!H225</f>
        <v>21</v>
      </c>
      <c r="I225" s="0" t="n">
        <f aca="false">original_dataset!I225</f>
        <v>84.4</v>
      </c>
      <c r="J225" s="0" t="n">
        <f aca="false">IF(ISBLANK(original_dataset!J225),MEDIAN(original_dataset!$J$2:$J$321),original_dataset!J225)</f>
        <v>6.68</v>
      </c>
      <c r="K225" s="0" t="n">
        <f aca="false">original_dataset!K225</f>
        <v>0</v>
      </c>
      <c r="L225" s="0" t="n">
        <f aca="false">IF(ISBLANK(original_dataset!L225),MEDIAN(original_dataset!$L$2:$L$321),original_dataset!L225)</f>
        <v>3.6</v>
      </c>
      <c r="M225" s="0" t="n">
        <f aca="false">original_dataset!M225</f>
        <v>723531.4</v>
      </c>
      <c r="N225" s="0" t="n">
        <f aca="false">original_dataset!N225</f>
        <v>108794.85</v>
      </c>
      <c r="O225" s="0" t="str">
        <f aca="false">IF(ISBLANK(original_dataset!J225),"Yes","No")</f>
        <v>No</v>
      </c>
      <c r="P225" s="0" t="str">
        <f aca="false">IF(ISBLANK(original_dataset!L225),"Yes","No")</f>
        <v>No</v>
      </c>
    </row>
    <row r="226" customFormat="false" ht="15" hidden="false" customHeight="false" outlineLevel="0" collapsed="false">
      <c r="A226" s="0" t="str">
        <f aca="false">original_dataset!A226</f>
        <v>STR-1057</v>
      </c>
      <c r="B226" s="0" t="str">
        <f aca="false">original_dataset!B226</f>
        <v>2025-01-01</v>
      </c>
      <c r="C226" s="0" t="str">
        <f aca="false">original_dataset!C226</f>
        <v>East</v>
      </c>
      <c r="D226" s="0" t="str">
        <f aca="false">original_dataset!D226</f>
        <v>Mall</v>
      </c>
      <c r="E226" s="0" t="n">
        <f aca="false">original_dataset!E226</f>
        <v>68212.29</v>
      </c>
      <c r="F226" s="0" t="n">
        <f aca="false">original_dataset!F226</f>
        <v>4713</v>
      </c>
      <c r="G226" s="0" t="n">
        <f aca="false">original_dataset!G226</f>
        <v>0.198</v>
      </c>
      <c r="H226" s="0" t="n">
        <f aca="false">original_dataset!H226</f>
        <v>15</v>
      </c>
      <c r="I226" s="0" t="n">
        <f aca="false">original_dataset!I226</f>
        <v>82.6</v>
      </c>
      <c r="J226" s="0" t="n">
        <f aca="false">IF(ISBLANK(original_dataset!J226),MEDIAN(original_dataset!$J$2:$J$321),original_dataset!J226)</f>
        <v>4.07</v>
      </c>
      <c r="K226" s="0" t="n">
        <f aca="false">original_dataset!K226</f>
        <v>1</v>
      </c>
      <c r="L226" s="0" t="n">
        <f aca="false">IF(ISBLANK(original_dataset!L226),MEDIAN(original_dataset!$L$2:$L$321),original_dataset!L226)</f>
        <v>3</v>
      </c>
      <c r="M226" s="0" t="n">
        <f aca="false">original_dataset!M226</f>
        <v>641564.6</v>
      </c>
      <c r="N226" s="0" t="n">
        <f aca="false">original_dataset!N226</f>
        <v>90468.96</v>
      </c>
      <c r="O226" s="0" t="str">
        <f aca="false">IF(ISBLANK(original_dataset!J226),"Yes","No")</f>
        <v>No</v>
      </c>
      <c r="P226" s="0" t="str">
        <f aca="false">IF(ISBLANK(original_dataset!L226),"Yes","No")</f>
        <v>No</v>
      </c>
    </row>
    <row r="227" customFormat="false" ht="15" hidden="false" customHeight="false" outlineLevel="0" collapsed="false">
      <c r="A227" s="0" t="str">
        <f aca="false">original_dataset!A227</f>
        <v>STR-1057</v>
      </c>
      <c r="B227" s="0" t="str">
        <f aca="false">original_dataset!B227</f>
        <v>2025-02-01</v>
      </c>
      <c r="C227" s="0" t="str">
        <f aca="false">original_dataset!C227</f>
        <v>East</v>
      </c>
      <c r="D227" s="0" t="str">
        <f aca="false">original_dataset!D227</f>
        <v>Mall</v>
      </c>
      <c r="E227" s="0" t="n">
        <f aca="false">original_dataset!E227</f>
        <v>57225.98</v>
      </c>
      <c r="F227" s="0" t="n">
        <f aca="false">original_dataset!F227</f>
        <v>2842</v>
      </c>
      <c r="G227" s="0" t="n">
        <f aca="false">original_dataset!G227</f>
        <v>0.112</v>
      </c>
      <c r="H227" s="0" t="n">
        <f aca="false">original_dataset!H227</f>
        <v>10</v>
      </c>
      <c r="I227" s="0" t="n">
        <f aca="false">original_dataset!I227</f>
        <v>79.5</v>
      </c>
      <c r="J227" s="0" t="n">
        <f aca="false">IF(ISBLANK(original_dataset!J227),MEDIAN(original_dataset!$J$2:$J$321),original_dataset!J227)</f>
        <v>5.45</v>
      </c>
      <c r="K227" s="0" t="n">
        <f aca="false">original_dataset!K227</f>
        <v>0</v>
      </c>
      <c r="L227" s="0" t="n">
        <f aca="false">IF(ISBLANK(original_dataset!L227),MEDIAN(original_dataset!$L$2:$L$321),original_dataset!L227)</f>
        <v>3.4</v>
      </c>
      <c r="M227" s="0" t="n">
        <f aca="false">original_dataset!M227</f>
        <v>536545.49</v>
      </c>
      <c r="N227" s="0" t="n">
        <f aca="false">original_dataset!N227</f>
        <v>97917.45</v>
      </c>
      <c r="O227" s="0" t="str">
        <f aca="false">IF(ISBLANK(original_dataset!J227),"Yes","No")</f>
        <v>No</v>
      </c>
      <c r="P227" s="0" t="str">
        <f aca="false">IF(ISBLANK(original_dataset!L227),"Yes","No")</f>
        <v>No</v>
      </c>
    </row>
    <row r="228" customFormat="false" ht="15" hidden="false" customHeight="false" outlineLevel="0" collapsed="false">
      <c r="A228" s="0" t="str">
        <f aca="false">original_dataset!A228</f>
        <v>STR-1057</v>
      </c>
      <c r="B228" s="0" t="str">
        <f aca="false">original_dataset!B228</f>
        <v>2025-03-01</v>
      </c>
      <c r="C228" s="0" t="str">
        <f aca="false">original_dataset!C228</f>
        <v>East</v>
      </c>
      <c r="D228" s="0" t="str">
        <f aca="false">original_dataset!D228</f>
        <v>Mall</v>
      </c>
      <c r="E228" s="0" t="n">
        <f aca="false">original_dataset!E228</f>
        <v>42932.02</v>
      </c>
      <c r="F228" s="0" t="n">
        <f aca="false">original_dataset!F228</f>
        <v>3872</v>
      </c>
      <c r="G228" s="0" t="n">
        <f aca="false">original_dataset!G228</f>
        <v>0.171</v>
      </c>
      <c r="H228" s="0" t="n">
        <f aca="false">original_dataset!H228</f>
        <v>12</v>
      </c>
      <c r="I228" s="0" t="n">
        <f aca="false">original_dataset!I228</f>
        <v>83.2</v>
      </c>
      <c r="J228" s="0" t="n">
        <f aca="false">IF(ISBLANK(original_dataset!J228),MEDIAN(original_dataset!$J$2:$J$321),original_dataset!J228)</f>
        <v>15.58</v>
      </c>
      <c r="K228" s="0" t="n">
        <f aca="false">original_dataset!K228</f>
        <v>0</v>
      </c>
      <c r="L228" s="0" t="n">
        <f aca="false">IF(ISBLANK(original_dataset!L228),MEDIAN(original_dataset!$L$2:$L$321),original_dataset!L228)</f>
        <v>3.3</v>
      </c>
      <c r="M228" s="0" t="n">
        <f aca="false">original_dataset!M228</f>
        <v>527681.56</v>
      </c>
      <c r="N228" s="0" t="n">
        <f aca="false">original_dataset!N228</f>
        <v>63153.05</v>
      </c>
      <c r="O228" s="0" t="str">
        <f aca="false">IF(ISBLANK(original_dataset!J228),"Yes","No")</f>
        <v>No</v>
      </c>
      <c r="P228" s="0" t="str">
        <f aca="false">IF(ISBLANK(original_dataset!L228),"Yes","No")</f>
        <v>No</v>
      </c>
    </row>
    <row r="229" customFormat="false" ht="15" hidden="false" customHeight="false" outlineLevel="0" collapsed="false">
      <c r="A229" s="0" t="str">
        <f aca="false">original_dataset!A229</f>
        <v>STR-1057</v>
      </c>
      <c r="B229" s="0" t="str">
        <f aca="false">original_dataset!B229</f>
        <v>2025-04-01</v>
      </c>
      <c r="C229" s="0" t="str">
        <f aca="false">original_dataset!C229</f>
        <v>East</v>
      </c>
      <c r="D229" s="0" t="str">
        <f aca="false">original_dataset!D229</f>
        <v>Mall</v>
      </c>
      <c r="E229" s="0" t="n">
        <f aca="false">original_dataset!E229</f>
        <v>39341.45</v>
      </c>
      <c r="F229" s="0" t="n">
        <f aca="false">original_dataset!F229</f>
        <v>1375</v>
      </c>
      <c r="G229" s="0" t="n">
        <f aca="false">original_dataset!G229</f>
        <v>0.093</v>
      </c>
      <c r="H229" s="0" t="n">
        <f aca="false">original_dataset!H229</f>
        <v>5</v>
      </c>
      <c r="I229" s="0" t="n">
        <f aca="false">original_dataset!I229</f>
        <v>95</v>
      </c>
      <c r="J229" s="0" t="n">
        <f aca="false">IF(ISBLANK(original_dataset!J229),MEDIAN(original_dataset!$J$2:$J$321),original_dataset!J229)</f>
        <v>5.32</v>
      </c>
      <c r="K229" s="0" t="n">
        <f aca="false">original_dataset!K229</f>
        <v>0</v>
      </c>
      <c r="L229" s="0" t="n">
        <f aca="false">IF(ISBLANK(original_dataset!L229),MEDIAN(original_dataset!$L$2:$L$321),original_dataset!L229)</f>
        <v>3.9</v>
      </c>
      <c r="M229" s="0" t="n">
        <f aca="false">original_dataset!M229</f>
        <v>529598.94</v>
      </c>
      <c r="N229" s="0" t="n">
        <f aca="false">original_dataset!N229</f>
        <v>84334.33</v>
      </c>
      <c r="O229" s="0" t="str">
        <f aca="false">IF(ISBLANK(original_dataset!J229),"Yes","No")</f>
        <v>No</v>
      </c>
      <c r="P229" s="0" t="str">
        <f aca="false">IF(ISBLANK(original_dataset!L229),"Yes","No")</f>
        <v>Yes</v>
      </c>
    </row>
    <row r="230" customFormat="false" ht="15" hidden="false" customHeight="false" outlineLevel="0" collapsed="false">
      <c r="A230" s="0" t="str">
        <f aca="false">original_dataset!A230</f>
        <v>STR-1058</v>
      </c>
      <c r="B230" s="0" t="str">
        <f aca="false">original_dataset!B230</f>
        <v>2025-01-01</v>
      </c>
      <c r="C230" s="0" t="str">
        <f aca="false">original_dataset!C230</f>
        <v>East</v>
      </c>
      <c r="D230" s="0" t="str">
        <f aca="false">original_dataset!D230</f>
        <v>High Street</v>
      </c>
      <c r="E230" s="0" t="n">
        <f aca="false">original_dataset!E230</f>
        <v>37324.23</v>
      </c>
      <c r="F230" s="0" t="n">
        <f aca="false">original_dataset!F230</f>
        <v>5957</v>
      </c>
      <c r="G230" s="0" t="n">
        <f aca="false">original_dataset!G230</f>
        <v>0.071</v>
      </c>
      <c r="H230" s="0" t="n">
        <f aca="false">original_dataset!H230</f>
        <v>12</v>
      </c>
      <c r="I230" s="0" t="n">
        <f aca="false">original_dataset!I230</f>
        <v>85.9</v>
      </c>
      <c r="J230" s="0" t="n">
        <f aca="false">IF(ISBLANK(original_dataset!J230),MEDIAN(original_dataset!$J$2:$J$321),original_dataset!J230)</f>
        <v>0.37</v>
      </c>
      <c r="K230" s="0" t="n">
        <f aca="false">original_dataset!K230</f>
        <v>0</v>
      </c>
      <c r="L230" s="0" t="n">
        <f aca="false">IF(ISBLANK(original_dataset!L230),MEDIAN(original_dataset!$L$2:$L$321),original_dataset!L230)</f>
        <v>3.8</v>
      </c>
      <c r="M230" s="0" t="n">
        <f aca="false">original_dataset!M230</f>
        <v>570963.31</v>
      </c>
      <c r="N230" s="0" t="n">
        <f aca="false">original_dataset!N230</f>
        <v>87342.25</v>
      </c>
      <c r="O230" s="0" t="str">
        <f aca="false">IF(ISBLANK(original_dataset!J230),"Yes","No")</f>
        <v>No</v>
      </c>
      <c r="P230" s="0" t="str">
        <f aca="false">IF(ISBLANK(original_dataset!L230),"Yes","No")</f>
        <v>No</v>
      </c>
    </row>
    <row r="231" customFormat="false" ht="15" hidden="false" customHeight="false" outlineLevel="0" collapsed="false">
      <c r="A231" s="0" t="str">
        <f aca="false">original_dataset!A231</f>
        <v>STR-1058</v>
      </c>
      <c r="B231" s="0" t="str">
        <f aca="false">original_dataset!B231</f>
        <v>2025-02-01</v>
      </c>
      <c r="C231" s="0" t="str">
        <f aca="false">original_dataset!C231</f>
        <v>East</v>
      </c>
      <c r="D231" s="0" t="str">
        <f aca="false">original_dataset!D231</f>
        <v>High Street</v>
      </c>
      <c r="E231" s="0" t="n">
        <f aca="false">original_dataset!E231</f>
        <v>113736</v>
      </c>
      <c r="F231" s="0" t="n">
        <f aca="false">original_dataset!F231</f>
        <v>8961</v>
      </c>
      <c r="G231" s="0" t="n">
        <f aca="false">original_dataset!G231</f>
        <v>0.202</v>
      </c>
      <c r="H231" s="0" t="n">
        <f aca="false">original_dataset!H231</f>
        <v>24</v>
      </c>
      <c r="I231" s="0" t="n">
        <f aca="false">original_dataset!I231</f>
        <v>86.2</v>
      </c>
      <c r="J231" s="0" t="n">
        <f aca="false">IF(ISBLANK(original_dataset!J231),MEDIAN(original_dataset!$J$2:$J$321),original_dataset!J231)</f>
        <v>21.63</v>
      </c>
      <c r="K231" s="0" t="n">
        <f aca="false">original_dataset!K231</f>
        <v>0</v>
      </c>
      <c r="L231" s="0" t="n">
        <f aca="false">IF(ISBLANK(original_dataset!L231),MEDIAN(original_dataset!$L$2:$L$321),original_dataset!L231)</f>
        <v>4</v>
      </c>
      <c r="M231" s="0" t="n">
        <f aca="false">original_dataset!M231</f>
        <v>870937.4</v>
      </c>
      <c r="N231" s="0" t="n">
        <f aca="false">original_dataset!N231</f>
        <v>175282.74</v>
      </c>
      <c r="O231" s="0" t="str">
        <f aca="false">IF(ISBLANK(original_dataset!J231),"Yes","No")</f>
        <v>No</v>
      </c>
      <c r="P231" s="0" t="str">
        <f aca="false">IF(ISBLANK(original_dataset!L231),"Yes","No")</f>
        <v>No</v>
      </c>
    </row>
    <row r="232" customFormat="false" ht="15" hidden="false" customHeight="false" outlineLevel="0" collapsed="false">
      <c r="A232" s="0" t="str">
        <f aca="false">original_dataset!A232</f>
        <v>STR-1058</v>
      </c>
      <c r="B232" s="0" t="str">
        <f aca="false">original_dataset!B232</f>
        <v>2025-03-01</v>
      </c>
      <c r="C232" s="0" t="str">
        <f aca="false">original_dataset!C232</f>
        <v>East</v>
      </c>
      <c r="D232" s="0" t="str">
        <f aca="false">original_dataset!D232</f>
        <v>High Street</v>
      </c>
      <c r="E232" s="0" t="n">
        <f aca="false">original_dataset!E232</f>
        <v>33173.95</v>
      </c>
      <c r="F232" s="0" t="n">
        <f aca="false">original_dataset!F232</f>
        <v>6545</v>
      </c>
      <c r="G232" s="0" t="n">
        <f aca="false">original_dataset!G232</f>
        <v>0.169</v>
      </c>
      <c r="H232" s="0" t="n">
        <f aca="false">original_dataset!H232</f>
        <v>15</v>
      </c>
      <c r="I232" s="0" t="n">
        <f aca="false">original_dataset!I232</f>
        <v>84.4</v>
      </c>
      <c r="J232" s="0" t="n">
        <f aca="false">IF(ISBLANK(original_dataset!J232),MEDIAN(original_dataset!$J$2:$J$321),original_dataset!J232)</f>
        <v>2.48</v>
      </c>
      <c r="K232" s="0" t="n">
        <f aca="false">original_dataset!K232</f>
        <v>0</v>
      </c>
      <c r="L232" s="0" t="n">
        <f aca="false">IF(ISBLANK(original_dataset!L232),MEDIAN(original_dataset!$L$2:$L$321),original_dataset!L232)</f>
        <v>3.9</v>
      </c>
      <c r="M232" s="0" t="n">
        <f aca="false">original_dataset!M232</f>
        <v>596969.27</v>
      </c>
      <c r="N232" s="0" t="n">
        <f aca="false">original_dataset!N232</f>
        <v>105669.51</v>
      </c>
      <c r="O232" s="0" t="str">
        <f aca="false">IF(ISBLANK(original_dataset!J232),"Yes","No")</f>
        <v>No</v>
      </c>
      <c r="P232" s="0" t="str">
        <f aca="false">IF(ISBLANK(original_dataset!L232),"Yes","No")</f>
        <v>No</v>
      </c>
    </row>
    <row r="233" customFormat="false" ht="15" hidden="false" customHeight="false" outlineLevel="0" collapsed="false">
      <c r="A233" s="0" t="str">
        <f aca="false">original_dataset!A233</f>
        <v>STR-1058</v>
      </c>
      <c r="B233" s="0" t="str">
        <f aca="false">original_dataset!B233</f>
        <v>2025-04-01</v>
      </c>
      <c r="C233" s="0" t="str">
        <f aca="false">original_dataset!C233</f>
        <v>East</v>
      </c>
      <c r="D233" s="0" t="str">
        <f aca="false">original_dataset!D233</f>
        <v>High Street</v>
      </c>
      <c r="E233" s="0" t="n">
        <f aca="false">original_dataset!E233</f>
        <v>25818.08</v>
      </c>
      <c r="F233" s="0" t="n">
        <f aca="false">original_dataset!F233</f>
        <v>5457</v>
      </c>
      <c r="G233" s="0" t="n">
        <f aca="false">original_dataset!G233</f>
        <v>0</v>
      </c>
      <c r="H233" s="0" t="n">
        <f aca="false">original_dataset!H233</f>
        <v>11</v>
      </c>
      <c r="I233" s="0" t="n">
        <f aca="false">original_dataset!I233</f>
        <v>95.4</v>
      </c>
      <c r="J233" s="0" t="n">
        <f aca="false">IF(ISBLANK(original_dataset!J233),MEDIAN(original_dataset!$J$2:$J$321),original_dataset!J233)</f>
        <v>3.365</v>
      </c>
      <c r="K233" s="0" t="n">
        <f aca="false">original_dataset!K233</f>
        <v>0</v>
      </c>
      <c r="L233" s="0" t="n">
        <f aca="false">IF(ISBLANK(original_dataset!L233),MEDIAN(original_dataset!$L$2:$L$321),original_dataset!L233)</f>
        <v>3.7</v>
      </c>
      <c r="M233" s="0" t="n">
        <f aca="false">original_dataset!M233</f>
        <v>647512.85</v>
      </c>
      <c r="N233" s="0" t="n">
        <f aca="false">original_dataset!N233</f>
        <v>153835.57</v>
      </c>
      <c r="O233" s="0" t="str">
        <f aca="false">IF(ISBLANK(original_dataset!J233),"Yes","No")</f>
        <v>Yes</v>
      </c>
      <c r="P233" s="0" t="str">
        <f aca="false">IF(ISBLANK(original_dataset!L233),"Yes","No")</f>
        <v>No</v>
      </c>
    </row>
    <row r="234" customFormat="false" ht="15" hidden="false" customHeight="false" outlineLevel="0" collapsed="false">
      <c r="A234" s="0" t="str">
        <f aca="false">original_dataset!A234</f>
        <v>STR-1059</v>
      </c>
      <c r="B234" s="0" t="str">
        <f aca="false">original_dataset!B234</f>
        <v>2025-01-01</v>
      </c>
      <c r="C234" s="0" t="str">
        <f aca="false">original_dataset!C234</f>
        <v>West</v>
      </c>
      <c r="D234" s="0" t="str">
        <f aca="false">original_dataset!D234</f>
        <v>Residential</v>
      </c>
      <c r="E234" s="0" t="n">
        <f aca="false">original_dataset!E234</f>
        <v>47241.92</v>
      </c>
      <c r="F234" s="0" t="n">
        <f aca="false">original_dataset!F234</f>
        <v>4264</v>
      </c>
      <c r="G234" s="0" t="n">
        <f aca="false">original_dataset!G234</f>
        <v>0.069</v>
      </c>
      <c r="H234" s="0" t="n">
        <f aca="false">original_dataset!H234</f>
        <v>13</v>
      </c>
      <c r="I234" s="0" t="n">
        <f aca="false">original_dataset!I234</f>
        <v>95.3</v>
      </c>
      <c r="J234" s="0" t="n">
        <f aca="false">IF(ISBLANK(original_dataset!J234),MEDIAN(original_dataset!$J$2:$J$321),original_dataset!J234)</f>
        <v>0.85</v>
      </c>
      <c r="K234" s="0" t="n">
        <f aca="false">original_dataset!K234</f>
        <v>0</v>
      </c>
      <c r="L234" s="0" t="n">
        <f aca="false">IF(ISBLANK(original_dataset!L234),MEDIAN(original_dataset!$L$2:$L$321),original_dataset!L234)</f>
        <v>4.3</v>
      </c>
      <c r="M234" s="0" t="n">
        <f aca="false">original_dataset!M234</f>
        <v>658072.14</v>
      </c>
      <c r="N234" s="0" t="n">
        <f aca="false">original_dataset!N234</f>
        <v>110595.89</v>
      </c>
      <c r="O234" s="0" t="str">
        <f aca="false">IF(ISBLANK(original_dataset!J234),"Yes","No")</f>
        <v>No</v>
      </c>
      <c r="P234" s="0" t="str">
        <f aca="false">IF(ISBLANK(original_dataset!L234),"Yes","No")</f>
        <v>No</v>
      </c>
    </row>
    <row r="235" customFormat="false" ht="15" hidden="false" customHeight="false" outlineLevel="0" collapsed="false">
      <c r="A235" s="0" t="str">
        <f aca="false">original_dataset!A235</f>
        <v>STR-1059</v>
      </c>
      <c r="B235" s="0" t="str">
        <f aca="false">original_dataset!B235</f>
        <v>2025-02-01</v>
      </c>
      <c r="C235" s="0" t="str">
        <f aca="false">original_dataset!C235</f>
        <v>West</v>
      </c>
      <c r="D235" s="0" t="str">
        <f aca="false">original_dataset!D235</f>
        <v>Residential</v>
      </c>
      <c r="E235" s="0" t="n">
        <f aca="false">original_dataset!E235</f>
        <v>61650.79</v>
      </c>
      <c r="F235" s="0" t="n">
        <f aca="false">original_dataset!F235</f>
        <v>5321</v>
      </c>
      <c r="G235" s="0" t="n">
        <f aca="false">original_dataset!G235</f>
        <v>0.126</v>
      </c>
      <c r="H235" s="0" t="n">
        <f aca="false">original_dataset!H235</f>
        <v>17</v>
      </c>
      <c r="I235" s="0" t="n">
        <f aca="false">original_dataset!I235</f>
        <v>89.2</v>
      </c>
      <c r="J235" s="0" t="n">
        <f aca="false">IF(ISBLANK(original_dataset!J235),MEDIAN(original_dataset!$J$2:$J$321),original_dataset!J235)</f>
        <v>2.13</v>
      </c>
      <c r="K235" s="0" t="n">
        <f aca="false">original_dataset!K235</f>
        <v>0</v>
      </c>
      <c r="L235" s="0" t="n">
        <f aca="false">IF(ISBLANK(original_dataset!L235),MEDIAN(original_dataset!$L$2:$L$321),original_dataset!L235)</f>
        <v>4</v>
      </c>
      <c r="M235" s="0" t="n">
        <f aca="false">original_dataset!M235</f>
        <v>723305.11</v>
      </c>
      <c r="N235" s="0" t="n">
        <f aca="false">original_dataset!N235</f>
        <v>128468.7</v>
      </c>
      <c r="O235" s="0" t="str">
        <f aca="false">IF(ISBLANK(original_dataset!J235),"Yes","No")</f>
        <v>No</v>
      </c>
      <c r="P235" s="0" t="str">
        <f aca="false">IF(ISBLANK(original_dataset!L235),"Yes","No")</f>
        <v>No</v>
      </c>
    </row>
    <row r="236" customFormat="false" ht="15" hidden="false" customHeight="false" outlineLevel="0" collapsed="false">
      <c r="A236" s="0" t="str">
        <f aca="false">original_dataset!A236</f>
        <v>STR-1059</v>
      </c>
      <c r="B236" s="0" t="str">
        <f aca="false">original_dataset!B236</f>
        <v>2025-03-01</v>
      </c>
      <c r="C236" s="0" t="str">
        <f aca="false">original_dataset!C236</f>
        <v>West</v>
      </c>
      <c r="D236" s="0" t="str">
        <f aca="false">original_dataset!D236</f>
        <v>Residential</v>
      </c>
      <c r="E236" s="0" t="n">
        <f aca="false">original_dataset!E236</f>
        <v>62582.71</v>
      </c>
      <c r="F236" s="0" t="n">
        <f aca="false">original_dataset!F236</f>
        <v>5479</v>
      </c>
      <c r="G236" s="0" t="n">
        <f aca="false">original_dataset!G236</f>
        <v>0.048</v>
      </c>
      <c r="H236" s="0" t="n">
        <f aca="false">original_dataset!H236</f>
        <v>16</v>
      </c>
      <c r="I236" s="0" t="n">
        <f aca="false">original_dataset!I236</f>
        <v>81.2</v>
      </c>
      <c r="J236" s="0" t="n">
        <f aca="false">IF(ISBLANK(original_dataset!J236),MEDIAN(original_dataset!$J$2:$J$321),original_dataset!J236)</f>
        <v>1.46</v>
      </c>
      <c r="K236" s="0" t="n">
        <f aca="false">original_dataset!K236</f>
        <v>0</v>
      </c>
      <c r="L236" s="0" t="n">
        <f aca="false">IF(ISBLANK(original_dataset!L236),MEDIAN(original_dataset!$L$2:$L$321),original_dataset!L236)</f>
        <v>4.5</v>
      </c>
      <c r="M236" s="0" t="n">
        <f aca="false">original_dataset!M236</f>
        <v>640666.53</v>
      </c>
      <c r="N236" s="0" t="n">
        <f aca="false">original_dataset!N236</f>
        <v>134919.16</v>
      </c>
      <c r="O236" s="0" t="str">
        <f aca="false">IF(ISBLANK(original_dataset!J236),"Yes","No")</f>
        <v>No</v>
      </c>
      <c r="P236" s="0" t="str">
        <f aca="false">IF(ISBLANK(original_dataset!L236),"Yes","No")</f>
        <v>No</v>
      </c>
    </row>
    <row r="237" customFormat="false" ht="15" hidden="false" customHeight="false" outlineLevel="0" collapsed="false">
      <c r="A237" s="0" t="str">
        <f aca="false">original_dataset!A237</f>
        <v>STR-1059</v>
      </c>
      <c r="B237" s="0" t="str">
        <f aca="false">original_dataset!B237</f>
        <v>2025-04-01</v>
      </c>
      <c r="C237" s="0" t="str">
        <f aca="false">original_dataset!C237</f>
        <v>West</v>
      </c>
      <c r="D237" s="0" t="str">
        <f aca="false">original_dataset!D237</f>
        <v>Residential</v>
      </c>
      <c r="E237" s="0" t="n">
        <f aca="false">original_dataset!E237</f>
        <v>47944.14</v>
      </c>
      <c r="F237" s="0" t="n">
        <f aca="false">original_dataset!F237</f>
        <v>6169</v>
      </c>
      <c r="G237" s="0" t="n">
        <f aca="false">original_dataset!G237</f>
        <v>0.119</v>
      </c>
      <c r="H237" s="0" t="n">
        <f aca="false">original_dataset!H237</f>
        <v>17</v>
      </c>
      <c r="I237" s="0" t="n">
        <f aca="false">original_dataset!I237</f>
        <v>92.2</v>
      </c>
      <c r="J237" s="0" t="n">
        <f aca="false">IF(ISBLANK(original_dataset!J237),MEDIAN(original_dataset!$J$2:$J$321),original_dataset!J237)</f>
        <v>3.02</v>
      </c>
      <c r="K237" s="0" t="n">
        <f aca="false">original_dataset!K237</f>
        <v>0</v>
      </c>
      <c r="L237" s="0" t="n">
        <f aca="false">IF(ISBLANK(original_dataset!L237),MEDIAN(original_dataset!$L$2:$L$321),original_dataset!L237)</f>
        <v>4.1</v>
      </c>
      <c r="M237" s="0" t="n">
        <f aca="false">original_dataset!M237</f>
        <v>670629.48</v>
      </c>
      <c r="N237" s="0" t="n">
        <f aca="false">original_dataset!N237</f>
        <v>100140.8</v>
      </c>
      <c r="O237" s="0" t="str">
        <f aca="false">IF(ISBLANK(original_dataset!J237),"Yes","No")</f>
        <v>No</v>
      </c>
      <c r="P237" s="0" t="str">
        <f aca="false">IF(ISBLANK(original_dataset!L237),"Yes","No")</f>
        <v>No</v>
      </c>
    </row>
    <row r="238" customFormat="false" ht="15" hidden="false" customHeight="false" outlineLevel="0" collapsed="false">
      <c r="A238" s="0" t="str">
        <f aca="false">original_dataset!A238</f>
        <v>STR-1060</v>
      </c>
      <c r="B238" s="0" t="str">
        <f aca="false">original_dataset!B238</f>
        <v>2025-01-01</v>
      </c>
      <c r="C238" s="0" t="str">
        <f aca="false">original_dataset!C238</f>
        <v>West</v>
      </c>
      <c r="D238" s="0" t="str">
        <f aca="false">original_dataset!D238</f>
        <v>Mall</v>
      </c>
      <c r="E238" s="0" t="n">
        <f aca="false">original_dataset!E238</f>
        <v>46495.4</v>
      </c>
      <c r="F238" s="0" t="n">
        <f aca="false">original_dataset!F238</f>
        <v>9908</v>
      </c>
      <c r="G238" s="0" t="n">
        <f aca="false">original_dataset!G238</f>
        <v>0.121</v>
      </c>
      <c r="H238" s="0" t="n">
        <f aca="false">original_dataset!H238</f>
        <v>22</v>
      </c>
      <c r="I238" s="0" t="n">
        <f aca="false">original_dataset!I238</f>
        <v>89.4</v>
      </c>
      <c r="J238" s="0" t="n">
        <f aca="false">IF(ISBLANK(original_dataset!J238),MEDIAN(original_dataset!$J$2:$J$321),original_dataset!J238)</f>
        <v>3.22</v>
      </c>
      <c r="K238" s="0" t="n">
        <f aca="false">original_dataset!K238</f>
        <v>0</v>
      </c>
      <c r="L238" s="0" t="n">
        <f aca="false">IF(ISBLANK(original_dataset!L238),MEDIAN(original_dataset!$L$2:$L$321),original_dataset!L238)</f>
        <v>3.7</v>
      </c>
      <c r="M238" s="0" t="n">
        <f aca="false">original_dataset!M238</f>
        <v>721079.35</v>
      </c>
      <c r="N238" s="0" t="n">
        <f aca="false">original_dataset!N238</f>
        <v>115295.05</v>
      </c>
      <c r="O238" s="0" t="str">
        <f aca="false">IF(ISBLANK(original_dataset!J238),"Yes","No")</f>
        <v>No</v>
      </c>
      <c r="P238" s="0" t="str">
        <f aca="false">IF(ISBLANK(original_dataset!L238),"Yes","No")</f>
        <v>No</v>
      </c>
    </row>
    <row r="239" customFormat="false" ht="15" hidden="false" customHeight="false" outlineLevel="0" collapsed="false">
      <c r="A239" s="0" t="str">
        <f aca="false">original_dataset!A239</f>
        <v>STR-1060</v>
      </c>
      <c r="B239" s="0" t="str">
        <f aca="false">original_dataset!B239</f>
        <v>2025-02-01</v>
      </c>
      <c r="C239" s="0" t="str">
        <f aca="false">original_dataset!C239</f>
        <v>West</v>
      </c>
      <c r="D239" s="0" t="str">
        <f aca="false">original_dataset!D239</f>
        <v>Mall</v>
      </c>
      <c r="E239" s="0" t="n">
        <f aca="false">original_dataset!E239</f>
        <v>72961.95</v>
      </c>
      <c r="F239" s="0" t="n">
        <f aca="false">original_dataset!F239</f>
        <v>9996</v>
      </c>
      <c r="G239" s="0" t="n">
        <f aca="false">original_dataset!G239</f>
        <v>0.106</v>
      </c>
      <c r="H239" s="0" t="n">
        <f aca="false">original_dataset!H239</f>
        <v>22</v>
      </c>
      <c r="I239" s="0" t="n">
        <f aca="false">original_dataset!I239</f>
        <v>89.1</v>
      </c>
      <c r="J239" s="0" t="n">
        <f aca="false">IF(ISBLANK(original_dataset!J239),MEDIAN(original_dataset!$J$2:$J$321),original_dataset!J239)</f>
        <v>15.66</v>
      </c>
      <c r="K239" s="0" t="n">
        <f aca="false">original_dataset!K239</f>
        <v>0</v>
      </c>
      <c r="L239" s="0" t="n">
        <f aca="false">IF(ISBLANK(original_dataset!L239),MEDIAN(original_dataset!$L$2:$L$321),original_dataset!L239)</f>
        <v>3.4</v>
      </c>
      <c r="M239" s="0" t="n">
        <f aca="false">original_dataset!M239</f>
        <v>810355.02</v>
      </c>
      <c r="N239" s="0" t="n">
        <f aca="false">original_dataset!N239</f>
        <v>131510</v>
      </c>
      <c r="O239" s="0" t="str">
        <f aca="false">IF(ISBLANK(original_dataset!J239),"Yes","No")</f>
        <v>No</v>
      </c>
      <c r="P239" s="0" t="str">
        <f aca="false">IF(ISBLANK(original_dataset!L239),"Yes","No")</f>
        <v>No</v>
      </c>
    </row>
    <row r="240" customFormat="false" ht="15" hidden="false" customHeight="false" outlineLevel="0" collapsed="false">
      <c r="A240" s="0" t="str">
        <f aca="false">original_dataset!A240</f>
        <v>STR-1060</v>
      </c>
      <c r="B240" s="0" t="str">
        <f aca="false">original_dataset!B240</f>
        <v>2025-03-01</v>
      </c>
      <c r="C240" s="0" t="str">
        <f aca="false">original_dataset!C240</f>
        <v>West</v>
      </c>
      <c r="D240" s="0" t="str">
        <f aca="false">original_dataset!D240</f>
        <v>Mall</v>
      </c>
      <c r="E240" s="0" t="n">
        <f aca="false">original_dataset!E240</f>
        <v>59060.05</v>
      </c>
      <c r="F240" s="0" t="n">
        <f aca="false">original_dataset!F240</f>
        <v>9702</v>
      </c>
      <c r="G240" s="0" t="n">
        <f aca="false">original_dataset!G240</f>
        <v>0.201</v>
      </c>
      <c r="H240" s="0" t="n">
        <f aca="false">original_dataset!H240</f>
        <v>23</v>
      </c>
      <c r="I240" s="0" t="n">
        <f aca="false">original_dataset!I240</f>
        <v>80.9</v>
      </c>
      <c r="J240" s="0" t="n">
        <f aca="false">IF(ISBLANK(original_dataset!J240),MEDIAN(original_dataset!$J$2:$J$321),original_dataset!J240)</f>
        <v>6.96</v>
      </c>
      <c r="K240" s="0" t="n">
        <f aca="false">original_dataset!K240</f>
        <v>0</v>
      </c>
      <c r="L240" s="0" t="n">
        <f aca="false">IF(ISBLANK(original_dataset!L240),MEDIAN(original_dataset!$L$2:$L$321),original_dataset!L240)</f>
        <v>3.2</v>
      </c>
      <c r="M240" s="0" t="n">
        <f aca="false">original_dataset!M240</f>
        <v>761919.25</v>
      </c>
      <c r="N240" s="0" t="n">
        <f aca="false">original_dataset!N240</f>
        <v>111893.06</v>
      </c>
      <c r="O240" s="0" t="str">
        <f aca="false">IF(ISBLANK(original_dataset!J240),"Yes","No")</f>
        <v>No</v>
      </c>
      <c r="P240" s="0" t="str">
        <f aca="false">IF(ISBLANK(original_dataset!L240),"Yes","No")</f>
        <v>No</v>
      </c>
    </row>
    <row r="241" customFormat="false" ht="15" hidden="false" customHeight="false" outlineLevel="0" collapsed="false">
      <c r="A241" s="0" t="str">
        <f aca="false">original_dataset!A241</f>
        <v>STR-1060</v>
      </c>
      <c r="B241" s="0" t="str">
        <f aca="false">original_dataset!B241</f>
        <v>2025-04-01</v>
      </c>
      <c r="C241" s="0" t="str">
        <f aca="false">original_dataset!C241</f>
        <v>West</v>
      </c>
      <c r="D241" s="0" t="str">
        <f aca="false">original_dataset!D241</f>
        <v>Mall</v>
      </c>
      <c r="E241" s="0" t="n">
        <f aca="false">original_dataset!E241</f>
        <v>26248.1</v>
      </c>
      <c r="F241" s="0" t="n">
        <f aca="false">original_dataset!F241</f>
        <v>9314</v>
      </c>
      <c r="G241" s="0" t="n">
        <f aca="false">original_dataset!G241</f>
        <v>0.186</v>
      </c>
      <c r="H241" s="0" t="n">
        <f aca="false">original_dataset!H241</f>
        <v>21</v>
      </c>
      <c r="I241" s="0" t="n">
        <f aca="false">original_dataset!I241</f>
        <v>83.7</v>
      </c>
      <c r="J241" s="0" t="n">
        <f aca="false">IF(ISBLANK(original_dataset!J241),MEDIAN(original_dataset!$J$2:$J$321),original_dataset!J241)</f>
        <v>4.62</v>
      </c>
      <c r="K241" s="0" t="n">
        <f aca="false">original_dataset!K241</f>
        <v>0</v>
      </c>
      <c r="L241" s="0" t="n">
        <f aca="false">IF(ISBLANK(original_dataset!L241),MEDIAN(original_dataset!$L$2:$L$321),original_dataset!L241)</f>
        <v>3.3</v>
      </c>
      <c r="M241" s="0" t="n">
        <f aca="false">original_dataset!M241</f>
        <v>737070.18</v>
      </c>
      <c r="N241" s="0" t="n">
        <f aca="false">original_dataset!N241</f>
        <v>117593.97</v>
      </c>
      <c r="O241" s="0" t="str">
        <f aca="false">IF(ISBLANK(original_dataset!J241),"Yes","No")</f>
        <v>No</v>
      </c>
      <c r="P241" s="0" t="str">
        <f aca="false">IF(ISBLANK(original_dataset!L241),"Yes","No")</f>
        <v>No</v>
      </c>
    </row>
    <row r="242" customFormat="false" ht="15" hidden="false" customHeight="false" outlineLevel="0" collapsed="false">
      <c r="A242" s="0" t="str">
        <f aca="false">original_dataset!A242</f>
        <v>STR-1061</v>
      </c>
      <c r="B242" s="0" t="str">
        <f aca="false">original_dataset!B242</f>
        <v>2025-01-01</v>
      </c>
      <c r="C242" s="0" t="str">
        <f aca="false">original_dataset!C242</f>
        <v>South</v>
      </c>
      <c r="D242" s="0" t="str">
        <f aca="false">original_dataset!D242</f>
        <v>Airport</v>
      </c>
      <c r="E242" s="0" t="n">
        <f aca="false">original_dataset!E242</f>
        <v>69900.12</v>
      </c>
      <c r="F242" s="0" t="n">
        <f aca="false">original_dataset!F242</f>
        <v>8055</v>
      </c>
      <c r="G242" s="0" t="n">
        <f aca="false">original_dataset!G242</f>
        <v>0.281</v>
      </c>
      <c r="H242" s="0" t="n">
        <f aca="false">original_dataset!H242</f>
        <v>22</v>
      </c>
      <c r="I242" s="0" t="n">
        <f aca="false">original_dataset!I242</f>
        <v>85.6</v>
      </c>
      <c r="J242" s="0" t="n">
        <f aca="false">IF(ISBLANK(original_dataset!J242),MEDIAN(original_dataset!$J$2:$J$321),original_dataset!J242)</f>
        <v>10.68</v>
      </c>
      <c r="K242" s="0" t="n">
        <f aca="false">original_dataset!K242</f>
        <v>1</v>
      </c>
      <c r="L242" s="0" t="n">
        <f aca="false">IF(ISBLANK(original_dataset!L242),MEDIAN(original_dataset!$L$2:$L$321),original_dataset!L242)</f>
        <v>2.9</v>
      </c>
      <c r="M242" s="0" t="n">
        <f aca="false">original_dataset!M242</f>
        <v>776992.93</v>
      </c>
      <c r="N242" s="0" t="n">
        <f aca="false">original_dataset!N242</f>
        <v>101598.32</v>
      </c>
      <c r="O242" s="0" t="str">
        <f aca="false">IF(ISBLANK(original_dataset!J242),"Yes","No")</f>
        <v>No</v>
      </c>
      <c r="P242" s="0" t="str">
        <f aca="false">IF(ISBLANK(original_dataset!L242),"Yes","No")</f>
        <v>No</v>
      </c>
    </row>
    <row r="243" customFormat="false" ht="15" hidden="false" customHeight="false" outlineLevel="0" collapsed="false">
      <c r="A243" s="0" t="str">
        <f aca="false">original_dataset!A243</f>
        <v>STR-1061</v>
      </c>
      <c r="B243" s="0" t="str">
        <f aca="false">original_dataset!B243</f>
        <v>2025-02-01</v>
      </c>
      <c r="C243" s="0" t="str">
        <f aca="false">original_dataset!C243</f>
        <v>South</v>
      </c>
      <c r="D243" s="0" t="str">
        <f aca="false">original_dataset!D243</f>
        <v>Airport</v>
      </c>
      <c r="E243" s="0" t="n">
        <f aca="false">original_dataset!E243</f>
        <v>51781.6</v>
      </c>
      <c r="F243" s="0" t="n">
        <f aca="false">original_dataset!F243</f>
        <v>5648</v>
      </c>
      <c r="G243" s="0" t="n">
        <f aca="false">original_dataset!G243</f>
        <v>0.059</v>
      </c>
      <c r="H243" s="0" t="n">
        <f aca="false">original_dataset!H243</f>
        <v>13</v>
      </c>
      <c r="I243" s="0" t="n">
        <f aca="false">original_dataset!I243</f>
        <v>85.5</v>
      </c>
      <c r="J243" s="0" t="n">
        <f aca="false">IF(ISBLANK(original_dataset!J243),MEDIAN(original_dataset!$J$2:$J$321),original_dataset!J243)</f>
        <v>4.04</v>
      </c>
      <c r="K243" s="0" t="n">
        <f aca="false">original_dataset!K243</f>
        <v>0</v>
      </c>
      <c r="L243" s="0" t="n">
        <f aca="false">IF(ISBLANK(original_dataset!L243),MEDIAN(original_dataset!$L$2:$L$321),original_dataset!L243)</f>
        <v>3.7</v>
      </c>
      <c r="M243" s="0" t="n">
        <f aca="false">original_dataset!M243</f>
        <v>676337.41</v>
      </c>
      <c r="N243" s="0" t="n">
        <f aca="false">original_dataset!N243</f>
        <v>104355.77</v>
      </c>
      <c r="O243" s="0" t="str">
        <f aca="false">IF(ISBLANK(original_dataset!J243),"Yes","No")</f>
        <v>No</v>
      </c>
      <c r="P243" s="0" t="str">
        <f aca="false">IF(ISBLANK(original_dataset!L243),"Yes","No")</f>
        <v>No</v>
      </c>
    </row>
    <row r="244" customFormat="false" ht="15" hidden="false" customHeight="false" outlineLevel="0" collapsed="false">
      <c r="A244" s="0" t="str">
        <f aca="false">original_dataset!A244</f>
        <v>STR-1061</v>
      </c>
      <c r="B244" s="0" t="str">
        <f aca="false">original_dataset!B244</f>
        <v>2025-03-01</v>
      </c>
      <c r="C244" s="0" t="str">
        <f aca="false">original_dataset!C244</f>
        <v>South</v>
      </c>
      <c r="D244" s="0" t="str">
        <f aca="false">original_dataset!D244</f>
        <v>Airport</v>
      </c>
      <c r="E244" s="0" t="n">
        <f aca="false">original_dataset!E244</f>
        <v>70799.64</v>
      </c>
      <c r="F244" s="0" t="n">
        <f aca="false">original_dataset!F244</f>
        <v>10076</v>
      </c>
      <c r="G244" s="0" t="n">
        <f aca="false">original_dataset!G244</f>
        <v>0.152</v>
      </c>
      <c r="H244" s="0" t="n">
        <f aca="false">original_dataset!H244</f>
        <v>24</v>
      </c>
      <c r="I244" s="0" t="n">
        <f aca="false">original_dataset!I244</f>
        <v>84.8</v>
      </c>
      <c r="J244" s="0" t="n">
        <f aca="false">IF(ISBLANK(original_dataset!J244),MEDIAN(original_dataset!$J$2:$J$321),original_dataset!J244)</f>
        <v>1.87</v>
      </c>
      <c r="K244" s="0" t="n">
        <f aca="false">original_dataset!K244</f>
        <v>0</v>
      </c>
      <c r="L244" s="0" t="n">
        <f aca="false">IF(ISBLANK(original_dataset!L244),MEDIAN(original_dataset!$L$2:$L$321),original_dataset!L244)</f>
        <v>3.5</v>
      </c>
      <c r="M244" s="0" t="n">
        <f aca="false">original_dataset!M244</f>
        <v>828219.67</v>
      </c>
      <c r="N244" s="0" t="n">
        <f aca="false">original_dataset!N244</f>
        <v>179806.87</v>
      </c>
      <c r="O244" s="0" t="str">
        <f aca="false">IF(ISBLANK(original_dataset!J244),"Yes","No")</f>
        <v>No</v>
      </c>
      <c r="P244" s="0" t="str">
        <f aca="false">IF(ISBLANK(original_dataset!L244),"Yes","No")</f>
        <v>No</v>
      </c>
    </row>
    <row r="245" customFormat="false" ht="15" hidden="false" customHeight="false" outlineLevel="0" collapsed="false">
      <c r="A245" s="0" t="str">
        <f aca="false">original_dataset!A245</f>
        <v>STR-1061</v>
      </c>
      <c r="B245" s="0" t="str">
        <f aca="false">original_dataset!B245</f>
        <v>2025-04-01</v>
      </c>
      <c r="C245" s="0" t="str">
        <f aca="false">original_dataset!C245</f>
        <v>South</v>
      </c>
      <c r="D245" s="0" t="str">
        <f aca="false">original_dataset!D245</f>
        <v>Airport</v>
      </c>
      <c r="E245" s="0" t="n">
        <f aca="false">original_dataset!E245</f>
        <v>53546.34</v>
      </c>
      <c r="F245" s="0" t="n">
        <f aca="false">original_dataset!F245</f>
        <v>8004</v>
      </c>
      <c r="G245" s="0" t="n">
        <f aca="false">original_dataset!G245</f>
        <v>0</v>
      </c>
      <c r="H245" s="0" t="n">
        <f aca="false">original_dataset!H245</f>
        <v>21</v>
      </c>
      <c r="I245" s="0" t="n">
        <f aca="false">original_dataset!I245</f>
        <v>95.2</v>
      </c>
      <c r="J245" s="0" t="n">
        <f aca="false">IF(ISBLANK(original_dataset!J245),MEDIAN(original_dataset!$J$2:$J$321),original_dataset!J245)</f>
        <v>2.83</v>
      </c>
      <c r="K245" s="0" t="n">
        <f aca="false">original_dataset!K245</f>
        <v>0</v>
      </c>
      <c r="L245" s="0" t="n">
        <f aca="false">IF(ISBLANK(original_dataset!L245),MEDIAN(original_dataset!$L$2:$L$321),original_dataset!L245)</f>
        <v>3</v>
      </c>
      <c r="M245" s="0" t="n">
        <f aca="false">original_dataset!M245</f>
        <v>763159.92</v>
      </c>
      <c r="N245" s="0" t="n">
        <f aca="false">original_dataset!N245</f>
        <v>177104.87</v>
      </c>
      <c r="O245" s="0" t="str">
        <f aca="false">IF(ISBLANK(original_dataset!J245),"Yes","No")</f>
        <v>No</v>
      </c>
      <c r="P245" s="0" t="str">
        <f aca="false">IF(ISBLANK(original_dataset!L245),"Yes","No")</f>
        <v>No</v>
      </c>
    </row>
    <row r="246" customFormat="false" ht="15" hidden="false" customHeight="false" outlineLevel="0" collapsed="false">
      <c r="A246" s="0" t="str">
        <f aca="false">original_dataset!A246</f>
        <v>STR-1062</v>
      </c>
      <c r="B246" s="0" t="str">
        <f aca="false">original_dataset!B246</f>
        <v>2025-01-01</v>
      </c>
      <c r="C246" s="0" t="str">
        <f aca="false">original_dataset!C246</f>
        <v>East</v>
      </c>
      <c r="D246" s="0" t="str">
        <f aca="false">original_dataset!D246</f>
        <v>High Street</v>
      </c>
      <c r="E246" s="0" t="n">
        <f aca="false">original_dataset!E246</f>
        <v>76942.2</v>
      </c>
      <c r="F246" s="0" t="n">
        <f aca="false">original_dataset!F246</f>
        <v>8934</v>
      </c>
      <c r="G246" s="0" t="n">
        <f aca="false">original_dataset!G246</f>
        <v>0.084</v>
      </c>
      <c r="H246" s="0" t="n">
        <f aca="false">original_dataset!H246</f>
        <v>20</v>
      </c>
      <c r="I246" s="0" t="n">
        <f aca="false">original_dataset!I246</f>
        <v>91</v>
      </c>
      <c r="J246" s="0" t="n">
        <f aca="false">IF(ISBLANK(original_dataset!J246),MEDIAN(original_dataset!$J$2:$J$321),original_dataset!J246)</f>
        <v>0.95</v>
      </c>
      <c r="K246" s="0" t="n">
        <f aca="false">original_dataset!K246</f>
        <v>0</v>
      </c>
      <c r="L246" s="0" t="n">
        <f aca="false">IF(ISBLANK(original_dataset!L246),MEDIAN(original_dataset!$L$2:$L$321),original_dataset!L246)</f>
        <v>3.2</v>
      </c>
      <c r="M246" s="0" t="n">
        <f aca="false">original_dataset!M246</f>
        <v>802001.68</v>
      </c>
      <c r="N246" s="0" t="n">
        <f aca="false">original_dataset!N246</f>
        <v>159715.82</v>
      </c>
      <c r="O246" s="0" t="str">
        <f aca="false">IF(ISBLANK(original_dataset!J246),"Yes","No")</f>
        <v>No</v>
      </c>
      <c r="P246" s="0" t="str">
        <f aca="false">IF(ISBLANK(original_dataset!L246),"Yes","No")</f>
        <v>No</v>
      </c>
    </row>
    <row r="247" customFormat="false" ht="15" hidden="false" customHeight="false" outlineLevel="0" collapsed="false">
      <c r="A247" s="0" t="str">
        <f aca="false">original_dataset!A247</f>
        <v>STR-1062</v>
      </c>
      <c r="B247" s="0" t="str">
        <f aca="false">original_dataset!B247</f>
        <v>2025-02-01</v>
      </c>
      <c r="C247" s="0" t="str">
        <f aca="false">original_dataset!C247</f>
        <v>East</v>
      </c>
      <c r="D247" s="0" t="str">
        <f aca="false">original_dataset!D247</f>
        <v>High Street</v>
      </c>
      <c r="E247" s="0" t="n">
        <f aca="false">original_dataset!E247</f>
        <v>48060.78</v>
      </c>
      <c r="F247" s="0" t="n">
        <f aca="false">original_dataset!F247</f>
        <v>8733</v>
      </c>
      <c r="G247" s="0" t="n">
        <f aca="false">original_dataset!G247</f>
        <v>0</v>
      </c>
      <c r="H247" s="0" t="n">
        <f aca="false">original_dataset!H247</f>
        <v>20</v>
      </c>
      <c r="I247" s="0" t="n">
        <f aca="false">original_dataset!I247</f>
        <v>89.9</v>
      </c>
      <c r="J247" s="0" t="n">
        <f aca="false">IF(ISBLANK(original_dataset!J247),MEDIAN(original_dataset!$J$2:$J$321),original_dataset!J247)</f>
        <v>0.8</v>
      </c>
      <c r="K247" s="0" t="n">
        <f aca="false">original_dataset!K247</f>
        <v>0</v>
      </c>
      <c r="L247" s="0" t="n">
        <f aca="false">IF(ISBLANK(original_dataset!L247),MEDIAN(original_dataset!$L$2:$L$321),original_dataset!L247)</f>
        <v>3.4</v>
      </c>
      <c r="M247" s="0" t="n">
        <f aca="false">original_dataset!M247</f>
        <v>750471.34</v>
      </c>
      <c r="N247" s="0" t="n">
        <f aca="false">original_dataset!N247</f>
        <v>133788.04</v>
      </c>
      <c r="O247" s="0" t="str">
        <f aca="false">IF(ISBLANK(original_dataset!J247),"Yes","No")</f>
        <v>No</v>
      </c>
      <c r="P247" s="0" t="str">
        <f aca="false">IF(ISBLANK(original_dataset!L247),"Yes","No")</f>
        <v>No</v>
      </c>
    </row>
    <row r="248" customFormat="false" ht="15" hidden="false" customHeight="false" outlineLevel="0" collapsed="false">
      <c r="A248" s="0" t="str">
        <f aca="false">original_dataset!A248</f>
        <v>STR-1062</v>
      </c>
      <c r="B248" s="0" t="str">
        <f aca="false">original_dataset!B248</f>
        <v>2025-03-01</v>
      </c>
      <c r="C248" s="0" t="str">
        <f aca="false">original_dataset!C248</f>
        <v>East</v>
      </c>
      <c r="D248" s="0" t="str">
        <f aca="false">original_dataset!D248</f>
        <v>High Street</v>
      </c>
      <c r="E248" s="0" t="n">
        <f aca="false">original_dataset!E248</f>
        <v>57390.04</v>
      </c>
      <c r="F248" s="0" t="n">
        <f aca="false">original_dataset!F248</f>
        <v>7374</v>
      </c>
      <c r="G248" s="0" t="n">
        <f aca="false">original_dataset!G248</f>
        <v>0.21</v>
      </c>
      <c r="H248" s="0" t="n">
        <f aca="false">original_dataset!H248</f>
        <v>21</v>
      </c>
      <c r="I248" s="0" t="n">
        <f aca="false">original_dataset!I248</f>
        <v>91.8</v>
      </c>
      <c r="J248" s="0" t="n">
        <f aca="false">IF(ISBLANK(original_dataset!J248),MEDIAN(original_dataset!$J$2:$J$321),original_dataset!J248)</f>
        <v>0.2</v>
      </c>
      <c r="K248" s="0" t="n">
        <f aca="false">original_dataset!K248</f>
        <v>0</v>
      </c>
      <c r="L248" s="0" t="n">
        <f aca="false">IF(ISBLANK(original_dataset!L248),MEDIAN(original_dataset!$L$2:$L$321),original_dataset!L248)</f>
        <v>3.1</v>
      </c>
      <c r="M248" s="0" t="n">
        <f aca="false">original_dataset!M248</f>
        <v>679230.86</v>
      </c>
      <c r="N248" s="0" t="n">
        <f aca="false">original_dataset!N248</f>
        <v>106927.58</v>
      </c>
      <c r="O248" s="0" t="str">
        <f aca="false">IF(ISBLANK(original_dataset!J248),"Yes","No")</f>
        <v>No</v>
      </c>
      <c r="P248" s="0" t="str">
        <f aca="false">IF(ISBLANK(original_dataset!L248),"Yes","No")</f>
        <v>No</v>
      </c>
    </row>
    <row r="249" customFormat="false" ht="15" hidden="false" customHeight="false" outlineLevel="0" collapsed="false">
      <c r="A249" s="0" t="str">
        <f aca="false">original_dataset!A249</f>
        <v>STR-1062</v>
      </c>
      <c r="B249" s="0" t="str">
        <f aca="false">original_dataset!B249</f>
        <v>2025-04-01</v>
      </c>
      <c r="C249" s="0" t="str">
        <f aca="false">original_dataset!C249</f>
        <v>East</v>
      </c>
      <c r="D249" s="0" t="str">
        <f aca="false">original_dataset!D249</f>
        <v>High Street</v>
      </c>
      <c r="E249" s="0" t="n">
        <f aca="false">original_dataset!E249</f>
        <v>21536.18</v>
      </c>
      <c r="F249" s="0" t="n">
        <f aca="false">original_dataset!F249</f>
        <v>8119</v>
      </c>
      <c r="G249" s="0" t="n">
        <f aca="false">original_dataset!G249</f>
        <v>0.227</v>
      </c>
      <c r="H249" s="0" t="n">
        <f aca="false">original_dataset!H249</f>
        <v>20</v>
      </c>
      <c r="I249" s="0" t="n">
        <f aca="false">original_dataset!I249</f>
        <v>90.4</v>
      </c>
      <c r="J249" s="0" t="n">
        <f aca="false">IF(ISBLANK(original_dataset!J249),MEDIAN(original_dataset!$J$2:$J$321),original_dataset!J249)</f>
        <v>1.7</v>
      </c>
      <c r="K249" s="0" t="n">
        <f aca="false">original_dataset!K249</f>
        <v>0</v>
      </c>
      <c r="L249" s="0" t="n">
        <f aca="false">IF(ISBLANK(original_dataset!L249),MEDIAN(original_dataset!$L$2:$L$321),original_dataset!L249)</f>
        <v>3.3</v>
      </c>
      <c r="M249" s="0" t="n">
        <f aca="false">original_dataset!M249</f>
        <v>679888.74</v>
      </c>
      <c r="N249" s="0" t="n">
        <f aca="false">original_dataset!N249</f>
        <v>83406.89</v>
      </c>
      <c r="O249" s="0" t="str">
        <f aca="false">IF(ISBLANK(original_dataset!J249),"Yes","No")</f>
        <v>No</v>
      </c>
      <c r="P249" s="0" t="str">
        <f aca="false">IF(ISBLANK(original_dataset!L249),"Yes","No")</f>
        <v>No</v>
      </c>
    </row>
    <row r="250" customFormat="false" ht="15" hidden="false" customHeight="false" outlineLevel="0" collapsed="false">
      <c r="A250" s="0" t="str">
        <f aca="false">original_dataset!A250</f>
        <v>STR-1063</v>
      </c>
      <c r="B250" s="0" t="str">
        <f aca="false">original_dataset!B250</f>
        <v>2025-01-01</v>
      </c>
      <c r="C250" s="0" t="str">
        <f aca="false">original_dataset!C250</f>
        <v>North</v>
      </c>
      <c r="D250" s="0" t="str">
        <f aca="false">original_dataset!D250</f>
        <v>High Street</v>
      </c>
      <c r="E250" s="0" t="n">
        <f aca="false">original_dataset!E250</f>
        <v>40923.67</v>
      </c>
      <c r="F250" s="0" t="n">
        <f aca="false">original_dataset!F250</f>
        <v>3875</v>
      </c>
      <c r="G250" s="0" t="n">
        <f aca="false">original_dataset!G250</f>
        <v>0.15</v>
      </c>
      <c r="H250" s="0" t="n">
        <f aca="false">original_dataset!H250</f>
        <v>10</v>
      </c>
      <c r="I250" s="0" t="n">
        <f aca="false">original_dataset!I250</f>
        <v>96.1</v>
      </c>
      <c r="J250" s="0" t="n">
        <f aca="false">IF(ISBLANK(original_dataset!J250),MEDIAN(original_dataset!$J$2:$J$321),original_dataset!J250)</f>
        <v>3.365</v>
      </c>
      <c r="K250" s="0" t="n">
        <f aca="false">original_dataset!K250</f>
        <v>0</v>
      </c>
      <c r="L250" s="0" t="n">
        <f aca="false">IF(ISBLANK(original_dataset!L250),MEDIAN(original_dataset!$L$2:$L$321),original_dataset!L250)</f>
        <v>3.8</v>
      </c>
      <c r="M250" s="0" t="n">
        <f aca="false">original_dataset!M250</f>
        <v>606783.67</v>
      </c>
      <c r="N250" s="0" t="n">
        <f aca="false">original_dataset!N250</f>
        <v>74515.87</v>
      </c>
      <c r="O250" s="0" t="str">
        <f aca="false">IF(ISBLANK(original_dataset!J250),"Yes","No")</f>
        <v>Yes</v>
      </c>
      <c r="P250" s="0" t="str">
        <f aca="false">IF(ISBLANK(original_dataset!L250),"Yes","No")</f>
        <v>No</v>
      </c>
    </row>
    <row r="251" customFormat="false" ht="15" hidden="false" customHeight="false" outlineLevel="0" collapsed="false">
      <c r="A251" s="0" t="str">
        <f aca="false">original_dataset!A251</f>
        <v>STR-1063</v>
      </c>
      <c r="B251" s="0" t="str">
        <f aca="false">original_dataset!B251</f>
        <v>2025-02-01</v>
      </c>
      <c r="C251" s="0" t="str">
        <f aca="false">original_dataset!C251</f>
        <v>North</v>
      </c>
      <c r="D251" s="0" t="str">
        <f aca="false">original_dataset!D251</f>
        <v>High Street</v>
      </c>
      <c r="E251" s="0" t="n">
        <f aca="false">original_dataset!E251</f>
        <v>72932.55</v>
      </c>
      <c r="F251" s="0" t="n">
        <f aca="false">original_dataset!F251</f>
        <v>5765</v>
      </c>
      <c r="G251" s="0" t="n">
        <f aca="false">original_dataset!G251</f>
        <v>0.026</v>
      </c>
      <c r="H251" s="0" t="n">
        <f aca="false">original_dataset!H251</f>
        <v>17</v>
      </c>
      <c r="I251" s="0" t="n">
        <f aca="false">original_dataset!I251</f>
        <v>81.8</v>
      </c>
      <c r="J251" s="0" t="n">
        <f aca="false">IF(ISBLANK(original_dataset!J251),MEDIAN(original_dataset!$J$2:$J$321),original_dataset!J251)</f>
        <v>5.1</v>
      </c>
      <c r="K251" s="0" t="n">
        <f aca="false">original_dataset!K251</f>
        <v>0</v>
      </c>
      <c r="L251" s="0" t="n">
        <f aca="false">IF(ISBLANK(original_dataset!L251),MEDIAN(original_dataset!$L$2:$L$321),original_dataset!L251)</f>
        <v>3.6</v>
      </c>
      <c r="M251" s="0" t="n">
        <f aca="false">original_dataset!M251</f>
        <v>642751.42</v>
      </c>
      <c r="N251" s="0" t="n">
        <f aca="false">original_dataset!N251</f>
        <v>131942.15</v>
      </c>
      <c r="O251" s="0" t="str">
        <f aca="false">IF(ISBLANK(original_dataset!J251),"Yes","No")</f>
        <v>No</v>
      </c>
      <c r="P251" s="0" t="str">
        <f aca="false">IF(ISBLANK(original_dataset!L251),"Yes","No")</f>
        <v>No</v>
      </c>
    </row>
    <row r="252" customFormat="false" ht="15" hidden="false" customHeight="false" outlineLevel="0" collapsed="false">
      <c r="A252" s="0" t="str">
        <f aca="false">original_dataset!A252</f>
        <v>STR-1063</v>
      </c>
      <c r="B252" s="0" t="str">
        <f aca="false">original_dataset!B252</f>
        <v>2025-03-01</v>
      </c>
      <c r="C252" s="0" t="str">
        <f aca="false">original_dataset!C252</f>
        <v>North</v>
      </c>
      <c r="D252" s="0" t="str">
        <f aca="false">original_dataset!D252</f>
        <v>High Street</v>
      </c>
      <c r="E252" s="0" t="n">
        <f aca="false">original_dataset!E252</f>
        <v>38361.93</v>
      </c>
      <c r="F252" s="0" t="n">
        <f aca="false">original_dataset!F252</f>
        <v>6322</v>
      </c>
      <c r="G252" s="0" t="n">
        <f aca="false">original_dataset!G252</f>
        <v>0.273</v>
      </c>
      <c r="H252" s="0" t="n">
        <f aca="false">original_dataset!H252</f>
        <v>15</v>
      </c>
      <c r="I252" s="0" t="n">
        <f aca="false">original_dataset!I252</f>
        <v>88.4</v>
      </c>
      <c r="J252" s="0" t="n">
        <f aca="false">IF(ISBLANK(original_dataset!J252),MEDIAN(original_dataset!$J$2:$J$321),original_dataset!J252)</f>
        <v>0.83</v>
      </c>
      <c r="K252" s="0" t="n">
        <f aca="false">original_dataset!K252</f>
        <v>0</v>
      </c>
      <c r="L252" s="0" t="n">
        <f aca="false">IF(ISBLANK(original_dataset!L252),MEDIAN(original_dataset!$L$2:$L$321),original_dataset!L252)</f>
        <v>4</v>
      </c>
      <c r="M252" s="0" t="n">
        <f aca="false">original_dataset!M252</f>
        <v>647953.78</v>
      </c>
      <c r="N252" s="0" t="n">
        <f aca="false">original_dataset!N252</f>
        <v>118497.43</v>
      </c>
      <c r="O252" s="0" t="str">
        <f aca="false">IF(ISBLANK(original_dataset!J252),"Yes","No")</f>
        <v>No</v>
      </c>
      <c r="P252" s="0" t="str">
        <f aca="false">IF(ISBLANK(original_dataset!L252),"Yes","No")</f>
        <v>No</v>
      </c>
    </row>
    <row r="253" customFormat="false" ht="15" hidden="false" customHeight="false" outlineLevel="0" collapsed="false">
      <c r="A253" s="0" t="str">
        <f aca="false">original_dataset!A253</f>
        <v>STR-1063</v>
      </c>
      <c r="B253" s="0" t="str">
        <f aca="false">original_dataset!B253</f>
        <v>2025-04-01</v>
      </c>
      <c r="C253" s="0" t="str">
        <f aca="false">original_dataset!C253</f>
        <v>North</v>
      </c>
      <c r="D253" s="0" t="str">
        <f aca="false">original_dataset!D253</f>
        <v>High Street</v>
      </c>
      <c r="E253" s="0" t="n">
        <f aca="false">original_dataset!E253</f>
        <v>97480.94</v>
      </c>
      <c r="F253" s="0" t="n">
        <f aca="false">original_dataset!F253</f>
        <v>6840</v>
      </c>
      <c r="G253" s="0" t="n">
        <f aca="false">original_dataset!G253</f>
        <v>0.087</v>
      </c>
      <c r="H253" s="0" t="n">
        <f aca="false">original_dataset!H253</f>
        <v>14</v>
      </c>
      <c r="I253" s="0" t="n">
        <f aca="false">original_dataset!I253</f>
        <v>79.2</v>
      </c>
      <c r="J253" s="0" t="n">
        <f aca="false">IF(ISBLANK(original_dataset!J253),MEDIAN(original_dataset!$J$2:$J$321),original_dataset!J253)</f>
        <v>1.14</v>
      </c>
      <c r="K253" s="0" t="n">
        <f aca="false">original_dataset!K253</f>
        <v>0</v>
      </c>
      <c r="L253" s="0" t="n">
        <f aca="false">IF(ISBLANK(original_dataset!L253),MEDIAN(original_dataset!$L$2:$L$321),original_dataset!L253)</f>
        <v>4</v>
      </c>
      <c r="M253" s="0" t="n">
        <f aca="false">original_dataset!M253</f>
        <v>729440.45</v>
      </c>
      <c r="N253" s="0" t="n">
        <f aca="false">original_dataset!N253</f>
        <v>87614.29</v>
      </c>
      <c r="O253" s="0" t="str">
        <f aca="false">IF(ISBLANK(original_dataset!J253),"Yes","No")</f>
        <v>No</v>
      </c>
      <c r="P253" s="0" t="str">
        <f aca="false">IF(ISBLANK(original_dataset!L253),"Yes","No")</f>
        <v>No</v>
      </c>
    </row>
    <row r="254" customFormat="false" ht="15" hidden="false" customHeight="false" outlineLevel="0" collapsed="false">
      <c r="A254" s="0" t="str">
        <f aca="false">original_dataset!A254</f>
        <v>STR-1064</v>
      </c>
      <c r="B254" s="0" t="str">
        <f aca="false">original_dataset!B254</f>
        <v>2025-01-01</v>
      </c>
      <c r="C254" s="0" t="str">
        <f aca="false">original_dataset!C254</f>
        <v>South</v>
      </c>
      <c r="D254" s="0" t="str">
        <f aca="false">original_dataset!D254</f>
        <v>Airport</v>
      </c>
      <c r="E254" s="0" t="n">
        <f aca="false">original_dataset!E254</f>
        <v>81801.8</v>
      </c>
      <c r="F254" s="0" t="n">
        <f aca="false">original_dataset!F254</f>
        <v>6782</v>
      </c>
      <c r="G254" s="0" t="n">
        <f aca="false">original_dataset!G254</f>
        <v>0.05</v>
      </c>
      <c r="H254" s="0" t="n">
        <f aca="false">original_dataset!H254</f>
        <v>16</v>
      </c>
      <c r="I254" s="0" t="n">
        <f aca="false">original_dataset!I254</f>
        <v>99</v>
      </c>
      <c r="J254" s="0" t="n">
        <f aca="false">IF(ISBLANK(original_dataset!J254),MEDIAN(original_dataset!$J$2:$J$321),original_dataset!J254)</f>
        <v>9.54</v>
      </c>
      <c r="K254" s="0" t="n">
        <f aca="false">original_dataset!K254</f>
        <v>0</v>
      </c>
      <c r="L254" s="0" t="n">
        <f aca="false">IF(ISBLANK(original_dataset!L254),MEDIAN(original_dataset!$L$2:$L$321),original_dataset!L254)</f>
        <v>3.7</v>
      </c>
      <c r="M254" s="0" t="n">
        <f aca="false">original_dataset!M254</f>
        <v>764949</v>
      </c>
      <c r="N254" s="0" t="n">
        <f aca="false">original_dataset!N254</f>
        <v>148322.43</v>
      </c>
      <c r="O254" s="0" t="str">
        <f aca="false">IF(ISBLANK(original_dataset!J254),"Yes","No")</f>
        <v>No</v>
      </c>
      <c r="P254" s="0" t="str">
        <f aca="false">IF(ISBLANK(original_dataset!L254),"Yes","No")</f>
        <v>No</v>
      </c>
    </row>
    <row r="255" customFormat="false" ht="15" hidden="false" customHeight="false" outlineLevel="0" collapsed="false">
      <c r="A255" s="0" t="str">
        <f aca="false">original_dataset!A255</f>
        <v>STR-1064</v>
      </c>
      <c r="B255" s="0" t="str">
        <f aca="false">original_dataset!B255</f>
        <v>2025-02-01</v>
      </c>
      <c r="C255" s="0" t="str">
        <f aca="false">original_dataset!C255</f>
        <v>South</v>
      </c>
      <c r="D255" s="0" t="str">
        <f aca="false">original_dataset!D255</f>
        <v>Airport</v>
      </c>
      <c r="E255" s="0" t="n">
        <f aca="false">original_dataset!E255</f>
        <v>63582.11</v>
      </c>
      <c r="F255" s="0" t="n">
        <f aca="false">original_dataset!F255</f>
        <v>6856</v>
      </c>
      <c r="G255" s="0" t="n">
        <f aca="false">original_dataset!G255</f>
        <v>0.074</v>
      </c>
      <c r="H255" s="0" t="n">
        <f aca="false">original_dataset!H255</f>
        <v>17</v>
      </c>
      <c r="I255" s="0" t="n">
        <f aca="false">original_dataset!I255</f>
        <v>89.5</v>
      </c>
      <c r="J255" s="0" t="n">
        <f aca="false">IF(ISBLANK(original_dataset!J255),MEDIAN(original_dataset!$J$2:$J$321),original_dataset!J255)</f>
        <v>5.48</v>
      </c>
      <c r="K255" s="0" t="n">
        <f aca="false">original_dataset!K255</f>
        <v>0</v>
      </c>
      <c r="L255" s="0" t="n">
        <f aca="false">IF(ISBLANK(original_dataset!L255),MEDIAN(original_dataset!$L$2:$L$321),original_dataset!L255)</f>
        <v>3.2</v>
      </c>
      <c r="M255" s="0" t="n">
        <f aca="false">original_dataset!M255</f>
        <v>799046.94</v>
      </c>
      <c r="N255" s="0" t="n">
        <f aca="false">original_dataset!N255</f>
        <v>144553.64</v>
      </c>
      <c r="O255" s="0" t="str">
        <f aca="false">IF(ISBLANK(original_dataset!J255),"Yes","No")</f>
        <v>No</v>
      </c>
      <c r="P255" s="0" t="str">
        <f aca="false">IF(ISBLANK(original_dataset!L255),"Yes","No")</f>
        <v>No</v>
      </c>
    </row>
    <row r="256" customFormat="false" ht="15" hidden="false" customHeight="false" outlineLevel="0" collapsed="false">
      <c r="A256" s="0" t="str">
        <f aca="false">original_dataset!A256</f>
        <v>STR-1064</v>
      </c>
      <c r="B256" s="0" t="str">
        <f aca="false">original_dataset!B256</f>
        <v>2025-03-01</v>
      </c>
      <c r="C256" s="0" t="str">
        <f aca="false">original_dataset!C256</f>
        <v>South</v>
      </c>
      <c r="D256" s="0" t="str">
        <f aca="false">original_dataset!D256</f>
        <v>Airport</v>
      </c>
      <c r="E256" s="0" t="n">
        <f aca="false">original_dataset!E256</f>
        <v>75412.74</v>
      </c>
      <c r="F256" s="0" t="n">
        <f aca="false">original_dataset!F256</f>
        <v>5641</v>
      </c>
      <c r="G256" s="0" t="n">
        <f aca="false">original_dataset!G256</f>
        <v>0.059</v>
      </c>
      <c r="H256" s="0" t="n">
        <f aca="false">original_dataset!H256</f>
        <v>13</v>
      </c>
      <c r="I256" s="0" t="n">
        <f aca="false">original_dataset!I256</f>
        <v>87.9</v>
      </c>
      <c r="J256" s="0" t="n">
        <f aca="false">IF(ISBLANK(original_dataset!J256),MEDIAN(original_dataset!$J$2:$J$321),original_dataset!J256)</f>
        <v>0.84</v>
      </c>
      <c r="K256" s="0" t="n">
        <f aca="false">original_dataset!K256</f>
        <v>0</v>
      </c>
      <c r="L256" s="0" t="n">
        <f aca="false">IF(ISBLANK(original_dataset!L256),MEDIAN(original_dataset!$L$2:$L$321),original_dataset!L256)</f>
        <v>3.6</v>
      </c>
      <c r="M256" s="0" t="n">
        <f aca="false">original_dataset!M256</f>
        <v>720079.54</v>
      </c>
      <c r="N256" s="0" t="n">
        <f aca="false">original_dataset!N256</f>
        <v>119499.47</v>
      </c>
      <c r="O256" s="0" t="str">
        <f aca="false">IF(ISBLANK(original_dataset!J256),"Yes","No")</f>
        <v>No</v>
      </c>
      <c r="P256" s="0" t="str">
        <f aca="false">IF(ISBLANK(original_dataset!L256),"Yes","No")</f>
        <v>No</v>
      </c>
    </row>
    <row r="257" customFormat="false" ht="15" hidden="false" customHeight="false" outlineLevel="0" collapsed="false">
      <c r="A257" s="0" t="str">
        <f aca="false">original_dataset!A257</f>
        <v>STR-1064</v>
      </c>
      <c r="B257" s="0" t="str">
        <f aca="false">original_dataset!B257</f>
        <v>2025-04-01</v>
      </c>
      <c r="C257" s="0" t="str">
        <f aca="false">original_dataset!C257</f>
        <v>South</v>
      </c>
      <c r="D257" s="0" t="str">
        <f aca="false">original_dataset!D257</f>
        <v>Airport</v>
      </c>
      <c r="E257" s="0" t="n">
        <f aca="false">original_dataset!E257</f>
        <v>36290.08</v>
      </c>
      <c r="F257" s="0" t="n">
        <f aca="false">original_dataset!F257</f>
        <v>5787</v>
      </c>
      <c r="G257" s="0" t="n">
        <f aca="false">original_dataset!G257</f>
        <v>0</v>
      </c>
      <c r="H257" s="0" t="n">
        <f aca="false">original_dataset!H257</f>
        <v>17</v>
      </c>
      <c r="I257" s="0" t="n">
        <f aca="false">original_dataset!I257</f>
        <v>88.3</v>
      </c>
      <c r="J257" s="0" t="n">
        <f aca="false">IF(ISBLANK(original_dataset!J257),MEDIAN(original_dataset!$J$2:$J$321),original_dataset!J257)</f>
        <v>4.19</v>
      </c>
      <c r="K257" s="0" t="n">
        <f aca="false">original_dataset!K257</f>
        <v>0</v>
      </c>
      <c r="L257" s="0" t="n">
        <f aca="false">IF(ISBLANK(original_dataset!L257),MEDIAN(original_dataset!$L$2:$L$321),original_dataset!L257)</f>
        <v>4.1</v>
      </c>
      <c r="M257" s="0" t="n">
        <f aca="false">original_dataset!M257</f>
        <v>612390.14</v>
      </c>
      <c r="N257" s="0" t="n">
        <f aca="false">original_dataset!N257</f>
        <v>108985.74</v>
      </c>
      <c r="O257" s="0" t="str">
        <f aca="false">IF(ISBLANK(original_dataset!J257),"Yes","No")</f>
        <v>No</v>
      </c>
      <c r="P257" s="0" t="str">
        <f aca="false">IF(ISBLANK(original_dataset!L257),"Yes","No")</f>
        <v>No</v>
      </c>
    </row>
    <row r="258" customFormat="false" ht="15" hidden="false" customHeight="false" outlineLevel="0" collapsed="false">
      <c r="A258" s="0" t="str">
        <f aca="false">original_dataset!A258</f>
        <v>STR-1065</v>
      </c>
      <c r="B258" s="0" t="str">
        <f aca="false">original_dataset!B258</f>
        <v>2025-01-01</v>
      </c>
      <c r="C258" s="0" t="str">
        <f aca="false">original_dataset!C258</f>
        <v>South</v>
      </c>
      <c r="D258" s="0" t="str">
        <f aca="false">original_dataset!D258</f>
        <v>Mall</v>
      </c>
      <c r="E258" s="0" t="n">
        <f aca="false">original_dataset!E258</f>
        <v>65272.58</v>
      </c>
      <c r="F258" s="0" t="n">
        <f aca="false">original_dataset!F258</f>
        <v>8165</v>
      </c>
      <c r="G258" s="0" t="n">
        <f aca="false">original_dataset!G258</f>
        <v>0.051</v>
      </c>
      <c r="H258" s="0" t="n">
        <f aca="false">original_dataset!H258</f>
        <v>19</v>
      </c>
      <c r="I258" s="0" t="n">
        <f aca="false">original_dataset!I258</f>
        <v>87.8</v>
      </c>
      <c r="J258" s="0" t="n">
        <f aca="false">IF(ISBLANK(original_dataset!J258),MEDIAN(original_dataset!$J$2:$J$321),original_dataset!J258)</f>
        <v>1.26</v>
      </c>
      <c r="K258" s="0" t="n">
        <f aca="false">original_dataset!K258</f>
        <v>1</v>
      </c>
      <c r="L258" s="0" t="n">
        <f aca="false">IF(ISBLANK(original_dataset!L258),MEDIAN(original_dataset!$L$2:$L$321),original_dataset!L258)</f>
        <v>4.3</v>
      </c>
      <c r="M258" s="0" t="n">
        <f aca="false">original_dataset!M258</f>
        <v>840108.12</v>
      </c>
      <c r="N258" s="0" t="n">
        <f aca="false">original_dataset!N258</f>
        <v>126587.01</v>
      </c>
      <c r="O258" s="0" t="str">
        <f aca="false">IF(ISBLANK(original_dataset!J258),"Yes","No")</f>
        <v>No</v>
      </c>
      <c r="P258" s="0" t="str">
        <f aca="false">IF(ISBLANK(original_dataset!L258),"Yes","No")</f>
        <v>No</v>
      </c>
    </row>
    <row r="259" customFormat="false" ht="15" hidden="false" customHeight="false" outlineLevel="0" collapsed="false">
      <c r="A259" s="0" t="str">
        <f aca="false">original_dataset!A259</f>
        <v>STR-1065</v>
      </c>
      <c r="B259" s="0" t="str">
        <f aca="false">original_dataset!B259</f>
        <v>2025-02-01</v>
      </c>
      <c r="C259" s="0" t="str">
        <f aca="false">original_dataset!C259</f>
        <v>South</v>
      </c>
      <c r="D259" s="0" t="str">
        <f aca="false">original_dataset!D259</f>
        <v>Mall</v>
      </c>
      <c r="E259" s="0" t="n">
        <f aca="false">original_dataset!E259</f>
        <v>28670.43</v>
      </c>
      <c r="F259" s="0" t="n">
        <f aca="false">original_dataset!F259</f>
        <v>7574</v>
      </c>
      <c r="G259" s="0" t="n">
        <f aca="false">original_dataset!G259</f>
        <v>0.114</v>
      </c>
      <c r="H259" s="0" t="n">
        <f aca="false">original_dataset!H259</f>
        <v>19</v>
      </c>
      <c r="I259" s="0" t="n">
        <f aca="false">original_dataset!I259</f>
        <v>82.7</v>
      </c>
      <c r="J259" s="0" t="n">
        <f aca="false">IF(ISBLANK(original_dataset!J259),MEDIAN(original_dataset!$J$2:$J$321),original_dataset!J259)</f>
        <v>2.74</v>
      </c>
      <c r="K259" s="0" t="n">
        <f aca="false">original_dataset!K259</f>
        <v>0</v>
      </c>
      <c r="L259" s="0" t="n">
        <f aca="false">IF(ISBLANK(original_dataset!L259),MEDIAN(original_dataset!$L$2:$L$321),original_dataset!L259)</f>
        <v>4.6</v>
      </c>
      <c r="M259" s="0" t="n">
        <f aca="false">original_dataset!M259</f>
        <v>697888.09</v>
      </c>
      <c r="N259" s="0" t="n">
        <f aca="false">original_dataset!N259</f>
        <v>116249.87</v>
      </c>
      <c r="O259" s="0" t="str">
        <f aca="false">IF(ISBLANK(original_dataset!J259),"Yes","No")</f>
        <v>No</v>
      </c>
      <c r="P259" s="0" t="str">
        <f aca="false">IF(ISBLANK(original_dataset!L259),"Yes","No")</f>
        <v>No</v>
      </c>
    </row>
    <row r="260" customFormat="false" ht="15" hidden="false" customHeight="false" outlineLevel="0" collapsed="false">
      <c r="A260" s="0" t="str">
        <f aca="false">original_dataset!A260</f>
        <v>STR-1065</v>
      </c>
      <c r="B260" s="0" t="str">
        <f aca="false">original_dataset!B260</f>
        <v>2025-03-01</v>
      </c>
      <c r="C260" s="0" t="str">
        <f aca="false">original_dataset!C260</f>
        <v>South</v>
      </c>
      <c r="D260" s="0" t="str">
        <f aca="false">original_dataset!D260</f>
        <v>Mall</v>
      </c>
      <c r="E260" s="0" t="n">
        <f aca="false">original_dataset!E260</f>
        <v>44189.34</v>
      </c>
      <c r="F260" s="0" t="n">
        <f aca="false">original_dataset!F260</f>
        <v>8634</v>
      </c>
      <c r="G260" s="0" t="n">
        <f aca="false">original_dataset!G260</f>
        <v>0.143</v>
      </c>
      <c r="H260" s="0" t="n">
        <f aca="false">original_dataset!H260</f>
        <v>19</v>
      </c>
      <c r="I260" s="0" t="n">
        <f aca="false">original_dataset!I260</f>
        <v>87.5</v>
      </c>
      <c r="J260" s="0" t="n">
        <f aca="false">IF(ISBLANK(original_dataset!J260),MEDIAN(original_dataset!$J$2:$J$321),original_dataset!J260)</f>
        <v>3.69</v>
      </c>
      <c r="K260" s="0" t="n">
        <f aca="false">original_dataset!K260</f>
        <v>0</v>
      </c>
      <c r="L260" s="0" t="n">
        <f aca="false">IF(ISBLANK(original_dataset!L260),MEDIAN(original_dataset!$L$2:$L$321),original_dataset!L260)</f>
        <v>4.4</v>
      </c>
      <c r="M260" s="0" t="n">
        <f aca="false">original_dataset!M260</f>
        <v>746115.59</v>
      </c>
      <c r="N260" s="0" t="n">
        <f aca="false">original_dataset!N260</f>
        <v>94662.96</v>
      </c>
      <c r="O260" s="0" t="str">
        <f aca="false">IF(ISBLANK(original_dataset!J260),"Yes","No")</f>
        <v>No</v>
      </c>
      <c r="P260" s="0" t="str">
        <f aca="false">IF(ISBLANK(original_dataset!L260),"Yes","No")</f>
        <v>No</v>
      </c>
    </row>
    <row r="261" customFormat="false" ht="15" hidden="false" customHeight="false" outlineLevel="0" collapsed="false">
      <c r="A261" s="0" t="str">
        <f aca="false">original_dataset!A261</f>
        <v>STR-1065</v>
      </c>
      <c r="B261" s="0" t="str">
        <f aca="false">original_dataset!B261</f>
        <v>2025-04-01</v>
      </c>
      <c r="C261" s="0" t="str">
        <f aca="false">original_dataset!C261</f>
        <v>South</v>
      </c>
      <c r="D261" s="0" t="str">
        <f aca="false">original_dataset!D261</f>
        <v>Mall</v>
      </c>
      <c r="E261" s="0" t="n">
        <f aca="false">original_dataset!E261</f>
        <v>38397.82</v>
      </c>
      <c r="F261" s="0" t="n">
        <f aca="false">original_dataset!F261</f>
        <v>7836</v>
      </c>
      <c r="G261" s="0" t="n">
        <f aca="false">original_dataset!G261</f>
        <v>0.007</v>
      </c>
      <c r="H261" s="0" t="n">
        <f aca="false">original_dataset!H261</f>
        <v>21</v>
      </c>
      <c r="I261" s="0" t="n">
        <f aca="false">original_dataset!I261</f>
        <v>92.2</v>
      </c>
      <c r="J261" s="0" t="n">
        <f aca="false">IF(ISBLANK(original_dataset!J261),MEDIAN(original_dataset!$J$2:$J$321),original_dataset!J261)</f>
        <v>1.82</v>
      </c>
      <c r="K261" s="0" t="n">
        <f aca="false">original_dataset!K261</f>
        <v>0</v>
      </c>
      <c r="L261" s="0" t="n">
        <f aca="false">IF(ISBLANK(original_dataset!L261),MEDIAN(original_dataset!$L$2:$L$321),original_dataset!L261)</f>
        <v>3.6</v>
      </c>
      <c r="M261" s="0" t="n">
        <f aca="false">original_dataset!M261</f>
        <v>776110.32</v>
      </c>
      <c r="N261" s="0" t="n">
        <f aca="false">original_dataset!N261</f>
        <v>139676.21</v>
      </c>
      <c r="O261" s="0" t="str">
        <f aca="false">IF(ISBLANK(original_dataset!J261),"Yes","No")</f>
        <v>No</v>
      </c>
      <c r="P261" s="0" t="str">
        <f aca="false">IF(ISBLANK(original_dataset!L261),"Yes","No")</f>
        <v>No</v>
      </c>
    </row>
    <row r="262" customFormat="false" ht="15" hidden="false" customHeight="false" outlineLevel="0" collapsed="false">
      <c r="A262" s="0" t="str">
        <f aca="false">original_dataset!A262</f>
        <v>STR-1066</v>
      </c>
      <c r="B262" s="0" t="str">
        <f aca="false">original_dataset!B262</f>
        <v>2025-01-01</v>
      </c>
      <c r="C262" s="0" t="str">
        <f aca="false">original_dataset!C262</f>
        <v>West</v>
      </c>
      <c r="D262" s="0" t="str">
        <f aca="false">original_dataset!D262</f>
        <v>High Street</v>
      </c>
      <c r="E262" s="0" t="n">
        <f aca="false">original_dataset!E262</f>
        <v>14519.37</v>
      </c>
      <c r="F262" s="0" t="n">
        <f aca="false">original_dataset!F262</f>
        <v>3047</v>
      </c>
      <c r="G262" s="0" t="n">
        <f aca="false">original_dataset!G262</f>
        <v>0.135</v>
      </c>
      <c r="H262" s="0" t="n">
        <f aca="false">original_dataset!H262</f>
        <v>10</v>
      </c>
      <c r="I262" s="0" t="n">
        <f aca="false">original_dataset!I262</f>
        <v>90.3</v>
      </c>
      <c r="J262" s="0" t="n">
        <f aca="false">IF(ISBLANK(original_dataset!J262),MEDIAN(original_dataset!$J$2:$J$321),original_dataset!J262)</f>
        <v>6.62</v>
      </c>
      <c r="K262" s="0" t="n">
        <f aca="false">original_dataset!K262</f>
        <v>0</v>
      </c>
      <c r="L262" s="0" t="n">
        <f aca="false">IF(ISBLANK(original_dataset!L262),MEDIAN(original_dataset!$L$2:$L$321),original_dataset!L262)</f>
        <v>4.2</v>
      </c>
      <c r="M262" s="0" t="n">
        <f aca="false">original_dataset!M262</f>
        <v>528852.62</v>
      </c>
      <c r="N262" s="0" t="n">
        <f aca="false">original_dataset!N262</f>
        <v>68426.21</v>
      </c>
      <c r="O262" s="0" t="str">
        <f aca="false">IF(ISBLANK(original_dataset!J262),"Yes","No")</f>
        <v>No</v>
      </c>
      <c r="P262" s="0" t="str">
        <f aca="false">IF(ISBLANK(original_dataset!L262),"Yes","No")</f>
        <v>No</v>
      </c>
    </row>
    <row r="263" customFormat="false" ht="15" hidden="false" customHeight="false" outlineLevel="0" collapsed="false">
      <c r="A263" s="0" t="str">
        <f aca="false">original_dataset!A263</f>
        <v>STR-1066</v>
      </c>
      <c r="B263" s="0" t="str">
        <f aca="false">original_dataset!B263</f>
        <v>2025-02-01</v>
      </c>
      <c r="C263" s="0" t="str">
        <f aca="false">original_dataset!C263</f>
        <v>West</v>
      </c>
      <c r="D263" s="0" t="str">
        <f aca="false">original_dataset!D263</f>
        <v>High Street</v>
      </c>
      <c r="E263" s="0" t="n">
        <f aca="false">original_dataset!E263</f>
        <v>43288.2</v>
      </c>
      <c r="F263" s="0" t="n">
        <f aca="false">original_dataset!F263</f>
        <v>4783</v>
      </c>
      <c r="G263" s="0" t="n">
        <f aca="false">original_dataset!G263</f>
        <v>0.169</v>
      </c>
      <c r="H263" s="0" t="n">
        <f aca="false">original_dataset!H263</f>
        <v>13</v>
      </c>
      <c r="I263" s="0" t="n">
        <f aca="false">original_dataset!I263</f>
        <v>87.3</v>
      </c>
      <c r="J263" s="0" t="n">
        <f aca="false">IF(ISBLANK(original_dataset!J263),MEDIAN(original_dataset!$J$2:$J$321),original_dataset!J263)</f>
        <v>3.365</v>
      </c>
      <c r="K263" s="0" t="n">
        <f aca="false">original_dataset!K263</f>
        <v>0</v>
      </c>
      <c r="L263" s="0" t="n">
        <f aca="false">IF(ISBLANK(original_dataset!L263),MEDIAN(original_dataset!$L$2:$L$321),original_dataset!L263)</f>
        <v>4.2</v>
      </c>
      <c r="M263" s="0" t="n">
        <f aca="false">original_dataset!M263</f>
        <v>605751.33</v>
      </c>
      <c r="N263" s="0" t="n">
        <f aca="false">original_dataset!N263</f>
        <v>60685.53</v>
      </c>
      <c r="O263" s="0" t="str">
        <f aca="false">IF(ISBLANK(original_dataset!J263),"Yes","No")</f>
        <v>Yes</v>
      </c>
      <c r="P263" s="0" t="str">
        <f aca="false">IF(ISBLANK(original_dataset!L263),"Yes","No")</f>
        <v>No</v>
      </c>
    </row>
    <row r="264" customFormat="false" ht="15" hidden="false" customHeight="false" outlineLevel="0" collapsed="false">
      <c r="A264" s="0" t="str">
        <f aca="false">original_dataset!A264</f>
        <v>STR-1066</v>
      </c>
      <c r="B264" s="0" t="str">
        <f aca="false">original_dataset!B264</f>
        <v>2025-03-01</v>
      </c>
      <c r="C264" s="0" t="str">
        <f aca="false">original_dataset!C264</f>
        <v>West</v>
      </c>
      <c r="D264" s="0" t="str">
        <f aca="false">original_dataset!D264</f>
        <v>High Street</v>
      </c>
      <c r="E264" s="0" t="n">
        <f aca="false">original_dataset!E264</f>
        <v>51450.55</v>
      </c>
      <c r="F264" s="0" t="n">
        <f aca="false">original_dataset!F264</f>
        <v>4902</v>
      </c>
      <c r="G264" s="0" t="n">
        <f aca="false">original_dataset!G264</f>
        <v>0.086</v>
      </c>
      <c r="H264" s="0" t="n">
        <f aca="false">original_dataset!H264</f>
        <v>11</v>
      </c>
      <c r="I264" s="0" t="n">
        <f aca="false">original_dataset!I264</f>
        <v>83.7</v>
      </c>
      <c r="J264" s="0" t="n">
        <f aca="false">IF(ISBLANK(original_dataset!J264),MEDIAN(original_dataset!$J$2:$J$321),original_dataset!J264)</f>
        <v>6.92</v>
      </c>
      <c r="K264" s="0" t="n">
        <f aca="false">original_dataset!K264</f>
        <v>1</v>
      </c>
      <c r="L264" s="0" t="n">
        <f aca="false">IF(ISBLANK(original_dataset!L264),MEDIAN(original_dataset!$L$2:$L$321),original_dataset!L264)</f>
        <v>4.2</v>
      </c>
      <c r="M264" s="0" t="n">
        <f aca="false">original_dataset!M264</f>
        <v>677640.65</v>
      </c>
      <c r="N264" s="0" t="n">
        <f aca="false">original_dataset!N264</f>
        <v>111610.89</v>
      </c>
      <c r="O264" s="0" t="str">
        <f aca="false">IF(ISBLANK(original_dataset!J264),"Yes","No")</f>
        <v>No</v>
      </c>
      <c r="P264" s="0" t="str">
        <f aca="false">IF(ISBLANK(original_dataset!L264),"Yes","No")</f>
        <v>No</v>
      </c>
    </row>
    <row r="265" customFormat="false" ht="15" hidden="false" customHeight="false" outlineLevel="0" collapsed="false">
      <c r="A265" s="0" t="str">
        <f aca="false">original_dataset!A265</f>
        <v>STR-1066</v>
      </c>
      <c r="B265" s="0" t="str">
        <f aca="false">original_dataset!B265</f>
        <v>2025-04-01</v>
      </c>
      <c r="C265" s="0" t="str">
        <f aca="false">original_dataset!C265</f>
        <v>West</v>
      </c>
      <c r="D265" s="0" t="str">
        <f aca="false">original_dataset!D265</f>
        <v>High Street</v>
      </c>
      <c r="E265" s="0" t="n">
        <f aca="false">original_dataset!E265</f>
        <v>58688.26</v>
      </c>
      <c r="F265" s="0" t="n">
        <f aca="false">original_dataset!F265</f>
        <v>4022</v>
      </c>
      <c r="G265" s="0" t="n">
        <f aca="false">original_dataset!G265</f>
        <v>0.217</v>
      </c>
      <c r="H265" s="0" t="n">
        <f aca="false">original_dataset!H265</f>
        <v>12</v>
      </c>
      <c r="I265" s="0" t="n">
        <f aca="false">original_dataset!I265</f>
        <v>93.8</v>
      </c>
      <c r="J265" s="0" t="n">
        <f aca="false">IF(ISBLANK(original_dataset!J265),MEDIAN(original_dataset!$J$2:$J$321),original_dataset!J265)</f>
        <v>11.78</v>
      </c>
      <c r="K265" s="0" t="n">
        <f aca="false">original_dataset!K265</f>
        <v>0</v>
      </c>
      <c r="L265" s="0" t="n">
        <f aca="false">IF(ISBLANK(original_dataset!L265),MEDIAN(original_dataset!$L$2:$L$321),original_dataset!L265)</f>
        <v>3.7</v>
      </c>
      <c r="M265" s="0" t="n">
        <f aca="false">original_dataset!M265</f>
        <v>636613.23</v>
      </c>
      <c r="N265" s="0" t="n">
        <f aca="false">original_dataset!N265</f>
        <v>78908.35</v>
      </c>
      <c r="O265" s="0" t="str">
        <f aca="false">IF(ISBLANK(original_dataset!J265),"Yes","No")</f>
        <v>No</v>
      </c>
      <c r="P265" s="0" t="str">
        <f aca="false">IF(ISBLANK(original_dataset!L265),"Yes","No")</f>
        <v>No</v>
      </c>
    </row>
    <row r="266" customFormat="false" ht="15" hidden="false" customHeight="false" outlineLevel="0" collapsed="false">
      <c r="A266" s="0" t="str">
        <f aca="false">original_dataset!A266</f>
        <v>STR-1067</v>
      </c>
      <c r="B266" s="0" t="str">
        <f aca="false">original_dataset!B266</f>
        <v>2025-01-01</v>
      </c>
      <c r="C266" s="0" t="str">
        <f aca="false">original_dataset!C266</f>
        <v>East</v>
      </c>
      <c r="D266" s="0" t="str">
        <f aca="false">original_dataset!D266</f>
        <v>High Street</v>
      </c>
      <c r="E266" s="0" t="n">
        <f aca="false">original_dataset!E266</f>
        <v>58981.91</v>
      </c>
      <c r="F266" s="0" t="n">
        <f aca="false">original_dataset!F266</f>
        <v>7324</v>
      </c>
      <c r="G266" s="0" t="n">
        <f aca="false">original_dataset!G266</f>
        <v>0.094</v>
      </c>
      <c r="H266" s="0" t="n">
        <f aca="false">original_dataset!H266</f>
        <v>15</v>
      </c>
      <c r="I266" s="0" t="n">
        <f aca="false">original_dataset!I266</f>
        <v>95.8</v>
      </c>
      <c r="J266" s="0" t="n">
        <f aca="false">IF(ISBLANK(original_dataset!J266),MEDIAN(original_dataset!$J$2:$J$321),original_dataset!J266)</f>
        <v>0.5</v>
      </c>
      <c r="K266" s="0" t="n">
        <f aca="false">original_dataset!K266</f>
        <v>0</v>
      </c>
      <c r="L266" s="0" t="n">
        <f aca="false">IF(ISBLANK(original_dataset!L266),MEDIAN(original_dataset!$L$2:$L$321),original_dataset!L266)</f>
        <v>3.5</v>
      </c>
      <c r="M266" s="0" t="n">
        <f aca="false">original_dataset!M266</f>
        <v>708985.19</v>
      </c>
      <c r="N266" s="0" t="n">
        <f aca="false">original_dataset!N266</f>
        <v>125368.16</v>
      </c>
      <c r="O266" s="0" t="str">
        <f aca="false">IF(ISBLANK(original_dataset!J266),"Yes","No")</f>
        <v>No</v>
      </c>
      <c r="P266" s="0" t="str">
        <f aca="false">IF(ISBLANK(original_dataset!L266),"Yes","No")</f>
        <v>No</v>
      </c>
    </row>
    <row r="267" customFormat="false" ht="15" hidden="false" customHeight="false" outlineLevel="0" collapsed="false">
      <c r="A267" s="0" t="str">
        <f aca="false">original_dataset!A267</f>
        <v>STR-1067</v>
      </c>
      <c r="B267" s="0" t="str">
        <f aca="false">original_dataset!B267</f>
        <v>2025-02-01</v>
      </c>
      <c r="C267" s="0" t="str">
        <f aca="false">original_dataset!C267</f>
        <v>East</v>
      </c>
      <c r="D267" s="0" t="str">
        <f aca="false">original_dataset!D267</f>
        <v>High Street</v>
      </c>
      <c r="E267" s="0" t="n">
        <f aca="false">original_dataset!E267</f>
        <v>73454.54</v>
      </c>
      <c r="F267" s="0" t="n">
        <f aca="false">original_dataset!F267</f>
        <v>8129</v>
      </c>
      <c r="G267" s="0" t="n">
        <f aca="false">original_dataset!G267</f>
        <v>0.211</v>
      </c>
      <c r="H267" s="0" t="n">
        <f aca="false">original_dataset!H267</f>
        <v>20</v>
      </c>
      <c r="I267" s="0" t="n">
        <f aca="false">original_dataset!I267</f>
        <v>85.2</v>
      </c>
      <c r="J267" s="0" t="n">
        <f aca="false">IF(ISBLANK(original_dataset!J267),MEDIAN(original_dataset!$J$2:$J$321),original_dataset!J267)</f>
        <v>0.88</v>
      </c>
      <c r="K267" s="0" t="n">
        <f aca="false">original_dataset!K267</f>
        <v>0</v>
      </c>
      <c r="L267" s="0" t="n">
        <f aca="false">IF(ISBLANK(original_dataset!L267),MEDIAN(original_dataset!$L$2:$L$321),original_dataset!L267)</f>
        <v>3.7</v>
      </c>
      <c r="M267" s="0" t="n">
        <f aca="false">original_dataset!M267</f>
        <v>767792.94</v>
      </c>
      <c r="N267" s="0" t="n">
        <f aca="false">original_dataset!N267</f>
        <v>96235.77</v>
      </c>
      <c r="O267" s="0" t="str">
        <f aca="false">IF(ISBLANK(original_dataset!J267),"Yes","No")</f>
        <v>No</v>
      </c>
      <c r="P267" s="0" t="str">
        <f aca="false">IF(ISBLANK(original_dataset!L267),"Yes","No")</f>
        <v>No</v>
      </c>
    </row>
    <row r="268" customFormat="false" ht="15" hidden="false" customHeight="false" outlineLevel="0" collapsed="false">
      <c r="A268" s="0" t="str">
        <f aca="false">original_dataset!A268</f>
        <v>STR-1067</v>
      </c>
      <c r="B268" s="0" t="str">
        <f aca="false">original_dataset!B268</f>
        <v>2025-03-01</v>
      </c>
      <c r="C268" s="0" t="str">
        <f aca="false">original_dataset!C268</f>
        <v>East</v>
      </c>
      <c r="D268" s="0" t="str">
        <f aca="false">original_dataset!D268</f>
        <v>High Street</v>
      </c>
      <c r="E268" s="0" t="n">
        <f aca="false">original_dataset!E268</f>
        <v>56602.39</v>
      </c>
      <c r="F268" s="0" t="n">
        <f aca="false">original_dataset!F268</f>
        <v>7969</v>
      </c>
      <c r="G268" s="0" t="n">
        <f aca="false">original_dataset!G268</f>
        <v>0.17</v>
      </c>
      <c r="H268" s="0" t="n">
        <f aca="false">original_dataset!H268</f>
        <v>21</v>
      </c>
      <c r="I268" s="0" t="n">
        <f aca="false">original_dataset!I268</f>
        <v>88.3</v>
      </c>
      <c r="J268" s="0" t="n">
        <f aca="false">IF(ISBLANK(original_dataset!J268),MEDIAN(original_dataset!$J$2:$J$321),original_dataset!J268)</f>
        <v>2.25</v>
      </c>
      <c r="K268" s="0" t="n">
        <f aca="false">original_dataset!K268</f>
        <v>0</v>
      </c>
      <c r="L268" s="0" t="n">
        <f aca="false">IF(ISBLANK(original_dataset!L268),MEDIAN(original_dataset!$L$2:$L$321),original_dataset!L268)</f>
        <v>3.7</v>
      </c>
      <c r="M268" s="0" t="n">
        <f aca="false">original_dataset!M268</f>
        <v>745580.51</v>
      </c>
      <c r="N268" s="0" t="n">
        <f aca="false">original_dataset!N268</f>
        <v>116273.68</v>
      </c>
      <c r="O268" s="0" t="str">
        <f aca="false">IF(ISBLANK(original_dataset!J268),"Yes","No")</f>
        <v>No</v>
      </c>
      <c r="P268" s="0" t="str">
        <f aca="false">IF(ISBLANK(original_dataset!L268),"Yes","No")</f>
        <v>No</v>
      </c>
    </row>
    <row r="269" customFormat="false" ht="15" hidden="false" customHeight="false" outlineLevel="0" collapsed="false">
      <c r="A269" s="0" t="str">
        <f aca="false">original_dataset!A269</f>
        <v>STR-1067</v>
      </c>
      <c r="B269" s="0" t="str">
        <f aca="false">original_dataset!B269</f>
        <v>2025-04-01</v>
      </c>
      <c r="C269" s="0" t="str">
        <f aca="false">original_dataset!C269</f>
        <v>East</v>
      </c>
      <c r="D269" s="0" t="str">
        <f aca="false">original_dataset!D269</f>
        <v>High Street</v>
      </c>
      <c r="E269" s="0" t="n">
        <f aca="false">original_dataset!E269</f>
        <v>67722.29</v>
      </c>
      <c r="F269" s="0" t="n">
        <f aca="false">original_dataset!F269</f>
        <v>7240</v>
      </c>
      <c r="G269" s="0" t="n">
        <f aca="false">original_dataset!G269</f>
        <v>0.026</v>
      </c>
      <c r="H269" s="0" t="n">
        <f aca="false">original_dataset!H269</f>
        <v>15</v>
      </c>
      <c r="I269" s="0" t="n">
        <f aca="false">original_dataset!I269</f>
        <v>92.9</v>
      </c>
      <c r="J269" s="0" t="n">
        <f aca="false">IF(ISBLANK(original_dataset!J269),MEDIAN(original_dataset!$J$2:$J$321),original_dataset!J269)</f>
        <v>0.29</v>
      </c>
      <c r="K269" s="0" t="n">
        <f aca="false">original_dataset!K269</f>
        <v>0</v>
      </c>
      <c r="L269" s="0" t="n">
        <f aca="false">IF(ISBLANK(original_dataset!L269),MEDIAN(original_dataset!$L$2:$L$321),original_dataset!L269)</f>
        <v>3.5</v>
      </c>
      <c r="M269" s="0" t="n">
        <f aca="false">original_dataset!M269</f>
        <v>762328.31</v>
      </c>
      <c r="N269" s="0" t="n">
        <f aca="false">original_dataset!N269</f>
        <v>159158.19</v>
      </c>
      <c r="O269" s="0" t="str">
        <f aca="false">IF(ISBLANK(original_dataset!J269),"Yes","No")</f>
        <v>No</v>
      </c>
      <c r="P269" s="0" t="str">
        <f aca="false">IF(ISBLANK(original_dataset!L269),"Yes","No")</f>
        <v>No</v>
      </c>
    </row>
    <row r="270" customFormat="false" ht="15" hidden="false" customHeight="false" outlineLevel="0" collapsed="false">
      <c r="A270" s="0" t="str">
        <f aca="false">original_dataset!A270</f>
        <v>STR-1068</v>
      </c>
      <c r="B270" s="0" t="str">
        <f aca="false">original_dataset!B270</f>
        <v>2025-01-01</v>
      </c>
      <c r="C270" s="0" t="str">
        <f aca="false">original_dataset!C270</f>
        <v>East</v>
      </c>
      <c r="D270" s="0" t="str">
        <f aca="false">original_dataset!D270</f>
        <v>Mall</v>
      </c>
      <c r="E270" s="0" t="n">
        <f aca="false">original_dataset!E270</f>
        <v>48752.92</v>
      </c>
      <c r="F270" s="0" t="n">
        <f aca="false">original_dataset!F270</f>
        <v>8052</v>
      </c>
      <c r="G270" s="0" t="n">
        <f aca="false">original_dataset!G270</f>
        <v>0.106</v>
      </c>
      <c r="H270" s="0" t="n">
        <f aca="false">original_dataset!H270</f>
        <v>16</v>
      </c>
      <c r="I270" s="0" t="n">
        <f aca="false">original_dataset!I270</f>
        <v>94.9</v>
      </c>
      <c r="J270" s="0" t="n">
        <f aca="false">IF(ISBLANK(original_dataset!J270),MEDIAN(original_dataset!$J$2:$J$321),original_dataset!J270)</f>
        <v>0.65</v>
      </c>
      <c r="K270" s="0" t="n">
        <f aca="false">original_dataset!K270</f>
        <v>0</v>
      </c>
      <c r="L270" s="0" t="n">
        <f aca="false">IF(ISBLANK(original_dataset!L270),MEDIAN(original_dataset!$L$2:$L$321),original_dataset!L270)</f>
        <v>3.6</v>
      </c>
      <c r="M270" s="0" t="n">
        <f aca="false">original_dataset!M270</f>
        <v>660633.99</v>
      </c>
      <c r="N270" s="0" t="n">
        <f aca="false">original_dataset!N270</f>
        <v>118768.66</v>
      </c>
      <c r="O270" s="0" t="str">
        <f aca="false">IF(ISBLANK(original_dataset!J270),"Yes","No")</f>
        <v>No</v>
      </c>
      <c r="P270" s="0" t="str">
        <f aca="false">IF(ISBLANK(original_dataset!L270),"Yes","No")</f>
        <v>No</v>
      </c>
    </row>
    <row r="271" customFormat="false" ht="15" hidden="false" customHeight="false" outlineLevel="0" collapsed="false">
      <c r="A271" s="0" t="str">
        <f aca="false">original_dataset!A271</f>
        <v>STR-1068</v>
      </c>
      <c r="B271" s="0" t="str">
        <f aca="false">original_dataset!B271</f>
        <v>2025-02-01</v>
      </c>
      <c r="C271" s="0" t="str">
        <f aca="false">original_dataset!C271</f>
        <v>East</v>
      </c>
      <c r="D271" s="0" t="str">
        <f aca="false">original_dataset!D271</f>
        <v>Mall</v>
      </c>
      <c r="E271" s="0" t="n">
        <f aca="false">original_dataset!E271</f>
        <v>23914.97</v>
      </c>
      <c r="F271" s="0" t="n">
        <f aca="false">original_dataset!F271</f>
        <v>8018</v>
      </c>
      <c r="G271" s="0" t="n">
        <f aca="false">original_dataset!G271</f>
        <v>0.139</v>
      </c>
      <c r="H271" s="0" t="n">
        <f aca="false">original_dataset!H271</f>
        <v>20</v>
      </c>
      <c r="I271" s="0" t="n">
        <f aca="false">original_dataset!I271</f>
        <v>89</v>
      </c>
      <c r="J271" s="0" t="n">
        <f aca="false">IF(ISBLANK(original_dataset!J271),MEDIAN(original_dataset!$J$2:$J$321),original_dataset!J271)</f>
        <v>0.2</v>
      </c>
      <c r="K271" s="0" t="n">
        <f aca="false">original_dataset!K271</f>
        <v>0</v>
      </c>
      <c r="L271" s="0" t="n">
        <f aca="false">IF(ISBLANK(original_dataset!L271),MEDIAN(original_dataset!$L$2:$L$321),original_dataset!L271)</f>
        <v>3.5</v>
      </c>
      <c r="M271" s="0" t="n">
        <f aca="false">original_dataset!M271</f>
        <v>739374.56</v>
      </c>
      <c r="N271" s="0" t="n">
        <f aca="false">original_dataset!N271</f>
        <v>121032.29</v>
      </c>
      <c r="O271" s="0" t="str">
        <f aca="false">IF(ISBLANK(original_dataset!J271),"Yes","No")</f>
        <v>No</v>
      </c>
      <c r="P271" s="0" t="str">
        <f aca="false">IF(ISBLANK(original_dataset!L271),"Yes","No")</f>
        <v>No</v>
      </c>
    </row>
    <row r="272" customFormat="false" ht="15" hidden="false" customHeight="false" outlineLevel="0" collapsed="false">
      <c r="A272" s="0" t="str">
        <f aca="false">original_dataset!A272</f>
        <v>STR-1068</v>
      </c>
      <c r="B272" s="0" t="str">
        <f aca="false">original_dataset!B272</f>
        <v>2025-03-01</v>
      </c>
      <c r="C272" s="0" t="str">
        <f aca="false">original_dataset!C272</f>
        <v>East</v>
      </c>
      <c r="D272" s="0" t="str">
        <f aca="false">original_dataset!D272</f>
        <v>Mall</v>
      </c>
      <c r="E272" s="0" t="n">
        <f aca="false">original_dataset!E272</f>
        <v>61995.3</v>
      </c>
      <c r="F272" s="0" t="n">
        <f aca="false">original_dataset!F272</f>
        <v>10192</v>
      </c>
      <c r="G272" s="0" t="n">
        <f aca="false">original_dataset!G272</f>
        <v>0.198</v>
      </c>
      <c r="H272" s="0" t="n">
        <f aca="false">original_dataset!H272</f>
        <v>21</v>
      </c>
      <c r="I272" s="0" t="n">
        <f aca="false">original_dataset!I272</f>
        <v>87.6</v>
      </c>
      <c r="J272" s="0" t="n">
        <f aca="false">IF(ISBLANK(original_dataset!J272),MEDIAN(original_dataset!$J$2:$J$321),original_dataset!J272)</f>
        <v>3.63</v>
      </c>
      <c r="K272" s="0" t="n">
        <f aca="false">original_dataset!K272</f>
        <v>1</v>
      </c>
      <c r="L272" s="0" t="n">
        <f aca="false">IF(ISBLANK(original_dataset!L272),MEDIAN(original_dataset!$L$2:$L$321),original_dataset!L272)</f>
        <v>3.8</v>
      </c>
      <c r="M272" s="0" t="n">
        <f aca="false">original_dataset!M272</f>
        <v>799756.46</v>
      </c>
      <c r="N272" s="0" t="n">
        <f aca="false">original_dataset!N272</f>
        <v>105052.93</v>
      </c>
      <c r="O272" s="0" t="str">
        <f aca="false">IF(ISBLANK(original_dataset!J272),"Yes","No")</f>
        <v>No</v>
      </c>
      <c r="P272" s="0" t="str">
        <f aca="false">IF(ISBLANK(original_dataset!L272),"Yes","No")</f>
        <v>No</v>
      </c>
    </row>
    <row r="273" customFormat="false" ht="15" hidden="false" customHeight="false" outlineLevel="0" collapsed="false">
      <c r="A273" s="0" t="str">
        <f aca="false">original_dataset!A273</f>
        <v>STR-1068</v>
      </c>
      <c r="B273" s="0" t="str">
        <f aca="false">original_dataset!B273</f>
        <v>2025-04-01</v>
      </c>
      <c r="C273" s="0" t="str">
        <f aca="false">original_dataset!C273</f>
        <v>East</v>
      </c>
      <c r="D273" s="0" t="str">
        <f aca="false">original_dataset!D273</f>
        <v>Mall</v>
      </c>
      <c r="E273" s="0" t="n">
        <f aca="false">original_dataset!E273</f>
        <v>29344.93</v>
      </c>
      <c r="F273" s="0" t="n">
        <f aca="false">original_dataset!F273</f>
        <v>7446</v>
      </c>
      <c r="G273" s="0" t="n">
        <f aca="false">original_dataset!G273</f>
        <v>0.111</v>
      </c>
      <c r="H273" s="0" t="n">
        <f aca="false">original_dataset!H273</f>
        <v>15</v>
      </c>
      <c r="I273" s="0" t="n">
        <f aca="false">original_dataset!I273</f>
        <v>86.2</v>
      </c>
      <c r="J273" s="0" t="n">
        <f aca="false">IF(ISBLANK(original_dataset!J273),MEDIAN(original_dataset!$J$2:$J$321),original_dataset!J273)</f>
        <v>0.2</v>
      </c>
      <c r="K273" s="0" t="n">
        <f aca="false">original_dataset!K273</f>
        <v>0</v>
      </c>
      <c r="L273" s="0" t="n">
        <f aca="false">IF(ISBLANK(original_dataset!L273),MEDIAN(original_dataset!$L$2:$L$321),original_dataset!L273)</f>
        <v>3.2</v>
      </c>
      <c r="M273" s="0" t="n">
        <f aca="false">original_dataset!M273</f>
        <v>593343</v>
      </c>
      <c r="N273" s="0" t="n">
        <f aca="false">original_dataset!N273</f>
        <v>82832.24</v>
      </c>
      <c r="O273" s="0" t="str">
        <f aca="false">IF(ISBLANK(original_dataset!J273),"Yes","No")</f>
        <v>No</v>
      </c>
      <c r="P273" s="0" t="str">
        <f aca="false">IF(ISBLANK(original_dataset!L273),"Yes","No")</f>
        <v>No</v>
      </c>
    </row>
    <row r="274" customFormat="false" ht="15" hidden="false" customHeight="false" outlineLevel="0" collapsed="false">
      <c r="A274" s="0" t="str">
        <f aca="false">original_dataset!A274</f>
        <v>STR-1069</v>
      </c>
      <c r="B274" s="0" t="str">
        <f aca="false">original_dataset!B274</f>
        <v>2025-01-01</v>
      </c>
      <c r="C274" s="0" t="str">
        <f aca="false">original_dataset!C274</f>
        <v>West</v>
      </c>
      <c r="D274" s="0" t="str">
        <f aca="false">original_dataset!D274</f>
        <v>High Street</v>
      </c>
      <c r="E274" s="0" t="n">
        <f aca="false">original_dataset!E274</f>
        <v>50532.17</v>
      </c>
      <c r="F274" s="0" t="n">
        <f aca="false">original_dataset!F274</f>
        <v>5689</v>
      </c>
      <c r="G274" s="0" t="n">
        <f aca="false">original_dataset!G274</f>
        <v>0.052</v>
      </c>
      <c r="H274" s="0" t="n">
        <f aca="false">original_dataset!H274</f>
        <v>17</v>
      </c>
      <c r="I274" s="0" t="n">
        <f aca="false">original_dataset!I274</f>
        <v>85.6</v>
      </c>
      <c r="J274" s="0" t="n">
        <f aca="false">IF(ISBLANK(original_dataset!J274),MEDIAN(original_dataset!$J$2:$J$321),original_dataset!J274)</f>
        <v>6.23</v>
      </c>
      <c r="K274" s="0" t="n">
        <f aca="false">original_dataset!K274</f>
        <v>0</v>
      </c>
      <c r="L274" s="0" t="n">
        <f aca="false">IF(ISBLANK(original_dataset!L274),MEDIAN(original_dataset!$L$2:$L$321),original_dataset!L274)</f>
        <v>3.3</v>
      </c>
      <c r="M274" s="0" t="n">
        <f aca="false">original_dataset!M274</f>
        <v>645039.97</v>
      </c>
      <c r="N274" s="0" t="n">
        <f aca="false">original_dataset!N274</f>
        <v>83093.33</v>
      </c>
      <c r="O274" s="0" t="str">
        <f aca="false">IF(ISBLANK(original_dataset!J274),"Yes","No")</f>
        <v>No</v>
      </c>
      <c r="P274" s="0" t="str">
        <f aca="false">IF(ISBLANK(original_dataset!L274),"Yes","No")</f>
        <v>No</v>
      </c>
    </row>
    <row r="275" customFormat="false" ht="15" hidden="false" customHeight="false" outlineLevel="0" collapsed="false">
      <c r="A275" s="0" t="str">
        <f aca="false">original_dataset!A275</f>
        <v>STR-1069</v>
      </c>
      <c r="B275" s="0" t="str">
        <f aca="false">original_dataset!B275</f>
        <v>2025-02-01</v>
      </c>
      <c r="C275" s="0" t="str">
        <f aca="false">original_dataset!C275</f>
        <v>West</v>
      </c>
      <c r="D275" s="0" t="str">
        <f aca="false">original_dataset!D275</f>
        <v>High Street</v>
      </c>
      <c r="E275" s="0" t="n">
        <f aca="false">original_dataset!E275</f>
        <v>17562.57</v>
      </c>
      <c r="F275" s="0" t="n">
        <f aca="false">original_dataset!F275</f>
        <v>3326</v>
      </c>
      <c r="G275" s="0" t="n">
        <f aca="false">original_dataset!G275</f>
        <v>0.153</v>
      </c>
      <c r="H275" s="0" t="n">
        <f aca="false">original_dataset!H275</f>
        <v>14</v>
      </c>
      <c r="I275" s="0" t="n">
        <f aca="false">original_dataset!I275</f>
        <v>88.1</v>
      </c>
      <c r="J275" s="0" t="n">
        <f aca="false">IF(ISBLANK(original_dataset!J275),MEDIAN(original_dataset!$J$2:$J$321),original_dataset!J275)</f>
        <v>1.04</v>
      </c>
      <c r="K275" s="0" t="n">
        <f aca="false">original_dataset!K275</f>
        <v>0</v>
      </c>
      <c r="L275" s="0" t="n">
        <f aca="false">IF(ISBLANK(original_dataset!L275),MEDIAN(original_dataset!$L$2:$L$321),original_dataset!L275)</f>
        <v>3.1</v>
      </c>
      <c r="M275" s="0" t="n">
        <f aca="false">original_dataset!M275</f>
        <v>561597.33</v>
      </c>
      <c r="N275" s="0" t="n">
        <f aca="false">original_dataset!N275</f>
        <v>75072.75</v>
      </c>
      <c r="O275" s="0" t="str">
        <f aca="false">IF(ISBLANK(original_dataset!J275),"Yes","No")</f>
        <v>No</v>
      </c>
      <c r="P275" s="0" t="str">
        <f aca="false">IF(ISBLANK(original_dataset!L275),"Yes","No")</f>
        <v>No</v>
      </c>
    </row>
    <row r="276" customFormat="false" ht="15" hidden="false" customHeight="false" outlineLevel="0" collapsed="false">
      <c r="A276" s="0" t="str">
        <f aca="false">original_dataset!A276</f>
        <v>STR-1069</v>
      </c>
      <c r="B276" s="0" t="str">
        <f aca="false">original_dataset!B276</f>
        <v>2025-03-01</v>
      </c>
      <c r="C276" s="0" t="str">
        <f aca="false">original_dataset!C276</f>
        <v>West</v>
      </c>
      <c r="D276" s="0" t="str">
        <f aca="false">original_dataset!D276</f>
        <v>High Street</v>
      </c>
      <c r="E276" s="0" t="n">
        <f aca="false">original_dataset!E276</f>
        <v>47648.71</v>
      </c>
      <c r="F276" s="0" t="n">
        <f aca="false">original_dataset!F276</f>
        <v>5767</v>
      </c>
      <c r="G276" s="0" t="n">
        <f aca="false">original_dataset!G276</f>
        <v>0.141</v>
      </c>
      <c r="H276" s="0" t="n">
        <f aca="false">original_dataset!H276</f>
        <v>17</v>
      </c>
      <c r="I276" s="0" t="n">
        <f aca="false">original_dataset!I276</f>
        <v>89.8</v>
      </c>
      <c r="J276" s="0" t="n">
        <f aca="false">IF(ISBLANK(original_dataset!J276),MEDIAN(original_dataset!$J$2:$J$321),original_dataset!J276)</f>
        <v>1.76</v>
      </c>
      <c r="K276" s="0" t="n">
        <f aca="false">original_dataset!K276</f>
        <v>0</v>
      </c>
      <c r="L276" s="0" t="n">
        <f aca="false">IF(ISBLANK(original_dataset!L276),MEDIAN(original_dataset!$L$2:$L$321),original_dataset!L276)</f>
        <v>3.1</v>
      </c>
      <c r="M276" s="0" t="n">
        <f aca="false">original_dataset!M276</f>
        <v>635837.74</v>
      </c>
      <c r="N276" s="0" t="n">
        <f aca="false">original_dataset!N276</f>
        <v>114740.64</v>
      </c>
      <c r="O276" s="0" t="str">
        <f aca="false">IF(ISBLANK(original_dataset!J276),"Yes","No")</f>
        <v>No</v>
      </c>
      <c r="P276" s="0" t="str">
        <f aca="false">IF(ISBLANK(original_dataset!L276),"Yes","No")</f>
        <v>No</v>
      </c>
    </row>
    <row r="277" customFormat="false" ht="15" hidden="false" customHeight="false" outlineLevel="0" collapsed="false">
      <c r="A277" s="0" t="str">
        <f aca="false">original_dataset!A277</f>
        <v>STR-1069</v>
      </c>
      <c r="B277" s="0" t="str">
        <f aca="false">original_dataset!B277</f>
        <v>2025-04-01</v>
      </c>
      <c r="C277" s="0" t="str">
        <f aca="false">original_dataset!C277</f>
        <v>West</v>
      </c>
      <c r="D277" s="0" t="str">
        <f aca="false">original_dataset!D277</f>
        <v>High Street</v>
      </c>
      <c r="E277" s="0" t="n">
        <f aca="false">original_dataset!E277</f>
        <v>38297.58</v>
      </c>
      <c r="F277" s="0" t="n">
        <f aca="false">original_dataset!F277</f>
        <v>5893</v>
      </c>
      <c r="G277" s="0" t="n">
        <f aca="false">original_dataset!G277</f>
        <v>0.247</v>
      </c>
      <c r="H277" s="0" t="n">
        <f aca="false">original_dataset!H277</f>
        <v>18</v>
      </c>
      <c r="I277" s="0" t="n">
        <f aca="false">original_dataset!I277</f>
        <v>77.6</v>
      </c>
      <c r="J277" s="0" t="n">
        <f aca="false">IF(ISBLANK(original_dataset!J277),MEDIAN(original_dataset!$J$2:$J$321),original_dataset!J277)</f>
        <v>2.86</v>
      </c>
      <c r="K277" s="0" t="n">
        <f aca="false">original_dataset!K277</f>
        <v>0</v>
      </c>
      <c r="L277" s="0" t="n">
        <f aca="false">IF(ISBLANK(original_dataset!L277),MEDIAN(original_dataset!$L$2:$L$321),original_dataset!L277)</f>
        <v>3</v>
      </c>
      <c r="M277" s="0" t="n">
        <f aca="false">original_dataset!M277</f>
        <v>686737.87</v>
      </c>
      <c r="N277" s="0" t="n">
        <f aca="false">original_dataset!N277</f>
        <v>83839.67</v>
      </c>
      <c r="O277" s="0" t="str">
        <f aca="false">IF(ISBLANK(original_dataset!J277),"Yes","No")</f>
        <v>No</v>
      </c>
      <c r="P277" s="0" t="str">
        <f aca="false">IF(ISBLANK(original_dataset!L277),"Yes","No")</f>
        <v>No</v>
      </c>
    </row>
    <row r="278" customFormat="false" ht="15" hidden="false" customHeight="false" outlineLevel="0" collapsed="false">
      <c r="A278" s="0" t="str">
        <f aca="false">original_dataset!A278</f>
        <v>STR-1070</v>
      </c>
      <c r="B278" s="0" t="str">
        <f aca="false">original_dataset!B278</f>
        <v>2025-01-01</v>
      </c>
      <c r="C278" s="0" t="str">
        <f aca="false">original_dataset!C278</f>
        <v>South</v>
      </c>
      <c r="D278" s="0" t="str">
        <f aca="false">original_dataset!D278</f>
        <v>Residential</v>
      </c>
      <c r="E278" s="0" t="n">
        <f aca="false">original_dataset!E278</f>
        <v>61784.11</v>
      </c>
      <c r="F278" s="0" t="n">
        <f aca="false">original_dataset!F278</f>
        <v>8564</v>
      </c>
      <c r="G278" s="0" t="n">
        <f aca="false">original_dataset!G278</f>
        <v>0.13</v>
      </c>
      <c r="H278" s="0" t="n">
        <f aca="false">original_dataset!H278</f>
        <v>17</v>
      </c>
      <c r="I278" s="0" t="n">
        <f aca="false">original_dataset!I278</f>
        <v>87.4</v>
      </c>
      <c r="J278" s="0" t="n">
        <f aca="false">IF(ISBLANK(original_dataset!J278),MEDIAN(original_dataset!$J$2:$J$321),original_dataset!J278)</f>
        <v>18.14</v>
      </c>
      <c r="K278" s="0" t="n">
        <f aca="false">original_dataset!K278</f>
        <v>1</v>
      </c>
      <c r="L278" s="0" t="n">
        <f aca="false">IF(ISBLANK(original_dataset!L278),MEDIAN(original_dataset!$L$2:$L$321),original_dataset!L278)</f>
        <v>3.4</v>
      </c>
      <c r="M278" s="0" t="n">
        <f aca="false">original_dataset!M278</f>
        <v>673076.34</v>
      </c>
      <c r="N278" s="0" t="n">
        <f aca="false">original_dataset!N278</f>
        <v>93899.76</v>
      </c>
      <c r="O278" s="0" t="str">
        <f aca="false">IF(ISBLANK(original_dataset!J278),"Yes","No")</f>
        <v>No</v>
      </c>
      <c r="P278" s="0" t="str">
        <f aca="false">IF(ISBLANK(original_dataset!L278),"Yes","No")</f>
        <v>No</v>
      </c>
    </row>
    <row r="279" customFormat="false" ht="15" hidden="false" customHeight="false" outlineLevel="0" collapsed="false">
      <c r="A279" s="0" t="str">
        <f aca="false">original_dataset!A279</f>
        <v>STR-1070</v>
      </c>
      <c r="B279" s="0" t="str">
        <f aca="false">original_dataset!B279</f>
        <v>2025-02-01</v>
      </c>
      <c r="C279" s="0" t="str">
        <f aca="false">original_dataset!C279</f>
        <v>South</v>
      </c>
      <c r="D279" s="0" t="str">
        <f aca="false">original_dataset!D279</f>
        <v>Residential</v>
      </c>
      <c r="E279" s="0" t="n">
        <f aca="false">original_dataset!E279</f>
        <v>36832.33</v>
      </c>
      <c r="F279" s="0" t="n">
        <f aca="false">original_dataset!F279</f>
        <v>8001</v>
      </c>
      <c r="G279" s="0" t="n">
        <f aca="false">original_dataset!G279</f>
        <v>0</v>
      </c>
      <c r="H279" s="0" t="n">
        <f aca="false">original_dataset!H279</f>
        <v>19</v>
      </c>
      <c r="I279" s="0" t="n">
        <f aca="false">original_dataset!I279</f>
        <v>88.7</v>
      </c>
      <c r="J279" s="0" t="n">
        <f aca="false">IF(ISBLANK(original_dataset!J279),MEDIAN(original_dataset!$J$2:$J$321),original_dataset!J279)</f>
        <v>3.39</v>
      </c>
      <c r="K279" s="0" t="n">
        <f aca="false">original_dataset!K279</f>
        <v>0</v>
      </c>
      <c r="L279" s="0" t="n">
        <f aca="false">IF(ISBLANK(original_dataset!L279),MEDIAN(original_dataset!$L$2:$L$321),original_dataset!L279)</f>
        <v>4</v>
      </c>
      <c r="M279" s="0" t="n">
        <f aca="false">original_dataset!M279</f>
        <v>738548.42</v>
      </c>
      <c r="N279" s="0" t="n">
        <f aca="false">original_dataset!N279</f>
        <v>134282.77</v>
      </c>
      <c r="O279" s="0" t="str">
        <f aca="false">IF(ISBLANK(original_dataset!J279),"Yes","No")</f>
        <v>No</v>
      </c>
      <c r="P279" s="0" t="str">
        <f aca="false">IF(ISBLANK(original_dataset!L279),"Yes","No")</f>
        <v>No</v>
      </c>
    </row>
    <row r="280" customFormat="false" ht="15" hidden="false" customHeight="false" outlineLevel="0" collapsed="false">
      <c r="A280" s="0" t="str">
        <f aca="false">original_dataset!A280</f>
        <v>STR-1070</v>
      </c>
      <c r="B280" s="0" t="str">
        <f aca="false">original_dataset!B280</f>
        <v>2025-03-01</v>
      </c>
      <c r="C280" s="0" t="str">
        <f aca="false">original_dataset!C280</f>
        <v>South</v>
      </c>
      <c r="D280" s="0" t="str">
        <f aca="false">original_dataset!D280</f>
        <v>Residential</v>
      </c>
      <c r="E280" s="0" t="n">
        <f aca="false">original_dataset!E280</f>
        <v>48609.41</v>
      </c>
      <c r="F280" s="0" t="n">
        <f aca="false">original_dataset!F280</f>
        <v>9324</v>
      </c>
      <c r="G280" s="0" t="n">
        <f aca="false">original_dataset!G280</f>
        <v>0.213</v>
      </c>
      <c r="H280" s="0" t="n">
        <f aca="false">original_dataset!H280</f>
        <v>18</v>
      </c>
      <c r="I280" s="0" t="n">
        <f aca="false">original_dataset!I280</f>
        <v>86.5</v>
      </c>
      <c r="J280" s="0" t="n">
        <f aca="false">IF(ISBLANK(original_dataset!J280),MEDIAN(original_dataset!$J$2:$J$321),original_dataset!J280)</f>
        <v>1.44</v>
      </c>
      <c r="K280" s="0" t="n">
        <f aca="false">original_dataset!K280</f>
        <v>0</v>
      </c>
      <c r="L280" s="0" t="n">
        <f aca="false">IF(ISBLANK(original_dataset!L280),MEDIAN(original_dataset!$L$2:$L$321),original_dataset!L280)</f>
        <v>3.9</v>
      </c>
      <c r="M280" s="0" t="n">
        <f aca="false">original_dataset!M280</f>
        <v>756619.77</v>
      </c>
      <c r="N280" s="0" t="n">
        <f aca="false">original_dataset!N280</f>
        <v>112057.69</v>
      </c>
      <c r="O280" s="0" t="str">
        <f aca="false">IF(ISBLANK(original_dataset!J280),"Yes","No")</f>
        <v>No</v>
      </c>
      <c r="P280" s="0" t="str">
        <f aca="false">IF(ISBLANK(original_dataset!L280),"Yes","No")</f>
        <v>No</v>
      </c>
    </row>
    <row r="281" customFormat="false" ht="15" hidden="false" customHeight="false" outlineLevel="0" collapsed="false">
      <c r="A281" s="0" t="str">
        <f aca="false">original_dataset!A281</f>
        <v>STR-1070</v>
      </c>
      <c r="B281" s="0" t="str">
        <f aca="false">original_dataset!B281</f>
        <v>2025-04-01</v>
      </c>
      <c r="C281" s="0" t="str">
        <f aca="false">original_dataset!C281</f>
        <v>South</v>
      </c>
      <c r="D281" s="0" t="str">
        <f aca="false">original_dataset!D281</f>
        <v>Residential</v>
      </c>
      <c r="E281" s="0" t="n">
        <f aca="false">original_dataset!E281</f>
        <v>70284.06</v>
      </c>
      <c r="F281" s="0" t="n">
        <f aca="false">original_dataset!F281</f>
        <v>9109</v>
      </c>
      <c r="G281" s="0" t="n">
        <f aca="false">original_dataset!G281</f>
        <v>0.004</v>
      </c>
      <c r="H281" s="0" t="n">
        <f aca="false">original_dataset!H281</f>
        <v>23</v>
      </c>
      <c r="I281" s="0" t="n">
        <f aca="false">original_dataset!I281</f>
        <v>87</v>
      </c>
      <c r="J281" s="0" t="n">
        <f aca="false">IF(ISBLANK(original_dataset!J281),MEDIAN(original_dataset!$J$2:$J$321),original_dataset!J281)</f>
        <v>3.65</v>
      </c>
      <c r="K281" s="0" t="n">
        <f aca="false">original_dataset!K281</f>
        <v>0</v>
      </c>
      <c r="L281" s="0" t="n">
        <f aca="false">IF(ISBLANK(original_dataset!L281),MEDIAN(original_dataset!$L$2:$L$321),original_dataset!L281)</f>
        <v>3.7</v>
      </c>
      <c r="M281" s="0" t="n">
        <f aca="false">original_dataset!M281</f>
        <v>761122.42</v>
      </c>
      <c r="N281" s="0" t="n">
        <f aca="false">original_dataset!N281</f>
        <v>149802.04</v>
      </c>
      <c r="O281" s="0" t="str">
        <f aca="false">IF(ISBLANK(original_dataset!J281),"Yes","No")</f>
        <v>No</v>
      </c>
      <c r="P281" s="0" t="str">
        <f aca="false">IF(ISBLANK(original_dataset!L281),"Yes","No")</f>
        <v>No</v>
      </c>
    </row>
    <row r="282" customFormat="false" ht="15" hidden="false" customHeight="false" outlineLevel="0" collapsed="false">
      <c r="A282" s="0" t="str">
        <f aca="false">original_dataset!A282</f>
        <v>STR-1071</v>
      </c>
      <c r="B282" s="0" t="str">
        <f aca="false">original_dataset!B282</f>
        <v>2025-01-01</v>
      </c>
      <c r="C282" s="0" t="str">
        <f aca="false">original_dataset!C282</f>
        <v>South</v>
      </c>
      <c r="D282" s="0" t="str">
        <f aca="false">original_dataset!D282</f>
        <v>High Street</v>
      </c>
      <c r="E282" s="0" t="n">
        <f aca="false">original_dataset!E282</f>
        <v>45940.39</v>
      </c>
      <c r="F282" s="0" t="n">
        <f aca="false">original_dataset!F282</f>
        <v>4022</v>
      </c>
      <c r="G282" s="0" t="n">
        <f aca="false">original_dataset!G282</f>
        <v>0.069</v>
      </c>
      <c r="H282" s="0" t="n">
        <f aca="false">original_dataset!H282</f>
        <v>10</v>
      </c>
      <c r="I282" s="0" t="n">
        <f aca="false">original_dataset!I282</f>
        <v>83</v>
      </c>
      <c r="J282" s="0" t="n">
        <f aca="false">IF(ISBLANK(original_dataset!J282),MEDIAN(original_dataset!$J$2:$J$321),original_dataset!J282)</f>
        <v>1.23</v>
      </c>
      <c r="K282" s="0" t="n">
        <f aca="false">original_dataset!K282</f>
        <v>1</v>
      </c>
      <c r="L282" s="0" t="n">
        <f aca="false">IF(ISBLANK(original_dataset!L282),MEDIAN(original_dataset!$L$2:$L$321),original_dataset!L282)</f>
        <v>3.8</v>
      </c>
      <c r="M282" s="0" t="n">
        <f aca="false">original_dataset!M282</f>
        <v>524899.57</v>
      </c>
      <c r="N282" s="0" t="n">
        <f aca="false">original_dataset!N282</f>
        <v>63619.98</v>
      </c>
      <c r="O282" s="0" t="str">
        <f aca="false">IF(ISBLANK(original_dataset!J282),"Yes","No")</f>
        <v>No</v>
      </c>
      <c r="P282" s="0" t="str">
        <f aca="false">IF(ISBLANK(original_dataset!L282),"Yes","No")</f>
        <v>No</v>
      </c>
    </row>
    <row r="283" customFormat="false" ht="15" hidden="false" customHeight="false" outlineLevel="0" collapsed="false">
      <c r="A283" s="0" t="str">
        <f aca="false">original_dataset!A283</f>
        <v>STR-1071</v>
      </c>
      <c r="B283" s="0" t="str">
        <f aca="false">original_dataset!B283</f>
        <v>2025-02-01</v>
      </c>
      <c r="C283" s="0" t="str">
        <f aca="false">original_dataset!C283</f>
        <v>South</v>
      </c>
      <c r="D283" s="0" t="str">
        <f aca="false">original_dataset!D283</f>
        <v>High Street</v>
      </c>
      <c r="E283" s="0" t="n">
        <f aca="false">original_dataset!E283</f>
        <v>34771.26</v>
      </c>
      <c r="F283" s="0" t="n">
        <f aca="false">original_dataset!F283</f>
        <v>4355</v>
      </c>
      <c r="G283" s="0" t="n">
        <f aca="false">original_dataset!G283</f>
        <v>0.051</v>
      </c>
      <c r="H283" s="0" t="n">
        <f aca="false">original_dataset!H283</f>
        <v>15</v>
      </c>
      <c r="I283" s="0" t="n">
        <f aca="false">original_dataset!I283</f>
        <v>87.9</v>
      </c>
      <c r="J283" s="0" t="n">
        <f aca="false">IF(ISBLANK(original_dataset!J283),MEDIAN(original_dataset!$J$2:$J$321),original_dataset!J283)</f>
        <v>3.09</v>
      </c>
      <c r="K283" s="0" t="n">
        <f aca="false">original_dataset!K283</f>
        <v>0</v>
      </c>
      <c r="L283" s="0" t="n">
        <f aca="false">IF(ISBLANK(original_dataset!L283),MEDIAN(original_dataset!$L$2:$L$321),original_dataset!L283)</f>
        <v>4</v>
      </c>
      <c r="M283" s="0" t="n">
        <f aca="false">original_dataset!M283</f>
        <v>555557.77</v>
      </c>
      <c r="N283" s="0" t="n">
        <f aca="false">original_dataset!N283</f>
        <v>86475.51</v>
      </c>
      <c r="O283" s="0" t="str">
        <f aca="false">IF(ISBLANK(original_dataset!J283),"Yes","No")</f>
        <v>No</v>
      </c>
      <c r="P283" s="0" t="str">
        <f aca="false">IF(ISBLANK(original_dataset!L283),"Yes","No")</f>
        <v>No</v>
      </c>
    </row>
    <row r="284" customFormat="false" ht="15" hidden="false" customHeight="false" outlineLevel="0" collapsed="false">
      <c r="A284" s="0" t="str">
        <f aca="false">original_dataset!A284</f>
        <v>STR-1071</v>
      </c>
      <c r="B284" s="0" t="str">
        <f aca="false">original_dataset!B284</f>
        <v>2025-03-01</v>
      </c>
      <c r="C284" s="0" t="str">
        <f aca="false">original_dataset!C284</f>
        <v>South</v>
      </c>
      <c r="D284" s="0" t="str">
        <f aca="false">original_dataset!D284</f>
        <v>High Street</v>
      </c>
      <c r="E284" s="0" t="n">
        <f aca="false">original_dataset!E284</f>
        <v>66104.19</v>
      </c>
      <c r="F284" s="0" t="n">
        <f aca="false">original_dataset!F284</f>
        <v>5745</v>
      </c>
      <c r="G284" s="0" t="n">
        <f aca="false">original_dataset!G284</f>
        <v>0.07</v>
      </c>
      <c r="H284" s="0" t="n">
        <f aca="false">original_dataset!H284</f>
        <v>17</v>
      </c>
      <c r="I284" s="0" t="n">
        <f aca="false">original_dataset!I284</f>
        <v>95.8</v>
      </c>
      <c r="J284" s="0" t="n">
        <f aca="false">IF(ISBLANK(original_dataset!J284),MEDIAN(original_dataset!$J$2:$J$321),original_dataset!J284)</f>
        <v>3.15</v>
      </c>
      <c r="K284" s="0" t="n">
        <f aca="false">original_dataset!K284</f>
        <v>0</v>
      </c>
      <c r="L284" s="0" t="n">
        <f aca="false">IF(ISBLANK(original_dataset!L284),MEDIAN(original_dataset!$L$2:$L$321),original_dataset!L284)</f>
        <v>4</v>
      </c>
      <c r="M284" s="0" t="n">
        <f aca="false">original_dataset!M284</f>
        <v>714083.68</v>
      </c>
      <c r="N284" s="0" t="n">
        <f aca="false">original_dataset!N284</f>
        <v>127231.74</v>
      </c>
      <c r="O284" s="0" t="str">
        <f aca="false">IF(ISBLANK(original_dataset!J284),"Yes","No")</f>
        <v>No</v>
      </c>
      <c r="P284" s="0" t="str">
        <f aca="false">IF(ISBLANK(original_dataset!L284),"Yes","No")</f>
        <v>No</v>
      </c>
    </row>
    <row r="285" customFormat="false" ht="15" hidden="false" customHeight="false" outlineLevel="0" collapsed="false">
      <c r="A285" s="0" t="str">
        <f aca="false">original_dataset!A285</f>
        <v>STR-1071</v>
      </c>
      <c r="B285" s="0" t="str">
        <f aca="false">original_dataset!B285</f>
        <v>2025-04-01</v>
      </c>
      <c r="C285" s="0" t="str">
        <f aca="false">original_dataset!C285</f>
        <v>South</v>
      </c>
      <c r="D285" s="0" t="str">
        <f aca="false">original_dataset!D285</f>
        <v>High Street</v>
      </c>
      <c r="E285" s="0" t="n">
        <f aca="false">original_dataset!E285</f>
        <v>18599.21</v>
      </c>
      <c r="F285" s="0" t="n">
        <f aca="false">original_dataset!F285</f>
        <v>3027</v>
      </c>
      <c r="G285" s="0" t="n">
        <f aca="false">original_dataset!G285</f>
        <v>0.122</v>
      </c>
      <c r="H285" s="0" t="n">
        <f aca="false">original_dataset!H285</f>
        <v>11</v>
      </c>
      <c r="I285" s="0" t="n">
        <f aca="false">original_dataset!I285</f>
        <v>80.9</v>
      </c>
      <c r="J285" s="0" t="n">
        <f aca="false">IF(ISBLANK(original_dataset!J285),MEDIAN(original_dataset!$J$2:$J$321),original_dataset!J285)</f>
        <v>6.44</v>
      </c>
      <c r="K285" s="0" t="n">
        <f aca="false">original_dataset!K285</f>
        <v>0</v>
      </c>
      <c r="L285" s="0" t="n">
        <f aca="false">IF(ISBLANK(original_dataset!L285),MEDIAN(original_dataset!$L$2:$L$321),original_dataset!L285)</f>
        <v>4.2</v>
      </c>
      <c r="M285" s="0" t="n">
        <f aca="false">original_dataset!M285</f>
        <v>497439.82</v>
      </c>
      <c r="N285" s="0" t="n">
        <f aca="false">original_dataset!N285</f>
        <v>93372.75</v>
      </c>
      <c r="O285" s="0" t="str">
        <f aca="false">IF(ISBLANK(original_dataset!J285),"Yes","No")</f>
        <v>No</v>
      </c>
      <c r="P285" s="0" t="str">
        <f aca="false">IF(ISBLANK(original_dataset!L285),"Yes","No")</f>
        <v>No</v>
      </c>
    </row>
    <row r="286" customFormat="false" ht="15" hidden="false" customHeight="false" outlineLevel="0" collapsed="false">
      <c r="A286" s="0" t="str">
        <f aca="false">original_dataset!A286</f>
        <v>STR-1072</v>
      </c>
      <c r="B286" s="0" t="str">
        <f aca="false">original_dataset!B286</f>
        <v>2025-01-01</v>
      </c>
      <c r="C286" s="0" t="str">
        <f aca="false">original_dataset!C286</f>
        <v>West</v>
      </c>
      <c r="D286" s="0" t="str">
        <f aca="false">original_dataset!D286</f>
        <v>Residential</v>
      </c>
      <c r="E286" s="0" t="n">
        <f aca="false">original_dataset!E286</f>
        <v>60183.06</v>
      </c>
      <c r="F286" s="0" t="n">
        <f aca="false">original_dataset!F286</f>
        <v>5562</v>
      </c>
      <c r="G286" s="0" t="n">
        <f aca="false">original_dataset!G286</f>
        <v>0.009</v>
      </c>
      <c r="H286" s="0" t="n">
        <f aca="false">original_dataset!H286</f>
        <v>13</v>
      </c>
      <c r="I286" s="0" t="n">
        <f aca="false">original_dataset!I286</f>
        <v>86.3</v>
      </c>
      <c r="J286" s="0" t="n">
        <f aca="false">IF(ISBLANK(original_dataset!J286),MEDIAN(original_dataset!$J$2:$J$321),original_dataset!J286)</f>
        <v>0.2</v>
      </c>
      <c r="K286" s="0" t="n">
        <f aca="false">original_dataset!K286</f>
        <v>1</v>
      </c>
      <c r="L286" s="0" t="n">
        <f aca="false">IF(ISBLANK(original_dataset!L286),MEDIAN(original_dataset!$L$2:$L$321),original_dataset!L286)</f>
        <v>4.5</v>
      </c>
      <c r="M286" s="0" t="n">
        <f aca="false">original_dataset!M286</f>
        <v>636775.66</v>
      </c>
      <c r="N286" s="0" t="n">
        <f aca="false">original_dataset!N286</f>
        <v>122636.86</v>
      </c>
      <c r="O286" s="0" t="str">
        <f aca="false">IF(ISBLANK(original_dataset!J286),"Yes","No")</f>
        <v>No</v>
      </c>
      <c r="P286" s="0" t="str">
        <f aca="false">IF(ISBLANK(original_dataset!L286),"Yes","No")</f>
        <v>No</v>
      </c>
    </row>
    <row r="287" customFormat="false" ht="15" hidden="false" customHeight="false" outlineLevel="0" collapsed="false">
      <c r="A287" s="0" t="str">
        <f aca="false">original_dataset!A287</f>
        <v>STR-1072</v>
      </c>
      <c r="B287" s="0" t="str">
        <f aca="false">original_dataset!B287</f>
        <v>2025-02-01</v>
      </c>
      <c r="C287" s="0" t="str">
        <f aca="false">original_dataset!C287</f>
        <v>West</v>
      </c>
      <c r="D287" s="0" t="str">
        <f aca="false">original_dataset!D287</f>
        <v>Residential</v>
      </c>
      <c r="E287" s="0" t="n">
        <f aca="false">original_dataset!E287</f>
        <v>74539.14</v>
      </c>
      <c r="F287" s="0" t="n">
        <f aca="false">original_dataset!F287</f>
        <v>4487</v>
      </c>
      <c r="G287" s="0" t="n">
        <f aca="false">original_dataset!G287</f>
        <v>0.14</v>
      </c>
      <c r="H287" s="0" t="n">
        <f aca="false">original_dataset!H287</f>
        <v>10</v>
      </c>
      <c r="I287" s="0" t="n">
        <f aca="false">original_dataset!I287</f>
        <v>90.4</v>
      </c>
      <c r="J287" s="0" t="n">
        <f aca="false">IF(ISBLANK(original_dataset!J287),MEDIAN(original_dataset!$J$2:$J$321),original_dataset!J287)</f>
        <v>0.59</v>
      </c>
      <c r="K287" s="0" t="n">
        <f aca="false">original_dataset!K287</f>
        <v>0</v>
      </c>
      <c r="L287" s="0" t="n">
        <f aca="false">IF(ISBLANK(original_dataset!L287),MEDIAN(original_dataset!$L$2:$L$321),original_dataset!L287)</f>
        <v>4.5</v>
      </c>
      <c r="M287" s="0" t="n">
        <f aca="false">original_dataset!M287</f>
        <v>633009.53</v>
      </c>
      <c r="N287" s="0" t="n">
        <f aca="false">original_dataset!N287</f>
        <v>123782.67</v>
      </c>
      <c r="O287" s="0" t="str">
        <f aca="false">IF(ISBLANK(original_dataset!J287),"Yes","No")</f>
        <v>No</v>
      </c>
      <c r="P287" s="0" t="str">
        <f aca="false">IF(ISBLANK(original_dataset!L287),"Yes","No")</f>
        <v>No</v>
      </c>
    </row>
    <row r="288" customFormat="false" ht="15" hidden="false" customHeight="false" outlineLevel="0" collapsed="false">
      <c r="A288" s="0" t="str">
        <f aca="false">original_dataset!A288</f>
        <v>STR-1072</v>
      </c>
      <c r="B288" s="0" t="str">
        <f aca="false">original_dataset!B288</f>
        <v>2025-03-01</v>
      </c>
      <c r="C288" s="0" t="str">
        <f aca="false">original_dataset!C288</f>
        <v>West</v>
      </c>
      <c r="D288" s="0" t="str">
        <f aca="false">original_dataset!D288</f>
        <v>Residential</v>
      </c>
      <c r="E288" s="0" t="n">
        <f aca="false">original_dataset!E288</f>
        <v>55371.97</v>
      </c>
      <c r="F288" s="0" t="n">
        <f aca="false">original_dataset!F288</f>
        <v>4162</v>
      </c>
      <c r="G288" s="0" t="n">
        <f aca="false">original_dataset!G288</f>
        <v>0.183</v>
      </c>
      <c r="H288" s="0" t="n">
        <f aca="false">original_dataset!H288</f>
        <v>11</v>
      </c>
      <c r="I288" s="0" t="n">
        <f aca="false">original_dataset!I288</f>
        <v>92</v>
      </c>
      <c r="J288" s="0" t="n">
        <f aca="false">IF(ISBLANK(original_dataset!J288),MEDIAN(original_dataset!$J$2:$J$321),original_dataset!J288)</f>
        <v>0.2</v>
      </c>
      <c r="K288" s="0" t="n">
        <f aca="false">original_dataset!K288</f>
        <v>1</v>
      </c>
      <c r="L288" s="0" t="n">
        <f aca="false">IF(ISBLANK(original_dataset!L288),MEDIAN(original_dataset!$L$2:$L$321),original_dataset!L288)</f>
        <v>4.2</v>
      </c>
      <c r="M288" s="0" t="n">
        <f aca="false">original_dataset!M288</f>
        <v>609949</v>
      </c>
      <c r="N288" s="0" t="n">
        <f aca="false">original_dataset!N288</f>
        <v>126789.25</v>
      </c>
      <c r="O288" s="0" t="str">
        <f aca="false">IF(ISBLANK(original_dataset!J288),"Yes","No")</f>
        <v>No</v>
      </c>
      <c r="P288" s="0" t="str">
        <f aca="false">IF(ISBLANK(original_dataset!L288),"Yes","No")</f>
        <v>No</v>
      </c>
    </row>
    <row r="289" customFormat="false" ht="15" hidden="false" customHeight="false" outlineLevel="0" collapsed="false">
      <c r="A289" s="0" t="str">
        <f aca="false">original_dataset!A289</f>
        <v>STR-1072</v>
      </c>
      <c r="B289" s="0" t="str">
        <f aca="false">original_dataset!B289</f>
        <v>2025-04-01</v>
      </c>
      <c r="C289" s="0" t="str">
        <f aca="false">original_dataset!C289</f>
        <v>West</v>
      </c>
      <c r="D289" s="0" t="str">
        <f aca="false">original_dataset!D289</f>
        <v>Residential</v>
      </c>
      <c r="E289" s="0" t="n">
        <f aca="false">original_dataset!E289</f>
        <v>40928.69</v>
      </c>
      <c r="F289" s="0" t="n">
        <f aca="false">original_dataset!F289</f>
        <v>4094</v>
      </c>
      <c r="G289" s="0" t="n">
        <f aca="false">original_dataset!G289</f>
        <v>0.174</v>
      </c>
      <c r="H289" s="0" t="n">
        <f aca="false">original_dataset!H289</f>
        <v>13</v>
      </c>
      <c r="I289" s="0" t="n">
        <f aca="false">original_dataset!I289</f>
        <v>82.4</v>
      </c>
      <c r="J289" s="0" t="n">
        <f aca="false">IF(ISBLANK(original_dataset!J289),MEDIAN(original_dataset!$J$2:$J$321),original_dataset!J289)</f>
        <v>1.36</v>
      </c>
      <c r="K289" s="0" t="n">
        <f aca="false">original_dataset!K289</f>
        <v>0</v>
      </c>
      <c r="L289" s="0" t="n">
        <f aca="false">IF(ISBLANK(original_dataset!L289),MEDIAN(original_dataset!$L$2:$L$321),original_dataset!L289)</f>
        <v>4.8</v>
      </c>
      <c r="M289" s="0" t="n">
        <f aca="false">original_dataset!M289</f>
        <v>548103.7</v>
      </c>
      <c r="N289" s="0" t="n">
        <f aca="false">original_dataset!N289</f>
        <v>99905.52</v>
      </c>
      <c r="O289" s="0" t="str">
        <f aca="false">IF(ISBLANK(original_dataset!J289),"Yes","No")</f>
        <v>No</v>
      </c>
      <c r="P289" s="0" t="str">
        <f aca="false">IF(ISBLANK(original_dataset!L289),"Yes","No")</f>
        <v>No</v>
      </c>
    </row>
    <row r="290" customFormat="false" ht="15" hidden="false" customHeight="false" outlineLevel="0" collapsed="false">
      <c r="A290" s="0" t="str">
        <f aca="false">original_dataset!A290</f>
        <v>STR-1073</v>
      </c>
      <c r="B290" s="0" t="str">
        <f aca="false">original_dataset!B290</f>
        <v>2025-01-01</v>
      </c>
      <c r="C290" s="0" t="str">
        <f aca="false">original_dataset!C290</f>
        <v>East</v>
      </c>
      <c r="D290" s="0" t="str">
        <f aca="false">original_dataset!D290</f>
        <v>Residential</v>
      </c>
      <c r="E290" s="0" t="n">
        <f aca="false">original_dataset!E290</f>
        <v>70012.41</v>
      </c>
      <c r="F290" s="0" t="n">
        <f aca="false">original_dataset!F290</f>
        <v>8484</v>
      </c>
      <c r="G290" s="0" t="n">
        <f aca="false">original_dataset!G290</f>
        <v>0.273</v>
      </c>
      <c r="H290" s="0" t="n">
        <f aca="false">original_dataset!H290</f>
        <v>23</v>
      </c>
      <c r="I290" s="0" t="n">
        <f aca="false">original_dataset!I290</f>
        <v>72.9</v>
      </c>
      <c r="J290" s="0" t="n">
        <f aca="false">IF(ISBLANK(original_dataset!J290),MEDIAN(original_dataset!$J$2:$J$321),original_dataset!J290)</f>
        <v>3.34</v>
      </c>
      <c r="K290" s="0" t="n">
        <f aca="false">original_dataset!K290</f>
        <v>0</v>
      </c>
      <c r="L290" s="0" t="n">
        <f aca="false">IF(ISBLANK(original_dataset!L290),MEDIAN(original_dataset!$L$2:$L$321),original_dataset!L290)</f>
        <v>3.7</v>
      </c>
      <c r="M290" s="0" t="n">
        <f aca="false">original_dataset!M290</f>
        <v>729424.42</v>
      </c>
      <c r="N290" s="0" t="n">
        <f aca="false">original_dataset!N290</f>
        <v>75592.28</v>
      </c>
      <c r="O290" s="0" t="str">
        <f aca="false">IF(ISBLANK(original_dataset!J290),"Yes","No")</f>
        <v>No</v>
      </c>
      <c r="P290" s="0" t="str">
        <f aca="false">IF(ISBLANK(original_dataset!L290),"Yes","No")</f>
        <v>No</v>
      </c>
    </row>
    <row r="291" customFormat="false" ht="15" hidden="false" customHeight="false" outlineLevel="0" collapsed="false">
      <c r="A291" s="0" t="str">
        <f aca="false">original_dataset!A291</f>
        <v>STR-1073</v>
      </c>
      <c r="B291" s="0" t="str">
        <f aca="false">original_dataset!B291</f>
        <v>2025-02-01</v>
      </c>
      <c r="C291" s="0" t="str">
        <f aca="false">original_dataset!C291</f>
        <v>East</v>
      </c>
      <c r="D291" s="0" t="str">
        <f aca="false">original_dataset!D291</f>
        <v>Residential</v>
      </c>
      <c r="E291" s="0" t="n">
        <f aca="false">original_dataset!E291</f>
        <v>68909.26</v>
      </c>
      <c r="F291" s="0" t="n">
        <f aca="false">original_dataset!F291</f>
        <v>7794</v>
      </c>
      <c r="G291" s="0" t="n">
        <f aca="false">original_dataset!G291</f>
        <v>0.284</v>
      </c>
      <c r="H291" s="0" t="n">
        <f aca="false">original_dataset!H291</f>
        <v>22</v>
      </c>
      <c r="I291" s="0" t="n">
        <f aca="false">original_dataset!I291</f>
        <v>89</v>
      </c>
      <c r="J291" s="0" t="n">
        <f aca="false">IF(ISBLANK(original_dataset!J291),MEDIAN(original_dataset!$J$2:$J$321),original_dataset!J291)</f>
        <v>0.33</v>
      </c>
      <c r="K291" s="0" t="n">
        <f aca="false">original_dataset!K291</f>
        <v>0</v>
      </c>
      <c r="L291" s="0" t="n">
        <f aca="false">IF(ISBLANK(original_dataset!L291),MEDIAN(original_dataset!$L$2:$L$321),original_dataset!L291)</f>
        <v>4</v>
      </c>
      <c r="M291" s="0" t="n">
        <f aca="false">original_dataset!M291</f>
        <v>696261.49</v>
      </c>
      <c r="N291" s="0" t="n">
        <f aca="false">original_dataset!N291</f>
        <v>72455.35</v>
      </c>
      <c r="O291" s="0" t="str">
        <f aca="false">IF(ISBLANK(original_dataset!J291),"Yes","No")</f>
        <v>No</v>
      </c>
      <c r="P291" s="0" t="str">
        <f aca="false">IF(ISBLANK(original_dataset!L291),"Yes","No")</f>
        <v>No</v>
      </c>
    </row>
    <row r="292" customFormat="false" ht="15" hidden="false" customHeight="false" outlineLevel="0" collapsed="false">
      <c r="A292" s="0" t="str">
        <f aca="false">original_dataset!A292</f>
        <v>STR-1073</v>
      </c>
      <c r="B292" s="0" t="str">
        <f aca="false">original_dataset!B292</f>
        <v>2025-03-01</v>
      </c>
      <c r="C292" s="0" t="str">
        <f aca="false">original_dataset!C292</f>
        <v>East</v>
      </c>
      <c r="D292" s="0" t="str">
        <f aca="false">original_dataset!D292</f>
        <v>Residential</v>
      </c>
      <c r="E292" s="0" t="n">
        <f aca="false">original_dataset!E292</f>
        <v>56737.3</v>
      </c>
      <c r="F292" s="0" t="n">
        <f aca="false">original_dataset!F292</f>
        <v>8300</v>
      </c>
      <c r="G292" s="0" t="n">
        <f aca="false">original_dataset!G292</f>
        <v>0.032</v>
      </c>
      <c r="H292" s="0" t="n">
        <f aca="false">original_dataset!H292</f>
        <v>21</v>
      </c>
      <c r="I292" s="0" t="n">
        <f aca="false">original_dataset!I292</f>
        <v>83.2</v>
      </c>
      <c r="J292" s="0" t="n">
        <f aca="false">IF(ISBLANK(original_dataset!J292),MEDIAN(original_dataset!$J$2:$J$321),original_dataset!J292)</f>
        <v>3.44</v>
      </c>
      <c r="K292" s="0" t="n">
        <f aca="false">original_dataset!K292</f>
        <v>1</v>
      </c>
      <c r="L292" s="0" t="n">
        <f aca="false">IF(ISBLANK(original_dataset!L292),MEDIAN(original_dataset!$L$2:$L$321),original_dataset!L292)</f>
        <v>4.3</v>
      </c>
      <c r="M292" s="0" t="n">
        <f aca="false">original_dataset!M292</f>
        <v>813316.71</v>
      </c>
      <c r="N292" s="0" t="n">
        <f aca="false">original_dataset!N292</f>
        <v>110077.42</v>
      </c>
      <c r="O292" s="0" t="str">
        <f aca="false">IF(ISBLANK(original_dataset!J292),"Yes","No")</f>
        <v>No</v>
      </c>
      <c r="P292" s="0" t="str">
        <f aca="false">IF(ISBLANK(original_dataset!L292),"Yes","No")</f>
        <v>No</v>
      </c>
    </row>
    <row r="293" customFormat="false" ht="15" hidden="false" customHeight="false" outlineLevel="0" collapsed="false">
      <c r="A293" s="0" t="str">
        <f aca="false">original_dataset!A293</f>
        <v>STR-1073</v>
      </c>
      <c r="B293" s="0" t="str">
        <f aca="false">original_dataset!B293</f>
        <v>2025-04-01</v>
      </c>
      <c r="C293" s="0" t="str">
        <f aca="false">original_dataset!C293</f>
        <v>East</v>
      </c>
      <c r="D293" s="0" t="str">
        <f aca="false">original_dataset!D293</f>
        <v>Residential</v>
      </c>
      <c r="E293" s="0" t="n">
        <f aca="false">original_dataset!E293</f>
        <v>54080.91</v>
      </c>
      <c r="F293" s="0" t="n">
        <f aca="false">original_dataset!F293</f>
        <v>7083</v>
      </c>
      <c r="G293" s="0" t="n">
        <f aca="false">original_dataset!G293</f>
        <v>0</v>
      </c>
      <c r="H293" s="0" t="n">
        <f aca="false">original_dataset!H293</f>
        <v>15</v>
      </c>
      <c r="I293" s="0" t="n">
        <f aca="false">original_dataset!I293</f>
        <v>97</v>
      </c>
      <c r="J293" s="0" t="n">
        <f aca="false">IF(ISBLANK(original_dataset!J293),MEDIAN(original_dataset!$J$2:$J$321),original_dataset!J293)</f>
        <v>5.33</v>
      </c>
      <c r="K293" s="0" t="n">
        <f aca="false">original_dataset!K293</f>
        <v>0</v>
      </c>
      <c r="L293" s="0" t="n">
        <f aca="false">IF(ISBLANK(original_dataset!L293),MEDIAN(original_dataset!$L$2:$L$321),original_dataset!L293)</f>
        <v>4.1</v>
      </c>
      <c r="M293" s="0" t="n">
        <f aca="false">original_dataset!M293</f>
        <v>702068.92</v>
      </c>
      <c r="N293" s="0" t="n">
        <f aca="false">original_dataset!N293</f>
        <v>111266.63</v>
      </c>
      <c r="O293" s="0" t="str">
        <f aca="false">IF(ISBLANK(original_dataset!J293),"Yes","No")</f>
        <v>No</v>
      </c>
      <c r="P293" s="0" t="str">
        <f aca="false">IF(ISBLANK(original_dataset!L293),"Yes","No")</f>
        <v>No</v>
      </c>
    </row>
    <row r="294" customFormat="false" ht="15" hidden="false" customHeight="false" outlineLevel="0" collapsed="false">
      <c r="A294" s="0" t="str">
        <f aca="false">original_dataset!A294</f>
        <v>STR-1074</v>
      </c>
      <c r="B294" s="0" t="str">
        <f aca="false">original_dataset!B294</f>
        <v>2025-01-01</v>
      </c>
      <c r="C294" s="0" t="str">
        <f aca="false">original_dataset!C294</f>
        <v>West</v>
      </c>
      <c r="D294" s="0" t="str">
        <f aca="false">original_dataset!D294</f>
        <v>High Street</v>
      </c>
      <c r="E294" s="0" t="n">
        <f aca="false">original_dataset!E294</f>
        <v>51996.32</v>
      </c>
      <c r="F294" s="0" t="n">
        <f aca="false">original_dataset!F294</f>
        <v>3834</v>
      </c>
      <c r="G294" s="0" t="n">
        <f aca="false">original_dataset!G294</f>
        <v>0.096</v>
      </c>
      <c r="H294" s="0" t="n">
        <f aca="false">original_dataset!H294</f>
        <v>8</v>
      </c>
      <c r="I294" s="0" t="n">
        <f aca="false">original_dataset!I294</f>
        <v>86.7</v>
      </c>
      <c r="J294" s="0" t="n">
        <f aca="false">IF(ISBLANK(original_dataset!J294),MEDIAN(original_dataset!$J$2:$J$321),original_dataset!J294)</f>
        <v>6.04</v>
      </c>
      <c r="K294" s="0" t="n">
        <f aca="false">original_dataset!K294</f>
        <v>0</v>
      </c>
      <c r="L294" s="0" t="n">
        <f aca="false">IF(ISBLANK(original_dataset!L294),MEDIAN(original_dataset!$L$2:$L$321),original_dataset!L294)</f>
        <v>4.5</v>
      </c>
      <c r="M294" s="0" t="n">
        <f aca="false">original_dataset!M294</f>
        <v>546223.7</v>
      </c>
      <c r="N294" s="0" t="n">
        <f aca="false">original_dataset!N294</f>
        <v>100769.17</v>
      </c>
      <c r="O294" s="0" t="str">
        <f aca="false">IF(ISBLANK(original_dataset!J294),"Yes","No")</f>
        <v>No</v>
      </c>
      <c r="P294" s="0" t="str">
        <f aca="false">IF(ISBLANK(original_dataset!L294),"Yes","No")</f>
        <v>No</v>
      </c>
    </row>
    <row r="295" customFormat="false" ht="15" hidden="false" customHeight="false" outlineLevel="0" collapsed="false">
      <c r="A295" s="0" t="str">
        <f aca="false">original_dataset!A295</f>
        <v>STR-1074</v>
      </c>
      <c r="B295" s="0" t="str">
        <f aca="false">original_dataset!B295</f>
        <v>2025-02-01</v>
      </c>
      <c r="C295" s="0" t="str">
        <f aca="false">original_dataset!C295</f>
        <v>West</v>
      </c>
      <c r="D295" s="0" t="str">
        <f aca="false">original_dataset!D295</f>
        <v>High Street</v>
      </c>
      <c r="E295" s="0" t="n">
        <f aca="false">original_dataset!E295</f>
        <v>40102.88</v>
      </c>
      <c r="F295" s="0" t="n">
        <f aca="false">original_dataset!F295</f>
        <v>2358</v>
      </c>
      <c r="G295" s="0" t="n">
        <f aca="false">original_dataset!G295</f>
        <v>0.119</v>
      </c>
      <c r="H295" s="0" t="n">
        <f aca="false">original_dataset!H295</f>
        <v>9</v>
      </c>
      <c r="I295" s="0" t="n">
        <f aca="false">original_dataset!I295</f>
        <v>88.7</v>
      </c>
      <c r="J295" s="0" t="n">
        <f aca="false">IF(ISBLANK(original_dataset!J295),MEDIAN(original_dataset!$J$2:$J$321),original_dataset!J295)</f>
        <v>1.6</v>
      </c>
      <c r="K295" s="0" t="n">
        <f aca="false">original_dataset!K295</f>
        <v>0</v>
      </c>
      <c r="L295" s="0" t="n">
        <f aca="false">IF(ISBLANK(original_dataset!L295),MEDIAN(original_dataset!$L$2:$L$321),original_dataset!L295)</f>
        <v>4.2</v>
      </c>
      <c r="M295" s="0" t="n">
        <f aca="false">original_dataset!M295</f>
        <v>533121.26</v>
      </c>
      <c r="N295" s="0" t="n">
        <f aca="false">original_dataset!N295</f>
        <v>55063.39</v>
      </c>
      <c r="O295" s="0" t="str">
        <f aca="false">IF(ISBLANK(original_dataset!J295),"Yes","No")</f>
        <v>No</v>
      </c>
      <c r="P295" s="0" t="str">
        <f aca="false">IF(ISBLANK(original_dataset!L295),"Yes","No")</f>
        <v>No</v>
      </c>
    </row>
    <row r="296" customFormat="false" ht="15" hidden="false" customHeight="false" outlineLevel="0" collapsed="false">
      <c r="A296" s="0" t="str">
        <f aca="false">original_dataset!A296</f>
        <v>STR-1074</v>
      </c>
      <c r="B296" s="0" t="str">
        <f aca="false">original_dataset!B296</f>
        <v>2025-03-01</v>
      </c>
      <c r="C296" s="0" t="str">
        <f aca="false">original_dataset!C296</f>
        <v>West</v>
      </c>
      <c r="D296" s="0" t="str">
        <f aca="false">original_dataset!D296</f>
        <v>High Street</v>
      </c>
      <c r="E296" s="0" t="n">
        <f aca="false">original_dataset!E296</f>
        <v>59825.51</v>
      </c>
      <c r="F296" s="0" t="n">
        <f aca="false">original_dataset!F296</f>
        <v>1231</v>
      </c>
      <c r="G296" s="0" t="n">
        <f aca="false">original_dataset!G296</f>
        <v>0.214</v>
      </c>
      <c r="H296" s="0" t="n">
        <f aca="false">original_dataset!H296</f>
        <v>10</v>
      </c>
      <c r="I296" s="0" t="n">
        <f aca="false">original_dataset!I296</f>
        <v>84.8</v>
      </c>
      <c r="J296" s="0" t="n">
        <f aca="false">IF(ISBLANK(original_dataset!J296),MEDIAN(original_dataset!$J$2:$J$321),original_dataset!J296)</f>
        <v>8.96</v>
      </c>
      <c r="K296" s="0" t="n">
        <f aca="false">original_dataset!K296</f>
        <v>0</v>
      </c>
      <c r="L296" s="0" t="n">
        <f aca="false">IF(ISBLANK(original_dataset!L296),MEDIAN(original_dataset!$L$2:$L$321),original_dataset!L296)</f>
        <v>4.7</v>
      </c>
      <c r="M296" s="0" t="n">
        <f aca="false">original_dataset!M296</f>
        <v>498970.32</v>
      </c>
      <c r="N296" s="0" t="n">
        <f aca="false">original_dataset!N296</f>
        <v>69656.7</v>
      </c>
      <c r="O296" s="0" t="str">
        <f aca="false">IF(ISBLANK(original_dataset!J296),"Yes","No")</f>
        <v>No</v>
      </c>
      <c r="P296" s="0" t="str">
        <f aca="false">IF(ISBLANK(original_dataset!L296),"Yes","No")</f>
        <v>No</v>
      </c>
    </row>
    <row r="297" customFormat="false" ht="15" hidden="false" customHeight="false" outlineLevel="0" collapsed="false">
      <c r="A297" s="0" t="str">
        <f aca="false">original_dataset!A297</f>
        <v>STR-1074</v>
      </c>
      <c r="B297" s="0" t="str">
        <f aca="false">original_dataset!B297</f>
        <v>2025-04-01</v>
      </c>
      <c r="C297" s="0" t="str">
        <f aca="false">original_dataset!C297</f>
        <v>West</v>
      </c>
      <c r="D297" s="0" t="str">
        <f aca="false">original_dataset!D297</f>
        <v>High Street</v>
      </c>
      <c r="E297" s="0" t="n">
        <f aca="false">original_dataset!E297</f>
        <v>27398.28</v>
      </c>
      <c r="F297" s="0" t="n">
        <f aca="false">original_dataset!F297</f>
        <v>1723</v>
      </c>
      <c r="G297" s="0" t="n">
        <f aca="false">original_dataset!G297</f>
        <v>0.171</v>
      </c>
      <c r="H297" s="0" t="n">
        <f aca="false">original_dataset!H297</f>
        <v>9</v>
      </c>
      <c r="I297" s="0" t="n">
        <f aca="false">original_dataset!I297</f>
        <v>81</v>
      </c>
      <c r="J297" s="0" t="n">
        <f aca="false">IF(ISBLANK(original_dataset!J297),MEDIAN(original_dataset!$J$2:$J$321),original_dataset!J297)</f>
        <v>0.74</v>
      </c>
      <c r="K297" s="0" t="n">
        <f aca="false">original_dataset!K297</f>
        <v>0</v>
      </c>
      <c r="L297" s="0" t="n">
        <f aca="false">IF(ISBLANK(original_dataset!L297),MEDIAN(original_dataset!$L$2:$L$321),original_dataset!L297)</f>
        <v>4.6</v>
      </c>
      <c r="M297" s="0" t="n">
        <f aca="false">original_dataset!M297</f>
        <v>487738.26</v>
      </c>
      <c r="N297" s="0" t="n">
        <f aca="false">original_dataset!N297</f>
        <v>96435.6</v>
      </c>
      <c r="O297" s="0" t="str">
        <f aca="false">IF(ISBLANK(original_dataset!J297),"Yes","No")</f>
        <v>No</v>
      </c>
      <c r="P297" s="0" t="str">
        <f aca="false">IF(ISBLANK(original_dataset!L297),"Yes","No")</f>
        <v>No</v>
      </c>
    </row>
    <row r="298" customFormat="false" ht="15" hidden="false" customHeight="false" outlineLevel="0" collapsed="false">
      <c r="A298" s="0" t="str">
        <f aca="false">original_dataset!A298</f>
        <v>STR-1075</v>
      </c>
      <c r="B298" s="0" t="str">
        <f aca="false">original_dataset!B298</f>
        <v>2025-01-01</v>
      </c>
      <c r="C298" s="0" t="str">
        <f aca="false">original_dataset!C298</f>
        <v>West</v>
      </c>
      <c r="D298" s="0" t="str">
        <f aca="false">original_dataset!D298</f>
        <v>High Street</v>
      </c>
      <c r="E298" s="0" t="n">
        <f aca="false">original_dataset!E298</f>
        <v>55599.56</v>
      </c>
      <c r="F298" s="0" t="n">
        <f aca="false">original_dataset!F298</f>
        <v>5896</v>
      </c>
      <c r="G298" s="0" t="n">
        <f aca="false">original_dataset!G298</f>
        <v>0.036</v>
      </c>
      <c r="H298" s="0" t="n">
        <f aca="false">original_dataset!H298</f>
        <v>12</v>
      </c>
      <c r="I298" s="0" t="n">
        <f aca="false">original_dataset!I298</f>
        <v>93.1</v>
      </c>
      <c r="J298" s="0" t="n">
        <f aca="false">IF(ISBLANK(original_dataset!J298),MEDIAN(original_dataset!$J$2:$J$321),original_dataset!J298)</f>
        <v>6.13</v>
      </c>
      <c r="K298" s="0" t="n">
        <f aca="false">original_dataset!K298</f>
        <v>0</v>
      </c>
      <c r="L298" s="0" t="n">
        <f aca="false">IF(ISBLANK(original_dataset!L298),MEDIAN(original_dataset!$L$2:$L$321),original_dataset!L298)</f>
        <v>3.3</v>
      </c>
      <c r="M298" s="0" t="n">
        <f aca="false">original_dataset!M298</f>
        <v>668459.37</v>
      </c>
      <c r="N298" s="0" t="n">
        <f aca="false">original_dataset!N298</f>
        <v>126435.42</v>
      </c>
      <c r="O298" s="0" t="str">
        <f aca="false">IF(ISBLANK(original_dataset!J298),"Yes","No")</f>
        <v>No</v>
      </c>
      <c r="P298" s="0" t="str">
        <f aca="false">IF(ISBLANK(original_dataset!L298),"Yes","No")</f>
        <v>No</v>
      </c>
    </row>
    <row r="299" customFormat="false" ht="15" hidden="false" customHeight="false" outlineLevel="0" collapsed="false">
      <c r="A299" s="0" t="str">
        <f aca="false">original_dataset!A299</f>
        <v>STR-1075</v>
      </c>
      <c r="B299" s="0" t="str">
        <f aca="false">original_dataset!B299</f>
        <v>2025-02-01</v>
      </c>
      <c r="C299" s="0" t="str">
        <f aca="false">original_dataset!C299</f>
        <v>West</v>
      </c>
      <c r="D299" s="0" t="str">
        <f aca="false">original_dataset!D299</f>
        <v>High Street</v>
      </c>
      <c r="E299" s="0" t="n">
        <f aca="false">original_dataset!E299</f>
        <v>55477.61</v>
      </c>
      <c r="F299" s="0" t="n">
        <f aca="false">original_dataset!F299</f>
        <v>5903</v>
      </c>
      <c r="G299" s="0" t="n">
        <f aca="false">original_dataset!G299</f>
        <v>0.102</v>
      </c>
      <c r="H299" s="0" t="n">
        <f aca="false">original_dataset!H299</f>
        <v>14</v>
      </c>
      <c r="I299" s="0" t="n">
        <f aca="false">original_dataset!I299</f>
        <v>96.2</v>
      </c>
      <c r="J299" s="0" t="n">
        <f aca="false">IF(ISBLANK(original_dataset!J299),MEDIAN(original_dataset!$J$2:$J$321),original_dataset!J299)</f>
        <v>1.41</v>
      </c>
      <c r="K299" s="0" t="n">
        <f aca="false">original_dataset!K299</f>
        <v>0</v>
      </c>
      <c r="L299" s="0" t="n">
        <f aca="false">IF(ISBLANK(original_dataset!L299),MEDIAN(original_dataset!$L$2:$L$321),original_dataset!L299)</f>
        <v>3.3</v>
      </c>
      <c r="M299" s="0" t="n">
        <f aca="false">original_dataset!M299</f>
        <v>763162.45</v>
      </c>
      <c r="N299" s="0" t="n">
        <f aca="false">original_dataset!N299</f>
        <v>162524.05</v>
      </c>
      <c r="O299" s="0" t="str">
        <f aca="false">IF(ISBLANK(original_dataset!J299),"Yes","No")</f>
        <v>No</v>
      </c>
      <c r="P299" s="0" t="str">
        <f aca="false">IF(ISBLANK(original_dataset!L299),"Yes","No")</f>
        <v>No</v>
      </c>
    </row>
    <row r="300" customFormat="false" ht="15" hidden="false" customHeight="false" outlineLevel="0" collapsed="false">
      <c r="A300" s="0" t="str">
        <f aca="false">original_dataset!A300</f>
        <v>STR-1075</v>
      </c>
      <c r="B300" s="0" t="str">
        <f aca="false">original_dataset!B300</f>
        <v>2025-03-01</v>
      </c>
      <c r="C300" s="0" t="str">
        <f aca="false">original_dataset!C300</f>
        <v>West</v>
      </c>
      <c r="D300" s="0" t="str">
        <f aca="false">original_dataset!D300</f>
        <v>High Street</v>
      </c>
      <c r="E300" s="0" t="n">
        <f aca="false">original_dataset!E300</f>
        <v>46174.7</v>
      </c>
      <c r="F300" s="0" t="n">
        <f aca="false">original_dataset!F300</f>
        <v>4898</v>
      </c>
      <c r="G300" s="0" t="n">
        <f aca="false">original_dataset!G300</f>
        <v>0.114</v>
      </c>
      <c r="H300" s="0" t="n">
        <f aca="false">original_dataset!H300</f>
        <v>11</v>
      </c>
      <c r="I300" s="0" t="n">
        <f aca="false">original_dataset!I300</f>
        <v>91.7</v>
      </c>
      <c r="J300" s="0" t="n">
        <f aca="false">IF(ISBLANK(original_dataset!J300),MEDIAN(original_dataset!$J$2:$J$321),original_dataset!J300)</f>
        <v>3.75</v>
      </c>
      <c r="K300" s="0" t="n">
        <f aca="false">original_dataset!K300</f>
        <v>0</v>
      </c>
      <c r="L300" s="0" t="n">
        <f aca="false">IF(ISBLANK(original_dataset!L300),MEDIAN(original_dataset!$L$2:$L$321),original_dataset!L300)</f>
        <v>3.1</v>
      </c>
      <c r="M300" s="0" t="n">
        <f aca="false">original_dataset!M300</f>
        <v>599017.33</v>
      </c>
      <c r="N300" s="0" t="n">
        <f aca="false">original_dataset!N300</f>
        <v>134009.92</v>
      </c>
      <c r="O300" s="0" t="str">
        <f aca="false">IF(ISBLANK(original_dataset!J300),"Yes","No")</f>
        <v>No</v>
      </c>
      <c r="P300" s="0" t="str">
        <f aca="false">IF(ISBLANK(original_dataset!L300),"Yes","No")</f>
        <v>No</v>
      </c>
    </row>
    <row r="301" customFormat="false" ht="15" hidden="false" customHeight="false" outlineLevel="0" collapsed="false">
      <c r="A301" s="0" t="str">
        <f aca="false">original_dataset!A301</f>
        <v>STR-1075</v>
      </c>
      <c r="B301" s="0" t="str">
        <f aca="false">original_dataset!B301</f>
        <v>2025-04-01</v>
      </c>
      <c r="C301" s="0" t="str">
        <f aca="false">original_dataset!C301</f>
        <v>West</v>
      </c>
      <c r="D301" s="0" t="str">
        <f aca="false">original_dataset!D301</f>
        <v>High Street</v>
      </c>
      <c r="E301" s="0" t="n">
        <f aca="false">original_dataset!E301</f>
        <v>24362.98</v>
      </c>
      <c r="F301" s="0" t="n">
        <f aca="false">original_dataset!F301</f>
        <v>1462</v>
      </c>
      <c r="G301" s="0" t="n">
        <f aca="false">original_dataset!G301</f>
        <v>0.117</v>
      </c>
      <c r="H301" s="0" t="n">
        <f aca="false">original_dataset!H301</f>
        <v>6</v>
      </c>
      <c r="I301" s="0" t="n">
        <f aca="false">original_dataset!I301</f>
        <v>89.3</v>
      </c>
      <c r="J301" s="0" t="n">
        <f aca="false">IF(ISBLANK(original_dataset!J301),MEDIAN(original_dataset!$J$2:$J$321),original_dataset!J301)</f>
        <v>15.06</v>
      </c>
      <c r="K301" s="0" t="n">
        <f aca="false">original_dataset!K301</f>
        <v>0</v>
      </c>
      <c r="L301" s="0" t="n">
        <f aca="false">IF(ISBLANK(original_dataset!L301),MEDIAN(original_dataset!$L$2:$L$321),original_dataset!L301)</f>
        <v>3.2</v>
      </c>
      <c r="M301" s="0" t="n">
        <f aca="false">original_dataset!M301</f>
        <v>401582.58</v>
      </c>
      <c r="N301" s="0" t="n">
        <f aca="false">original_dataset!N301</f>
        <v>68454.93</v>
      </c>
      <c r="O301" s="0" t="str">
        <f aca="false">IF(ISBLANK(original_dataset!J301),"Yes","No")</f>
        <v>No</v>
      </c>
      <c r="P301" s="0" t="str">
        <f aca="false">IF(ISBLANK(original_dataset!L301),"Yes","No")</f>
        <v>No</v>
      </c>
    </row>
    <row r="302" customFormat="false" ht="15" hidden="false" customHeight="false" outlineLevel="0" collapsed="false">
      <c r="A302" s="0" t="str">
        <f aca="false">original_dataset!A302</f>
        <v>STR-1076</v>
      </c>
      <c r="B302" s="0" t="str">
        <f aca="false">original_dataset!B302</f>
        <v>2025-01-01</v>
      </c>
      <c r="C302" s="0" t="str">
        <f aca="false">original_dataset!C302</f>
        <v>North</v>
      </c>
      <c r="D302" s="0" t="str">
        <f aca="false">original_dataset!D302</f>
        <v>Mall</v>
      </c>
      <c r="E302" s="0" t="n">
        <f aca="false">original_dataset!E302</f>
        <v>40647.67</v>
      </c>
      <c r="F302" s="0" t="n">
        <f aca="false">original_dataset!F302</f>
        <v>8252</v>
      </c>
      <c r="G302" s="0" t="n">
        <f aca="false">original_dataset!G302</f>
        <v>0.141</v>
      </c>
      <c r="H302" s="0" t="n">
        <f aca="false">original_dataset!H302</f>
        <v>22</v>
      </c>
      <c r="I302" s="0" t="n">
        <f aca="false">original_dataset!I302</f>
        <v>88.2</v>
      </c>
      <c r="J302" s="0" t="n">
        <f aca="false">IF(ISBLANK(original_dataset!J302),MEDIAN(original_dataset!$J$2:$J$321),original_dataset!J302)</f>
        <v>5.07</v>
      </c>
      <c r="K302" s="0" t="n">
        <f aca="false">original_dataset!K302</f>
        <v>1</v>
      </c>
      <c r="L302" s="0" t="n">
        <f aca="false">IF(ISBLANK(original_dataset!L302),MEDIAN(original_dataset!$L$2:$L$321),original_dataset!L302)</f>
        <v>4.1</v>
      </c>
      <c r="M302" s="0" t="n">
        <f aca="false">original_dataset!M302</f>
        <v>703812.99</v>
      </c>
      <c r="N302" s="0" t="n">
        <f aca="false">original_dataset!N302</f>
        <v>133577.98</v>
      </c>
      <c r="O302" s="0" t="str">
        <f aca="false">IF(ISBLANK(original_dataset!J302),"Yes","No")</f>
        <v>No</v>
      </c>
      <c r="P302" s="0" t="str">
        <f aca="false">IF(ISBLANK(original_dataset!L302),"Yes","No")</f>
        <v>No</v>
      </c>
    </row>
    <row r="303" customFormat="false" ht="15" hidden="false" customHeight="false" outlineLevel="0" collapsed="false">
      <c r="A303" s="0" t="str">
        <f aca="false">original_dataset!A303</f>
        <v>STR-1076</v>
      </c>
      <c r="B303" s="0" t="str">
        <f aca="false">original_dataset!B303</f>
        <v>2025-02-01</v>
      </c>
      <c r="C303" s="0" t="str">
        <f aca="false">original_dataset!C303</f>
        <v>North</v>
      </c>
      <c r="D303" s="0" t="str">
        <f aca="false">original_dataset!D303</f>
        <v>Mall</v>
      </c>
      <c r="E303" s="0" t="n">
        <f aca="false">original_dataset!E303</f>
        <v>63986.98</v>
      </c>
      <c r="F303" s="0" t="n">
        <f aca="false">original_dataset!F303</f>
        <v>7989</v>
      </c>
      <c r="G303" s="0" t="n">
        <f aca="false">original_dataset!G303</f>
        <v>0.074</v>
      </c>
      <c r="H303" s="0" t="n">
        <f aca="false">original_dataset!H303</f>
        <v>20</v>
      </c>
      <c r="I303" s="0" t="n">
        <f aca="false">original_dataset!I303</f>
        <v>83.3</v>
      </c>
      <c r="J303" s="0" t="n">
        <f aca="false">IF(ISBLANK(original_dataset!J303),MEDIAN(original_dataset!$J$2:$J$321),original_dataset!J303)</f>
        <v>3.6</v>
      </c>
      <c r="K303" s="0" t="n">
        <f aca="false">original_dataset!K303</f>
        <v>0</v>
      </c>
      <c r="L303" s="0" t="n">
        <f aca="false">IF(ISBLANK(original_dataset!L303),MEDIAN(original_dataset!$L$2:$L$321),original_dataset!L303)</f>
        <v>3.7</v>
      </c>
      <c r="M303" s="0" t="n">
        <f aca="false">original_dataset!M303</f>
        <v>724346.73</v>
      </c>
      <c r="N303" s="0" t="n">
        <f aca="false">original_dataset!N303</f>
        <v>155013.91</v>
      </c>
      <c r="O303" s="0" t="str">
        <f aca="false">IF(ISBLANK(original_dataset!J303),"Yes","No")</f>
        <v>No</v>
      </c>
      <c r="P303" s="0" t="str">
        <f aca="false">IF(ISBLANK(original_dataset!L303),"Yes","No")</f>
        <v>No</v>
      </c>
    </row>
    <row r="304" customFormat="false" ht="15" hidden="false" customHeight="false" outlineLevel="0" collapsed="false">
      <c r="A304" s="0" t="str">
        <f aca="false">original_dataset!A304</f>
        <v>STR-1076</v>
      </c>
      <c r="B304" s="0" t="str">
        <f aca="false">original_dataset!B304</f>
        <v>2025-03-01</v>
      </c>
      <c r="C304" s="0" t="str">
        <f aca="false">original_dataset!C304</f>
        <v>North</v>
      </c>
      <c r="D304" s="0" t="str">
        <f aca="false">original_dataset!D304</f>
        <v>Mall</v>
      </c>
      <c r="E304" s="0" t="n">
        <f aca="false">original_dataset!E304</f>
        <v>52843.75</v>
      </c>
      <c r="F304" s="0" t="n">
        <f aca="false">original_dataset!F304</f>
        <v>8268</v>
      </c>
      <c r="G304" s="0" t="n">
        <f aca="false">original_dataset!G304</f>
        <v>0.138</v>
      </c>
      <c r="H304" s="0" t="n">
        <f aca="false">original_dataset!H304</f>
        <v>19</v>
      </c>
      <c r="I304" s="0" t="n">
        <f aca="false">original_dataset!I304</f>
        <v>87.3</v>
      </c>
      <c r="J304" s="0" t="n">
        <f aca="false">IF(ISBLANK(original_dataset!J304),MEDIAN(original_dataset!$J$2:$J$321),original_dataset!J304)</f>
        <v>4.39</v>
      </c>
      <c r="K304" s="0" t="n">
        <f aca="false">original_dataset!K304</f>
        <v>1</v>
      </c>
      <c r="L304" s="0" t="n">
        <f aca="false">IF(ISBLANK(original_dataset!L304),MEDIAN(original_dataset!$L$2:$L$321),original_dataset!L304)</f>
        <v>4.7</v>
      </c>
      <c r="M304" s="0" t="n">
        <f aca="false">original_dataset!M304</f>
        <v>730890.01</v>
      </c>
      <c r="N304" s="0" t="n">
        <f aca="false">original_dataset!N304</f>
        <v>105502.56</v>
      </c>
      <c r="O304" s="0" t="str">
        <f aca="false">IF(ISBLANK(original_dataset!J304),"Yes","No")</f>
        <v>No</v>
      </c>
      <c r="P304" s="0" t="str">
        <f aca="false">IF(ISBLANK(original_dataset!L304),"Yes","No")</f>
        <v>No</v>
      </c>
    </row>
    <row r="305" customFormat="false" ht="15" hidden="false" customHeight="false" outlineLevel="0" collapsed="false">
      <c r="A305" s="0" t="str">
        <f aca="false">original_dataset!A305</f>
        <v>STR-1076</v>
      </c>
      <c r="B305" s="0" t="str">
        <f aca="false">original_dataset!B305</f>
        <v>2025-04-01</v>
      </c>
      <c r="C305" s="0" t="str">
        <f aca="false">original_dataset!C305</f>
        <v>North</v>
      </c>
      <c r="D305" s="0" t="str">
        <f aca="false">original_dataset!D305</f>
        <v>Mall</v>
      </c>
      <c r="E305" s="0" t="n">
        <f aca="false">original_dataset!E305</f>
        <v>31997.25</v>
      </c>
      <c r="F305" s="0" t="n">
        <f aca="false">original_dataset!F305</f>
        <v>8183</v>
      </c>
      <c r="G305" s="0" t="n">
        <f aca="false">original_dataset!G305</f>
        <v>0.198</v>
      </c>
      <c r="H305" s="0" t="n">
        <f aca="false">original_dataset!H305</f>
        <v>18</v>
      </c>
      <c r="I305" s="0" t="n">
        <f aca="false">original_dataset!I305</f>
        <v>93</v>
      </c>
      <c r="J305" s="0" t="n">
        <f aca="false">IF(ISBLANK(original_dataset!J305),MEDIAN(original_dataset!$J$2:$J$321),original_dataset!J305)</f>
        <v>2.79</v>
      </c>
      <c r="K305" s="0" t="n">
        <f aca="false">original_dataset!K305</f>
        <v>0</v>
      </c>
      <c r="L305" s="0" t="n">
        <f aca="false">IF(ISBLANK(original_dataset!L305),MEDIAN(original_dataset!$L$2:$L$321),original_dataset!L305)</f>
        <v>4.2</v>
      </c>
      <c r="M305" s="0" t="n">
        <f aca="false">original_dataset!M305</f>
        <v>780580.95</v>
      </c>
      <c r="N305" s="0" t="n">
        <f aca="false">original_dataset!N305</f>
        <v>138144.46</v>
      </c>
      <c r="O305" s="0" t="str">
        <f aca="false">IF(ISBLANK(original_dataset!J305),"Yes","No")</f>
        <v>No</v>
      </c>
      <c r="P305" s="0" t="str">
        <f aca="false">IF(ISBLANK(original_dataset!L305),"Yes","No")</f>
        <v>No</v>
      </c>
    </row>
    <row r="306" customFormat="false" ht="15" hidden="false" customHeight="false" outlineLevel="0" collapsed="false">
      <c r="A306" s="0" t="str">
        <f aca="false">original_dataset!A306</f>
        <v>STR-1077</v>
      </c>
      <c r="B306" s="0" t="str">
        <f aca="false">original_dataset!B306</f>
        <v>2025-01-01</v>
      </c>
      <c r="C306" s="0" t="str">
        <f aca="false">original_dataset!C306</f>
        <v>South</v>
      </c>
      <c r="D306" s="0" t="str">
        <f aca="false">original_dataset!D306</f>
        <v>Residential</v>
      </c>
      <c r="E306" s="0" t="n">
        <f aca="false">original_dataset!E306</f>
        <v>54948.02</v>
      </c>
      <c r="F306" s="0" t="n">
        <f aca="false">original_dataset!F306</f>
        <v>6534</v>
      </c>
      <c r="G306" s="0" t="n">
        <f aca="false">original_dataset!G306</f>
        <v>0.183</v>
      </c>
      <c r="H306" s="0" t="n">
        <f aca="false">original_dataset!H306</f>
        <v>14</v>
      </c>
      <c r="I306" s="0" t="n">
        <f aca="false">original_dataset!I306</f>
        <v>94.5</v>
      </c>
      <c r="J306" s="0" t="n">
        <f aca="false">IF(ISBLANK(original_dataset!J306),MEDIAN(original_dataset!$J$2:$J$321),original_dataset!J306)</f>
        <v>1.56</v>
      </c>
      <c r="K306" s="0" t="n">
        <f aca="false">original_dataset!K306</f>
        <v>0</v>
      </c>
      <c r="L306" s="0" t="n">
        <f aca="false">IF(ISBLANK(original_dataset!L306),MEDIAN(original_dataset!$L$2:$L$321),original_dataset!L306)</f>
        <v>4</v>
      </c>
      <c r="M306" s="0" t="n">
        <f aca="false">original_dataset!M306</f>
        <v>727957.48</v>
      </c>
      <c r="N306" s="0" t="n">
        <f aca="false">original_dataset!N306</f>
        <v>74805.23</v>
      </c>
      <c r="O306" s="0" t="str">
        <f aca="false">IF(ISBLANK(original_dataset!J306),"Yes","No")</f>
        <v>No</v>
      </c>
      <c r="P306" s="0" t="str">
        <f aca="false">IF(ISBLANK(original_dataset!L306),"Yes","No")</f>
        <v>No</v>
      </c>
    </row>
    <row r="307" customFormat="false" ht="15" hidden="false" customHeight="false" outlineLevel="0" collapsed="false">
      <c r="A307" s="0" t="str">
        <f aca="false">original_dataset!A307</f>
        <v>STR-1077</v>
      </c>
      <c r="B307" s="0" t="str">
        <f aca="false">original_dataset!B307</f>
        <v>2025-02-01</v>
      </c>
      <c r="C307" s="0" t="str">
        <f aca="false">original_dataset!C307</f>
        <v>South</v>
      </c>
      <c r="D307" s="0" t="str">
        <f aca="false">original_dataset!D307</f>
        <v>Residential</v>
      </c>
      <c r="E307" s="0" t="n">
        <f aca="false">original_dataset!E307</f>
        <v>46146.24</v>
      </c>
      <c r="F307" s="0" t="n">
        <f aca="false">original_dataset!F307</f>
        <v>5804</v>
      </c>
      <c r="G307" s="0" t="n">
        <f aca="false">original_dataset!G307</f>
        <v>0.047</v>
      </c>
      <c r="H307" s="0" t="n">
        <f aca="false">original_dataset!H307</f>
        <v>16</v>
      </c>
      <c r="I307" s="0" t="n">
        <f aca="false">original_dataset!I307</f>
        <v>86.9</v>
      </c>
      <c r="J307" s="0" t="n">
        <f aca="false">IF(ISBLANK(original_dataset!J307),MEDIAN(original_dataset!$J$2:$J$321),original_dataset!J307)</f>
        <v>15.82</v>
      </c>
      <c r="K307" s="0" t="n">
        <f aca="false">original_dataset!K307</f>
        <v>0</v>
      </c>
      <c r="L307" s="0" t="n">
        <f aca="false">IF(ISBLANK(original_dataset!L307),MEDIAN(original_dataset!$L$2:$L$321),original_dataset!L307)</f>
        <v>3.8</v>
      </c>
      <c r="M307" s="0" t="n">
        <f aca="false">original_dataset!M307</f>
        <v>538376</v>
      </c>
      <c r="N307" s="0" t="n">
        <f aca="false">original_dataset!N307</f>
        <v>87605.62</v>
      </c>
      <c r="O307" s="0" t="str">
        <f aca="false">IF(ISBLANK(original_dataset!J307),"Yes","No")</f>
        <v>No</v>
      </c>
      <c r="P307" s="0" t="str">
        <f aca="false">IF(ISBLANK(original_dataset!L307),"Yes","No")</f>
        <v>No</v>
      </c>
    </row>
    <row r="308" customFormat="false" ht="15" hidden="false" customHeight="false" outlineLevel="0" collapsed="false">
      <c r="A308" s="0" t="str">
        <f aca="false">original_dataset!A308</f>
        <v>STR-1077</v>
      </c>
      <c r="B308" s="0" t="str">
        <f aca="false">original_dataset!B308</f>
        <v>2025-03-01</v>
      </c>
      <c r="C308" s="0" t="str">
        <f aca="false">original_dataset!C308</f>
        <v>South</v>
      </c>
      <c r="D308" s="0" t="str">
        <f aca="false">original_dataset!D308</f>
        <v>Residential</v>
      </c>
      <c r="E308" s="0" t="n">
        <f aca="false">original_dataset!E308</f>
        <v>22387.26</v>
      </c>
      <c r="F308" s="0" t="n">
        <f aca="false">original_dataset!F308</f>
        <v>6301</v>
      </c>
      <c r="G308" s="0" t="n">
        <f aca="false">original_dataset!G308</f>
        <v>0.146</v>
      </c>
      <c r="H308" s="0" t="n">
        <f aca="false">original_dataset!H308</f>
        <v>14</v>
      </c>
      <c r="I308" s="0" t="n">
        <f aca="false">original_dataset!I308</f>
        <v>85.9</v>
      </c>
      <c r="J308" s="0" t="n">
        <f aca="false">IF(ISBLANK(original_dataset!J308),MEDIAN(original_dataset!$J$2:$J$321),original_dataset!J308)</f>
        <v>1.17</v>
      </c>
      <c r="K308" s="0" t="n">
        <f aca="false">original_dataset!K308</f>
        <v>1</v>
      </c>
      <c r="L308" s="0" t="n">
        <f aca="false">IF(ISBLANK(original_dataset!L308),MEDIAN(original_dataset!$L$2:$L$321),original_dataset!L308)</f>
        <v>3.7</v>
      </c>
      <c r="M308" s="0" t="n">
        <f aca="false">original_dataset!M308</f>
        <v>665342.49</v>
      </c>
      <c r="N308" s="0" t="n">
        <f aca="false">original_dataset!N308</f>
        <v>93441.81</v>
      </c>
      <c r="O308" s="0" t="str">
        <f aca="false">IF(ISBLANK(original_dataset!J308),"Yes","No")</f>
        <v>No</v>
      </c>
      <c r="P308" s="0" t="str">
        <f aca="false">IF(ISBLANK(original_dataset!L308),"Yes","No")</f>
        <v>No</v>
      </c>
    </row>
    <row r="309" customFormat="false" ht="15" hidden="false" customHeight="false" outlineLevel="0" collapsed="false">
      <c r="A309" s="0" t="str">
        <f aca="false">original_dataset!A309</f>
        <v>STR-1077</v>
      </c>
      <c r="B309" s="0" t="str">
        <f aca="false">original_dataset!B309</f>
        <v>2025-04-01</v>
      </c>
      <c r="C309" s="0" t="str">
        <f aca="false">original_dataset!C309</f>
        <v>South</v>
      </c>
      <c r="D309" s="0" t="str">
        <f aca="false">original_dataset!D309</f>
        <v>Residential</v>
      </c>
      <c r="E309" s="0" t="n">
        <f aca="false">original_dataset!E309</f>
        <v>60684.05</v>
      </c>
      <c r="F309" s="0" t="n">
        <f aca="false">original_dataset!F309</f>
        <v>6399</v>
      </c>
      <c r="G309" s="0" t="n">
        <f aca="false">original_dataset!G309</f>
        <v>0.075</v>
      </c>
      <c r="H309" s="0" t="n">
        <f aca="false">original_dataset!H309</f>
        <v>16</v>
      </c>
      <c r="I309" s="0" t="n">
        <f aca="false">original_dataset!I309</f>
        <v>99</v>
      </c>
      <c r="J309" s="0" t="n">
        <f aca="false">IF(ISBLANK(original_dataset!J309),MEDIAN(original_dataset!$J$2:$J$321),original_dataset!J309)</f>
        <v>3.82</v>
      </c>
      <c r="K309" s="0" t="n">
        <f aca="false">original_dataset!K309</f>
        <v>0</v>
      </c>
      <c r="L309" s="0" t="n">
        <f aca="false">IF(ISBLANK(original_dataset!L309),MEDIAN(original_dataset!$L$2:$L$321),original_dataset!L309)</f>
        <v>3.5</v>
      </c>
      <c r="M309" s="0" t="n">
        <f aca="false">original_dataset!M309</f>
        <v>651164.18</v>
      </c>
      <c r="N309" s="0" t="n">
        <f aca="false">original_dataset!N309</f>
        <v>109466.5</v>
      </c>
      <c r="O309" s="0" t="str">
        <f aca="false">IF(ISBLANK(original_dataset!J309),"Yes","No")</f>
        <v>No</v>
      </c>
      <c r="P309" s="0" t="str">
        <f aca="false">IF(ISBLANK(original_dataset!L309),"Yes","No")</f>
        <v>No</v>
      </c>
    </row>
    <row r="310" customFormat="false" ht="15" hidden="false" customHeight="false" outlineLevel="0" collapsed="false">
      <c r="A310" s="0" t="str">
        <f aca="false">original_dataset!A310</f>
        <v>STR-1078</v>
      </c>
      <c r="B310" s="0" t="str">
        <f aca="false">original_dataset!B310</f>
        <v>2025-01-01</v>
      </c>
      <c r="C310" s="0" t="str">
        <f aca="false">original_dataset!C310</f>
        <v>South</v>
      </c>
      <c r="D310" s="0" t="str">
        <f aca="false">original_dataset!D310</f>
        <v>High Street</v>
      </c>
      <c r="E310" s="0" t="n">
        <f aca="false">original_dataset!E310</f>
        <v>48465.6</v>
      </c>
      <c r="F310" s="0" t="n">
        <f aca="false">original_dataset!F310</f>
        <v>5759</v>
      </c>
      <c r="G310" s="0" t="n">
        <f aca="false">original_dataset!G310</f>
        <v>0.154</v>
      </c>
      <c r="H310" s="0" t="n">
        <f aca="false">original_dataset!H310</f>
        <v>13</v>
      </c>
      <c r="I310" s="0" t="n">
        <f aca="false">original_dataset!I310</f>
        <v>87.5</v>
      </c>
      <c r="J310" s="0" t="n">
        <f aca="false">IF(ISBLANK(original_dataset!J310),MEDIAN(original_dataset!$J$2:$J$321),original_dataset!J310)</f>
        <v>4.14</v>
      </c>
      <c r="K310" s="0" t="n">
        <f aca="false">original_dataset!K310</f>
        <v>0</v>
      </c>
      <c r="L310" s="0" t="n">
        <f aca="false">IF(ISBLANK(original_dataset!L310),MEDIAN(original_dataset!$L$2:$L$321),original_dataset!L310)</f>
        <v>4</v>
      </c>
      <c r="M310" s="0" t="n">
        <f aca="false">original_dataset!M310</f>
        <v>628538.3</v>
      </c>
      <c r="N310" s="0" t="n">
        <f aca="false">original_dataset!N310</f>
        <v>112509.15</v>
      </c>
      <c r="O310" s="0" t="str">
        <f aca="false">IF(ISBLANK(original_dataset!J310),"Yes","No")</f>
        <v>No</v>
      </c>
      <c r="P310" s="0" t="str">
        <f aca="false">IF(ISBLANK(original_dataset!L310),"Yes","No")</f>
        <v>No</v>
      </c>
    </row>
    <row r="311" customFormat="false" ht="15" hidden="false" customHeight="false" outlineLevel="0" collapsed="false">
      <c r="A311" s="0" t="str">
        <f aca="false">original_dataset!A311</f>
        <v>STR-1078</v>
      </c>
      <c r="B311" s="0" t="str">
        <f aca="false">original_dataset!B311</f>
        <v>2025-02-01</v>
      </c>
      <c r="C311" s="0" t="str">
        <f aca="false">original_dataset!C311</f>
        <v>South</v>
      </c>
      <c r="D311" s="0" t="str">
        <f aca="false">original_dataset!D311</f>
        <v>High Street</v>
      </c>
      <c r="E311" s="0" t="n">
        <f aca="false">original_dataset!E311</f>
        <v>23702.38</v>
      </c>
      <c r="F311" s="0" t="n">
        <f aca="false">original_dataset!F311</f>
        <v>5285</v>
      </c>
      <c r="G311" s="0" t="n">
        <f aca="false">original_dataset!G311</f>
        <v>0.167</v>
      </c>
      <c r="H311" s="0" t="n">
        <f aca="false">original_dataset!H311</f>
        <v>14</v>
      </c>
      <c r="I311" s="0" t="n">
        <f aca="false">original_dataset!I311</f>
        <v>79.7</v>
      </c>
      <c r="J311" s="0" t="n">
        <f aca="false">IF(ISBLANK(original_dataset!J311),MEDIAN(original_dataset!$J$2:$J$321),original_dataset!J311)</f>
        <v>1.1</v>
      </c>
      <c r="K311" s="0" t="n">
        <f aca="false">original_dataset!K311</f>
        <v>0</v>
      </c>
      <c r="L311" s="0" t="n">
        <f aca="false">IF(ISBLANK(original_dataset!L311),MEDIAN(original_dataset!$L$2:$L$321),original_dataset!L311)</f>
        <v>4.3</v>
      </c>
      <c r="M311" s="0" t="n">
        <f aca="false">original_dataset!M311</f>
        <v>536524.84</v>
      </c>
      <c r="N311" s="0" t="n">
        <f aca="false">original_dataset!N311</f>
        <v>92752.94</v>
      </c>
      <c r="O311" s="0" t="str">
        <f aca="false">IF(ISBLANK(original_dataset!J311),"Yes","No")</f>
        <v>No</v>
      </c>
      <c r="P311" s="0" t="str">
        <f aca="false">IF(ISBLANK(original_dataset!L311),"Yes","No")</f>
        <v>No</v>
      </c>
    </row>
    <row r="312" customFormat="false" ht="15" hidden="false" customHeight="false" outlineLevel="0" collapsed="false">
      <c r="A312" s="0" t="str">
        <f aca="false">original_dataset!A312</f>
        <v>STR-1078</v>
      </c>
      <c r="B312" s="0" t="str">
        <f aca="false">original_dataset!B312</f>
        <v>2025-03-01</v>
      </c>
      <c r="C312" s="0" t="str">
        <f aca="false">original_dataset!C312</f>
        <v>South</v>
      </c>
      <c r="D312" s="0" t="str">
        <f aca="false">original_dataset!D312</f>
        <v>High Street</v>
      </c>
      <c r="E312" s="0" t="n">
        <f aca="false">original_dataset!E312</f>
        <v>54322.94</v>
      </c>
      <c r="F312" s="0" t="n">
        <f aca="false">original_dataset!F312</f>
        <v>5434</v>
      </c>
      <c r="G312" s="0" t="n">
        <f aca="false">original_dataset!G312</f>
        <v>0.2</v>
      </c>
      <c r="H312" s="0" t="n">
        <f aca="false">original_dataset!H312</f>
        <v>13</v>
      </c>
      <c r="I312" s="0" t="n">
        <f aca="false">original_dataset!I312</f>
        <v>85.7</v>
      </c>
      <c r="J312" s="0" t="n">
        <f aca="false">IF(ISBLANK(original_dataset!J312),MEDIAN(original_dataset!$J$2:$J$321),original_dataset!J312)</f>
        <v>10.6</v>
      </c>
      <c r="K312" s="0" t="n">
        <f aca="false">original_dataset!K312</f>
        <v>0</v>
      </c>
      <c r="L312" s="0" t="n">
        <f aca="false">IF(ISBLANK(original_dataset!L312),MEDIAN(original_dataset!$L$2:$L$321),original_dataset!L312)</f>
        <v>4.2</v>
      </c>
      <c r="M312" s="0" t="n">
        <f aca="false">original_dataset!M312</f>
        <v>621677.3</v>
      </c>
      <c r="N312" s="0" t="n">
        <f aca="false">original_dataset!N312</f>
        <v>105192.52</v>
      </c>
      <c r="O312" s="0" t="str">
        <f aca="false">IF(ISBLANK(original_dataset!J312),"Yes","No")</f>
        <v>No</v>
      </c>
      <c r="P312" s="0" t="str">
        <f aca="false">IF(ISBLANK(original_dataset!L312),"Yes","No")</f>
        <v>No</v>
      </c>
    </row>
    <row r="313" customFormat="false" ht="15" hidden="false" customHeight="false" outlineLevel="0" collapsed="false">
      <c r="A313" s="0" t="str">
        <f aca="false">original_dataset!A313</f>
        <v>STR-1078</v>
      </c>
      <c r="B313" s="0" t="str">
        <f aca="false">original_dataset!B313</f>
        <v>2025-04-01</v>
      </c>
      <c r="C313" s="0" t="str">
        <f aca="false">original_dataset!C313</f>
        <v>South</v>
      </c>
      <c r="D313" s="0" t="str">
        <f aca="false">original_dataset!D313</f>
        <v>High Street</v>
      </c>
      <c r="E313" s="0" t="n">
        <f aca="false">original_dataset!E313</f>
        <v>86026.58</v>
      </c>
      <c r="F313" s="0" t="n">
        <f aca="false">original_dataset!F313</f>
        <v>7479</v>
      </c>
      <c r="G313" s="0" t="n">
        <f aca="false">original_dataset!G313</f>
        <v>0.142</v>
      </c>
      <c r="H313" s="0" t="n">
        <f aca="false">original_dataset!H313</f>
        <v>20</v>
      </c>
      <c r="I313" s="0" t="n">
        <f aca="false">original_dataset!I313</f>
        <v>89</v>
      </c>
      <c r="J313" s="0" t="n">
        <f aca="false">IF(ISBLANK(original_dataset!J313),MEDIAN(original_dataset!$J$2:$J$321),original_dataset!J313)</f>
        <v>0.9</v>
      </c>
      <c r="K313" s="0" t="n">
        <f aca="false">original_dataset!K313</f>
        <v>0</v>
      </c>
      <c r="L313" s="0" t="n">
        <f aca="false">IF(ISBLANK(original_dataset!L313),MEDIAN(original_dataset!$L$2:$L$321),original_dataset!L313)</f>
        <v>3.9</v>
      </c>
      <c r="M313" s="0" t="n">
        <f aca="false">original_dataset!M313</f>
        <v>771129.07</v>
      </c>
      <c r="N313" s="0" t="n">
        <f aca="false">original_dataset!N313</f>
        <v>116851.13</v>
      </c>
      <c r="O313" s="0" t="str">
        <f aca="false">IF(ISBLANK(original_dataset!J313),"Yes","No")</f>
        <v>No</v>
      </c>
      <c r="P313" s="0" t="str">
        <f aca="false">IF(ISBLANK(original_dataset!L313),"Yes","No")</f>
        <v>Yes</v>
      </c>
    </row>
    <row r="314" customFormat="false" ht="15" hidden="false" customHeight="false" outlineLevel="0" collapsed="false">
      <c r="A314" s="0" t="str">
        <f aca="false">original_dataset!A314</f>
        <v>STR-1079</v>
      </c>
      <c r="B314" s="0" t="str">
        <f aca="false">original_dataset!B314</f>
        <v>2025-01-01</v>
      </c>
      <c r="C314" s="0" t="str">
        <f aca="false">original_dataset!C314</f>
        <v>North</v>
      </c>
      <c r="D314" s="0" t="str">
        <f aca="false">original_dataset!D314</f>
        <v>Residential</v>
      </c>
      <c r="E314" s="0" t="n">
        <f aca="false">original_dataset!E314</f>
        <v>78967.52</v>
      </c>
      <c r="F314" s="0" t="n">
        <f aca="false">original_dataset!F314</f>
        <v>6164</v>
      </c>
      <c r="G314" s="0" t="n">
        <f aca="false">original_dataset!G314</f>
        <v>0.021</v>
      </c>
      <c r="H314" s="0" t="n">
        <f aca="false">original_dataset!H314</f>
        <v>16</v>
      </c>
      <c r="I314" s="0" t="n">
        <f aca="false">original_dataset!I314</f>
        <v>85.5</v>
      </c>
      <c r="J314" s="0" t="n">
        <f aca="false">IF(ISBLANK(original_dataset!J314),MEDIAN(original_dataset!$J$2:$J$321),original_dataset!J314)</f>
        <v>0.2</v>
      </c>
      <c r="K314" s="0" t="n">
        <f aca="false">original_dataset!K314</f>
        <v>0</v>
      </c>
      <c r="L314" s="0" t="n">
        <f aca="false">IF(ISBLANK(original_dataset!L314),MEDIAN(original_dataset!$L$2:$L$321),original_dataset!L314)</f>
        <v>3.4</v>
      </c>
      <c r="M314" s="0" t="n">
        <f aca="false">original_dataset!M314</f>
        <v>702052.47</v>
      </c>
      <c r="N314" s="0" t="n">
        <f aca="false">original_dataset!N314</f>
        <v>121732.51</v>
      </c>
      <c r="O314" s="0" t="str">
        <f aca="false">IF(ISBLANK(original_dataset!J314),"Yes","No")</f>
        <v>No</v>
      </c>
      <c r="P314" s="0" t="str">
        <f aca="false">IF(ISBLANK(original_dataset!L314),"Yes","No")</f>
        <v>No</v>
      </c>
    </row>
    <row r="315" customFormat="false" ht="15" hidden="false" customHeight="false" outlineLevel="0" collapsed="false">
      <c r="A315" s="0" t="str">
        <f aca="false">original_dataset!A315</f>
        <v>STR-1079</v>
      </c>
      <c r="B315" s="0" t="str">
        <f aca="false">original_dataset!B315</f>
        <v>2025-02-01</v>
      </c>
      <c r="C315" s="0" t="str">
        <f aca="false">original_dataset!C315</f>
        <v>North</v>
      </c>
      <c r="D315" s="0" t="str">
        <f aca="false">original_dataset!D315</f>
        <v>Residential</v>
      </c>
      <c r="E315" s="0" t="n">
        <f aca="false">original_dataset!E315</f>
        <v>46767.99</v>
      </c>
      <c r="F315" s="0" t="n">
        <f aca="false">original_dataset!F315</f>
        <v>7973</v>
      </c>
      <c r="G315" s="0" t="n">
        <f aca="false">original_dataset!G315</f>
        <v>0.183</v>
      </c>
      <c r="H315" s="0" t="n">
        <f aca="false">original_dataset!H315</f>
        <v>18</v>
      </c>
      <c r="I315" s="0" t="n">
        <f aca="false">original_dataset!I315</f>
        <v>94.8</v>
      </c>
      <c r="J315" s="0" t="n">
        <f aca="false">IF(ISBLANK(original_dataset!J315),MEDIAN(original_dataset!$J$2:$J$321),original_dataset!J315)</f>
        <v>4.67</v>
      </c>
      <c r="K315" s="0" t="n">
        <f aca="false">original_dataset!K315</f>
        <v>0</v>
      </c>
      <c r="L315" s="0" t="n">
        <f aca="false">IF(ISBLANK(original_dataset!L315),MEDIAN(original_dataset!$L$2:$L$321),original_dataset!L315)</f>
        <v>3.9</v>
      </c>
      <c r="M315" s="0" t="n">
        <f aca="false">original_dataset!M315</f>
        <v>688368.46</v>
      </c>
      <c r="N315" s="0" t="n">
        <f aca="false">original_dataset!N315</f>
        <v>93588.42</v>
      </c>
      <c r="O315" s="0" t="str">
        <f aca="false">IF(ISBLANK(original_dataset!J315),"Yes","No")</f>
        <v>No</v>
      </c>
      <c r="P315" s="0" t="str">
        <f aca="false">IF(ISBLANK(original_dataset!L315),"Yes","No")</f>
        <v>Yes</v>
      </c>
    </row>
    <row r="316" customFormat="false" ht="15" hidden="false" customHeight="false" outlineLevel="0" collapsed="false">
      <c r="A316" s="0" t="str">
        <f aca="false">original_dataset!A316</f>
        <v>STR-1079</v>
      </c>
      <c r="B316" s="0" t="str">
        <f aca="false">original_dataset!B316</f>
        <v>2025-03-01</v>
      </c>
      <c r="C316" s="0" t="str">
        <f aca="false">original_dataset!C316</f>
        <v>North</v>
      </c>
      <c r="D316" s="0" t="str">
        <f aca="false">original_dataset!D316</f>
        <v>Residential</v>
      </c>
      <c r="E316" s="0" t="n">
        <f aca="false">original_dataset!E316</f>
        <v>62507.16</v>
      </c>
      <c r="F316" s="0" t="n">
        <f aca="false">original_dataset!F316</f>
        <v>6000</v>
      </c>
      <c r="G316" s="0" t="n">
        <f aca="false">original_dataset!G316</f>
        <v>0.091</v>
      </c>
      <c r="H316" s="0" t="n">
        <f aca="false">original_dataset!H316</f>
        <v>14</v>
      </c>
      <c r="I316" s="0" t="n">
        <f aca="false">original_dataset!I316</f>
        <v>98.2</v>
      </c>
      <c r="J316" s="0" t="n">
        <f aca="false">IF(ISBLANK(original_dataset!J316),MEDIAN(original_dataset!$J$2:$J$321),original_dataset!J316)</f>
        <v>4.38</v>
      </c>
      <c r="K316" s="0" t="n">
        <f aca="false">original_dataset!K316</f>
        <v>1</v>
      </c>
      <c r="L316" s="0" t="n">
        <f aca="false">IF(ISBLANK(original_dataset!L316),MEDIAN(original_dataset!$L$2:$L$321),original_dataset!L316)</f>
        <v>3.9</v>
      </c>
      <c r="M316" s="0" t="n">
        <f aca="false">original_dataset!M316</f>
        <v>712375.77</v>
      </c>
      <c r="N316" s="0" t="n">
        <f aca="false">original_dataset!N316</f>
        <v>104171.53</v>
      </c>
      <c r="O316" s="0" t="str">
        <f aca="false">IF(ISBLANK(original_dataset!J316),"Yes","No")</f>
        <v>No</v>
      </c>
      <c r="P316" s="0" t="str">
        <f aca="false">IF(ISBLANK(original_dataset!L316),"Yes","No")</f>
        <v>No</v>
      </c>
    </row>
    <row r="317" customFormat="false" ht="15" hidden="false" customHeight="false" outlineLevel="0" collapsed="false">
      <c r="A317" s="0" t="str">
        <f aca="false">original_dataset!A317</f>
        <v>STR-1079</v>
      </c>
      <c r="B317" s="0" t="str">
        <f aca="false">original_dataset!B317</f>
        <v>2025-04-01</v>
      </c>
      <c r="C317" s="0" t="str">
        <f aca="false">original_dataset!C317</f>
        <v>North</v>
      </c>
      <c r="D317" s="0" t="str">
        <f aca="false">original_dataset!D317</f>
        <v>Residential</v>
      </c>
      <c r="E317" s="0" t="n">
        <f aca="false">original_dataset!E317</f>
        <v>66456.28</v>
      </c>
      <c r="F317" s="0" t="n">
        <f aca="false">original_dataset!F317</f>
        <v>9967</v>
      </c>
      <c r="G317" s="0" t="n">
        <f aca="false">original_dataset!G317</f>
        <v>0.108</v>
      </c>
      <c r="H317" s="0" t="n">
        <f aca="false">original_dataset!H317</f>
        <v>20</v>
      </c>
      <c r="I317" s="0" t="n">
        <f aca="false">original_dataset!I317</f>
        <v>94.7</v>
      </c>
      <c r="J317" s="0" t="n">
        <f aca="false">IF(ISBLANK(original_dataset!J317),MEDIAN(original_dataset!$J$2:$J$321),original_dataset!J317)</f>
        <v>4.48</v>
      </c>
      <c r="K317" s="0" t="n">
        <f aca="false">original_dataset!K317</f>
        <v>0</v>
      </c>
      <c r="L317" s="0" t="n">
        <f aca="false">IF(ISBLANK(original_dataset!L317),MEDIAN(original_dataset!$L$2:$L$321),original_dataset!L317)</f>
        <v>4.2</v>
      </c>
      <c r="M317" s="0" t="n">
        <f aca="false">original_dataset!M317</f>
        <v>844710.67</v>
      </c>
      <c r="N317" s="0" t="n">
        <f aca="false">original_dataset!N317</f>
        <v>137140.18</v>
      </c>
      <c r="O317" s="0" t="str">
        <f aca="false">IF(ISBLANK(original_dataset!J317),"Yes","No")</f>
        <v>No</v>
      </c>
      <c r="P317" s="0" t="str">
        <f aca="false">IF(ISBLANK(original_dataset!L317),"Yes","No")</f>
        <v>No</v>
      </c>
    </row>
    <row r="318" customFormat="false" ht="15" hidden="false" customHeight="false" outlineLevel="0" collapsed="false">
      <c r="A318" s="0" t="str">
        <f aca="false">original_dataset!A318</f>
        <v>STR-1080</v>
      </c>
      <c r="B318" s="0" t="str">
        <f aca="false">original_dataset!B318</f>
        <v>2025-01-01</v>
      </c>
      <c r="C318" s="0" t="str">
        <f aca="false">original_dataset!C318</f>
        <v>East</v>
      </c>
      <c r="D318" s="0" t="str">
        <f aca="false">original_dataset!D318</f>
        <v>Residential</v>
      </c>
      <c r="E318" s="0" t="n">
        <f aca="false">original_dataset!E318</f>
        <v>76614.32</v>
      </c>
      <c r="F318" s="0" t="n">
        <f aca="false">original_dataset!F318</f>
        <v>5639</v>
      </c>
      <c r="G318" s="0" t="n">
        <f aca="false">original_dataset!G318</f>
        <v>0.174</v>
      </c>
      <c r="H318" s="0" t="n">
        <f aca="false">original_dataset!H318</f>
        <v>15</v>
      </c>
      <c r="I318" s="0" t="n">
        <f aca="false">original_dataset!I318</f>
        <v>92.9</v>
      </c>
      <c r="J318" s="0" t="n">
        <f aca="false">IF(ISBLANK(original_dataset!J318),MEDIAN(original_dataset!$J$2:$J$321),original_dataset!J318)</f>
        <v>1.02</v>
      </c>
      <c r="K318" s="0" t="n">
        <f aca="false">original_dataset!K318</f>
        <v>1</v>
      </c>
      <c r="L318" s="0" t="n">
        <f aca="false">IF(ISBLANK(original_dataset!L318),MEDIAN(original_dataset!$L$2:$L$321),original_dataset!L318)</f>
        <v>4</v>
      </c>
      <c r="M318" s="0" t="n">
        <f aca="false">original_dataset!M318</f>
        <v>620264.2</v>
      </c>
      <c r="N318" s="0" t="n">
        <f aca="false">original_dataset!N318</f>
        <v>91365.64</v>
      </c>
      <c r="O318" s="0" t="str">
        <f aca="false">IF(ISBLANK(original_dataset!J318),"Yes","No")</f>
        <v>No</v>
      </c>
      <c r="P318" s="0" t="str">
        <f aca="false">IF(ISBLANK(original_dataset!L318),"Yes","No")</f>
        <v>No</v>
      </c>
    </row>
    <row r="319" customFormat="false" ht="15" hidden="false" customHeight="false" outlineLevel="0" collapsed="false">
      <c r="A319" s="0" t="str">
        <f aca="false">original_dataset!A319</f>
        <v>STR-1080</v>
      </c>
      <c r="B319" s="0" t="str">
        <f aca="false">original_dataset!B319</f>
        <v>2025-02-01</v>
      </c>
      <c r="C319" s="0" t="str">
        <f aca="false">original_dataset!C319</f>
        <v>East</v>
      </c>
      <c r="D319" s="0" t="str">
        <f aca="false">original_dataset!D319</f>
        <v>Residential</v>
      </c>
      <c r="E319" s="0" t="n">
        <f aca="false">original_dataset!E319</f>
        <v>24088.06</v>
      </c>
      <c r="F319" s="0" t="n">
        <f aca="false">original_dataset!F319</f>
        <v>3466</v>
      </c>
      <c r="G319" s="0" t="n">
        <f aca="false">original_dataset!G319</f>
        <v>0</v>
      </c>
      <c r="H319" s="0" t="n">
        <f aca="false">original_dataset!H319</f>
        <v>11</v>
      </c>
      <c r="I319" s="0" t="n">
        <f aca="false">original_dataset!I319</f>
        <v>88</v>
      </c>
      <c r="J319" s="0" t="n">
        <f aca="false">IF(ISBLANK(original_dataset!J319),MEDIAN(original_dataset!$J$2:$J$321),original_dataset!J319)</f>
        <v>0.2</v>
      </c>
      <c r="K319" s="0" t="n">
        <f aca="false">original_dataset!K319</f>
        <v>0</v>
      </c>
      <c r="L319" s="0" t="n">
        <f aca="false">IF(ISBLANK(original_dataset!L319),MEDIAN(original_dataset!$L$2:$L$321),original_dataset!L319)</f>
        <v>3.8</v>
      </c>
      <c r="M319" s="0" t="n">
        <f aca="false">original_dataset!M319</f>
        <v>536845.42</v>
      </c>
      <c r="N319" s="0" t="n">
        <f aca="false">original_dataset!N319</f>
        <v>107473.75</v>
      </c>
      <c r="O319" s="0" t="str">
        <f aca="false">IF(ISBLANK(original_dataset!J319),"Yes","No")</f>
        <v>No</v>
      </c>
      <c r="P319" s="0" t="str">
        <f aca="false">IF(ISBLANK(original_dataset!L319),"Yes","No")</f>
        <v>No</v>
      </c>
    </row>
    <row r="320" customFormat="false" ht="15" hidden="false" customHeight="false" outlineLevel="0" collapsed="false">
      <c r="A320" s="0" t="str">
        <f aca="false">original_dataset!A320</f>
        <v>STR-1080</v>
      </c>
      <c r="B320" s="0" t="str">
        <f aca="false">original_dataset!B320</f>
        <v>2025-03-01</v>
      </c>
      <c r="C320" s="0" t="str">
        <f aca="false">original_dataset!C320</f>
        <v>East</v>
      </c>
      <c r="D320" s="0" t="str">
        <f aca="false">original_dataset!D320</f>
        <v>Residential</v>
      </c>
      <c r="E320" s="0" t="n">
        <f aca="false">original_dataset!E320</f>
        <v>81902.58</v>
      </c>
      <c r="F320" s="0" t="n">
        <f aca="false">original_dataset!F320</f>
        <v>7775</v>
      </c>
      <c r="G320" s="0" t="n">
        <f aca="false">original_dataset!G320</f>
        <v>0.215</v>
      </c>
      <c r="H320" s="0" t="n">
        <f aca="false">original_dataset!H320</f>
        <v>20</v>
      </c>
      <c r="I320" s="0" t="n">
        <f aca="false">original_dataset!I320</f>
        <v>85.2</v>
      </c>
      <c r="J320" s="0" t="n">
        <f aca="false">IF(ISBLANK(original_dataset!J320),MEDIAN(original_dataset!$J$2:$J$321),original_dataset!J320)</f>
        <v>4.89</v>
      </c>
      <c r="K320" s="0" t="n">
        <f aca="false">original_dataset!K320</f>
        <v>1</v>
      </c>
      <c r="L320" s="0" t="n">
        <f aca="false">IF(ISBLANK(original_dataset!L320),MEDIAN(original_dataset!$L$2:$L$321),original_dataset!L320)</f>
        <v>4.2</v>
      </c>
      <c r="M320" s="0" t="n">
        <f aca="false">original_dataset!M320</f>
        <v>726776.22</v>
      </c>
      <c r="N320" s="0" t="n">
        <f aca="false">original_dataset!N320</f>
        <v>90804.49</v>
      </c>
      <c r="O320" s="0" t="str">
        <f aca="false">IF(ISBLANK(original_dataset!J320),"Yes","No")</f>
        <v>No</v>
      </c>
      <c r="P320" s="0" t="str">
        <f aca="false">IF(ISBLANK(original_dataset!L320),"Yes","No")</f>
        <v>No</v>
      </c>
    </row>
    <row r="321" customFormat="false" ht="15" hidden="false" customHeight="false" outlineLevel="0" collapsed="false">
      <c r="A321" s="0" t="str">
        <f aca="false">original_dataset!A321</f>
        <v>STR-1080</v>
      </c>
      <c r="B321" s="0" t="str">
        <f aca="false">original_dataset!B321</f>
        <v>2025-04-01</v>
      </c>
      <c r="C321" s="0" t="str">
        <f aca="false">original_dataset!C321</f>
        <v>East</v>
      </c>
      <c r="D321" s="0" t="str">
        <f aca="false">original_dataset!D321</f>
        <v>Residential</v>
      </c>
      <c r="E321" s="0" t="n">
        <f aca="false">original_dataset!E321</f>
        <v>40553.11</v>
      </c>
      <c r="F321" s="0" t="n">
        <f aca="false">original_dataset!F321</f>
        <v>5317</v>
      </c>
      <c r="G321" s="0" t="n">
        <f aca="false">original_dataset!G321</f>
        <v>0.165</v>
      </c>
      <c r="H321" s="0" t="n">
        <f aca="false">original_dataset!H321</f>
        <v>17</v>
      </c>
      <c r="I321" s="0" t="n">
        <f aca="false">original_dataset!I321</f>
        <v>84.3</v>
      </c>
      <c r="J321" s="0" t="n">
        <f aca="false">IF(ISBLANK(original_dataset!J321),MEDIAN(original_dataset!$J$2:$J$321),original_dataset!J321)</f>
        <v>11.82</v>
      </c>
      <c r="K321" s="0" t="n">
        <f aca="false">original_dataset!K321</f>
        <v>0</v>
      </c>
      <c r="L321" s="0" t="n">
        <f aca="false">IF(ISBLANK(original_dataset!L321),MEDIAN(original_dataset!$L$2:$L$321),original_dataset!L321)</f>
        <v>4.1</v>
      </c>
      <c r="M321" s="0" t="n">
        <f aca="false">original_dataset!M321</f>
        <v>559660.84</v>
      </c>
      <c r="N321" s="0" t="n">
        <f aca="false">original_dataset!N321</f>
        <v>71443.61</v>
      </c>
      <c r="O321" s="0" t="str">
        <f aca="false">IF(ISBLANK(original_dataset!J321),"Yes","No")</f>
        <v>No</v>
      </c>
      <c r="P321" s="0" t="str">
        <f aca="false">IF(ISBLANK(original_dataset!L321),"Yes","No")</f>
        <v>No</v>
      </c>
    </row>
    <row r="323" customFormat="false" ht="15" hidden="false" customHeight="false" outlineLevel="0" collapsed="false">
      <c r="A323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</row>
    <row r="2" customFormat="false" ht="15" hidden="false" customHeight="false" outlineLevel="0" collapsed="false">
      <c r="A2" s="0" t="str">
        <f aca="false">cleaned_data!A2</f>
        <v>STR-1001</v>
      </c>
      <c r="B2" s="0" t="str">
        <f aca="false">cleaned_data!B2</f>
        <v>2025-01-01</v>
      </c>
      <c r="C2" s="0" t="str">
        <f aca="false">cleaned_data!C2</f>
        <v>East</v>
      </c>
      <c r="D2" s="0" t="str">
        <f aca="false">cleaned_data!D2</f>
        <v>Residential</v>
      </c>
      <c r="E2" s="0" t="n">
        <f aca="false">cleaned_data!E2</f>
        <v>70389.11</v>
      </c>
      <c r="F2" s="0" t="n">
        <f aca="false">cleaned_data!F2</f>
        <v>8302</v>
      </c>
      <c r="G2" s="0" t="n">
        <f aca="false">cleaned_data!G2</f>
        <v>0.042</v>
      </c>
      <c r="H2" s="0" t="n">
        <f aca="false">cleaned_data!H2</f>
        <v>17</v>
      </c>
      <c r="I2" s="0" t="n">
        <f aca="false">cleaned_data!I2</f>
        <v>75</v>
      </c>
      <c r="J2" s="0" t="n">
        <f aca="false">cleaned_data!J2</f>
        <v>5.28</v>
      </c>
      <c r="K2" s="0" t="n">
        <f aca="false">cleaned_data!K2</f>
        <v>1</v>
      </c>
      <c r="L2" s="0" t="n">
        <f aca="false">cleaned_data!L2</f>
        <v>3.1</v>
      </c>
      <c r="M2" s="0" t="n">
        <f aca="false">cleaned_data!M2</f>
        <v>658832.62</v>
      </c>
      <c r="N2" s="0" t="n">
        <f aca="false">cleaned_data!N2</f>
        <v>84349.93</v>
      </c>
      <c r="O2" s="0" t="n">
        <f aca="false">IF(cleaned_data!C2="North",1,0)</f>
        <v>0</v>
      </c>
      <c r="P2" s="0" t="n">
        <f aca="false">IF(cleaned_data!C2="South",1,0)</f>
        <v>0</v>
      </c>
      <c r="Q2" s="0" t="n">
        <f aca="false">IF(cleaned_data!C2="West",1,0)</f>
        <v>0</v>
      </c>
      <c r="R2" s="0" t="n">
        <f aca="false">IF(cleaned_data!D2="Airport",1,0)</f>
        <v>0</v>
      </c>
      <c r="S2" s="0" t="n">
        <f aca="false">IF(cleaned_data!D2="Mall",1,0)</f>
        <v>0</v>
      </c>
      <c r="T2" s="0" t="n">
        <f aca="false">IF(cleaned_data!D2="Residential",1,0)</f>
        <v>1</v>
      </c>
    </row>
    <row r="3" customFormat="false" ht="15" hidden="false" customHeight="false" outlineLevel="0" collapsed="false">
      <c r="A3" s="0" t="str">
        <f aca="false">cleaned_data!A3</f>
        <v>STR-1001</v>
      </c>
      <c r="B3" s="0" t="str">
        <f aca="false">cleaned_data!B3</f>
        <v>2025-02-01</v>
      </c>
      <c r="C3" s="0" t="str">
        <f aca="false">cleaned_data!C3</f>
        <v>East</v>
      </c>
      <c r="D3" s="0" t="str">
        <f aca="false">cleaned_data!D3</f>
        <v>Residential</v>
      </c>
      <c r="E3" s="0" t="n">
        <f aca="false">cleaned_data!E3</f>
        <v>43827.89</v>
      </c>
      <c r="F3" s="0" t="n">
        <f aca="false">cleaned_data!F3</f>
        <v>8487</v>
      </c>
      <c r="G3" s="0" t="n">
        <f aca="false">cleaned_data!G3</f>
        <v>0.168</v>
      </c>
      <c r="H3" s="0" t="n">
        <f aca="false">cleaned_data!H3</f>
        <v>23</v>
      </c>
      <c r="I3" s="0" t="n">
        <f aca="false">cleaned_data!I3</f>
        <v>84.4</v>
      </c>
      <c r="J3" s="0" t="n">
        <f aca="false">cleaned_data!J3</f>
        <v>4.31</v>
      </c>
      <c r="K3" s="0" t="n">
        <f aca="false">cleaned_data!K3</f>
        <v>0</v>
      </c>
      <c r="L3" s="0" t="n">
        <f aca="false">cleaned_data!L3</f>
        <v>2.8</v>
      </c>
      <c r="M3" s="0" t="n">
        <f aca="false">cleaned_data!M3</f>
        <v>634436</v>
      </c>
      <c r="N3" s="0" t="n">
        <f aca="false">cleaned_data!N3</f>
        <v>106130.54</v>
      </c>
      <c r="O3" s="0" t="n">
        <f aca="false">IF(cleaned_data!C3="North",1,0)</f>
        <v>0</v>
      </c>
      <c r="P3" s="0" t="n">
        <f aca="false">IF(cleaned_data!C3="South",1,0)</f>
        <v>0</v>
      </c>
      <c r="Q3" s="0" t="n">
        <f aca="false">IF(cleaned_data!C3="West",1,0)</f>
        <v>0</v>
      </c>
      <c r="R3" s="0" t="n">
        <f aca="false">IF(cleaned_data!D3="Airport",1,0)</f>
        <v>0</v>
      </c>
      <c r="S3" s="0" t="n">
        <f aca="false">IF(cleaned_data!D3="Mall",1,0)</f>
        <v>0</v>
      </c>
      <c r="T3" s="0" t="n">
        <f aca="false">IF(cleaned_data!D3="Residential",1,0)</f>
        <v>1</v>
      </c>
    </row>
    <row r="4" customFormat="false" ht="15" hidden="false" customHeight="false" outlineLevel="0" collapsed="false">
      <c r="A4" s="0" t="str">
        <f aca="false">cleaned_data!A4</f>
        <v>STR-1001</v>
      </c>
      <c r="B4" s="0" t="str">
        <f aca="false">cleaned_data!B4</f>
        <v>2025-03-01</v>
      </c>
      <c r="C4" s="0" t="str">
        <f aca="false">cleaned_data!C4</f>
        <v>East</v>
      </c>
      <c r="D4" s="0" t="str">
        <f aca="false">cleaned_data!D4</f>
        <v>Residential</v>
      </c>
      <c r="E4" s="0" t="n">
        <f aca="false">cleaned_data!E4</f>
        <v>59921.75</v>
      </c>
      <c r="F4" s="0" t="n">
        <f aca="false">cleaned_data!F4</f>
        <v>9113</v>
      </c>
      <c r="G4" s="0" t="n">
        <f aca="false">cleaned_data!G4</f>
        <v>0.133</v>
      </c>
      <c r="H4" s="0" t="n">
        <f aca="false">cleaned_data!H4</f>
        <v>20</v>
      </c>
      <c r="I4" s="0" t="n">
        <f aca="false">cleaned_data!I4</f>
        <v>88</v>
      </c>
      <c r="J4" s="0" t="n">
        <f aca="false">cleaned_data!J4</f>
        <v>12</v>
      </c>
      <c r="K4" s="0" t="n">
        <f aca="false">cleaned_data!K4</f>
        <v>0</v>
      </c>
      <c r="L4" s="0" t="n">
        <f aca="false">cleaned_data!L4</f>
        <v>3.2</v>
      </c>
      <c r="M4" s="0" t="n">
        <f aca="false">cleaned_data!M4</f>
        <v>678722.06</v>
      </c>
      <c r="N4" s="0" t="n">
        <f aca="false">cleaned_data!N4</f>
        <v>101883.86</v>
      </c>
      <c r="O4" s="0" t="n">
        <f aca="false">IF(cleaned_data!C4="North",1,0)</f>
        <v>0</v>
      </c>
      <c r="P4" s="0" t="n">
        <f aca="false">IF(cleaned_data!C4="South",1,0)</f>
        <v>0</v>
      </c>
      <c r="Q4" s="0" t="n">
        <f aca="false">IF(cleaned_data!C4="West",1,0)</f>
        <v>0</v>
      </c>
      <c r="R4" s="0" t="n">
        <f aca="false">IF(cleaned_data!D4="Airport",1,0)</f>
        <v>0</v>
      </c>
      <c r="S4" s="0" t="n">
        <f aca="false">IF(cleaned_data!D4="Mall",1,0)</f>
        <v>0</v>
      </c>
      <c r="T4" s="0" t="n">
        <f aca="false">IF(cleaned_data!D4="Residential",1,0)</f>
        <v>1</v>
      </c>
    </row>
    <row r="5" customFormat="false" ht="15" hidden="false" customHeight="false" outlineLevel="0" collapsed="false">
      <c r="A5" s="0" t="str">
        <f aca="false">cleaned_data!A5</f>
        <v>STR-1001</v>
      </c>
      <c r="B5" s="0" t="str">
        <f aca="false">cleaned_data!B5</f>
        <v>2025-04-01</v>
      </c>
      <c r="C5" s="0" t="str">
        <f aca="false">cleaned_data!C5</f>
        <v>East</v>
      </c>
      <c r="D5" s="0" t="str">
        <f aca="false">cleaned_data!D5</f>
        <v>Residential</v>
      </c>
      <c r="E5" s="0" t="n">
        <f aca="false">cleaned_data!E5</f>
        <v>56856.63</v>
      </c>
      <c r="F5" s="0" t="n">
        <f aca="false">cleaned_data!F5</f>
        <v>9431</v>
      </c>
      <c r="G5" s="0" t="n">
        <f aca="false">cleaned_data!G5</f>
        <v>0.142</v>
      </c>
      <c r="H5" s="0" t="n">
        <f aca="false">cleaned_data!H5</f>
        <v>23</v>
      </c>
      <c r="I5" s="0" t="n">
        <f aca="false">cleaned_data!I5</f>
        <v>86.9</v>
      </c>
      <c r="J5" s="0" t="n">
        <f aca="false">cleaned_data!J5</f>
        <v>4.97</v>
      </c>
      <c r="K5" s="0" t="n">
        <f aca="false">cleaned_data!K5</f>
        <v>0</v>
      </c>
      <c r="L5" s="0" t="n">
        <f aca="false">cleaned_data!L5</f>
        <v>3.4</v>
      </c>
      <c r="M5" s="0" t="n">
        <f aca="false">cleaned_data!M5</f>
        <v>658920.3</v>
      </c>
      <c r="N5" s="0" t="n">
        <f aca="false">cleaned_data!N5</f>
        <v>97910.37</v>
      </c>
      <c r="O5" s="0" t="n">
        <f aca="false">IF(cleaned_data!C5="North",1,0)</f>
        <v>0</v>
      </c>
      <c r="P5" s="0" t="n">
        <f aca="false">IF(cleaned_data!C5="South",1,0)</f>
        <v>0</v>
      </c>
      <c r="Q5" s="0" t="n">
        <f aca="false">IF(cleaned_data!C5="West",1,0)</f>
        <v>0</v>
      </c>
      <c r="R5" s="0" t="n">
        <f aca="false">IF(cleaned_data!D5="Airport",1,0)</f>
        <v>0</v>
      </c>
      <c r="S5" s="0" t="n">
        <f aca="false">IF(cleaned_data!D5="Mall",1,0)</f>
        <v>0</v>
      </c>
      <c r="T5" s="0" t="n">
        <f aca="false">IF(cleaned_data!D5="Residential",1,0)</f>
        <v>1</v>
      </c>
    </row>
    <row r="6" customFormat="false" ht="15" hidden="false" customHeight="false" outlineLevel="0" collapsed="false">
      <c r="A6" s="0" t="str">
        <f aca="false">cleaned_data!A6</f>
        <v>STR-1002</v>
      </c>
      <c r="B6" s="0" t="str">
        <f aca="false">cleaned_data!B6</f>
        <v>2025-01-01</v>
      </c>
      <c r="C6" s="0" t="str">
        <f aca="false">cleaned_data!C6</f>
        <v>East</v>
      </c>
      <c r="D6" s="0" t="str">
        <f aca="false">cleaned_data!D6</f>
        <v>High Street</v>
      </c>
      <c r="E6" s="0" t="n">
        <f aca="false">cleaned_data!E6</f>
        <v>48412.64</v>
      </c>
      <c r="F6" s="0" t="n">
        <f aca="false">cleaned_data!F6</f>
        <v>9545</v>
      </c>
      <c r="G6" s="0" t="n">
        <f aca="false">cleaned_data!G6</f>
        <v>0.231</v>
      </c>
      <c r="H6" s="0" t="n">
        <f aca="false">cleaned_data!H6</f>
        <v>21</v>
      </c>
      <c r="I6" s="0" t="n">
        <f aca="false">cleaned_data!I6</f>
        <v>97.6</v>
      </c>
      <c r="J6" s="0" t="n">
        <f aca="false">cleaned_data!J6</f>
        <v>6.94</v>
      </c>
      <c r="K6" s="0" t="n">
        <f aca="false">cleaned_data!K6</f>
        <v>1</v>
      </c>
      <c r="L6" s="0" t="n">
        <f aca="false">cleaned_data!L6</f>
        <v>4.2</v>
      </c>
      <c r="M6" s="0" t="n">
        <f aca="false">cleaned_data!M6</f>
        <v>741341.44</v>
      </c>
      <c r="N6" s="0" t="n">
        <f aca="false">cleaned_data!N6</f>
        <v>119208.17</v>
      </c>
      <c r="O6" s="0" t="n">
        <f aca="false">IF(cleaned_data!C6="North",1,0)</f>
        <v>0</v>
      </c>
      <c r="P6" s="0" t="n">
        <f aca="false">IF(cleaned_data!C6="South",1,0)</f>
        <v>0</v>
      </c>
      <c r="Q6" s="0" t="n">
        <f aca="false">IF(cleaned_data!C6="West",1,0)</f>
        <v>0</v>
      </c>
      <c r="R6" s="0" t="n">
        <f aca="false">IF(cleaned_data!D6="Airport",1,0)</f>
        <v>0</v>
      </c>
      <c r="S6" s="0" t="n">
        <f aca="false">IF(cleaned_data!D6="Mall",1,0)</f>
        <v>0</v>
      </c>
      <c r="T6" s="0" t="n">
        <f aca="false">IF(cleaned_data!D6="Residential",1,0)</f>
        <v>0</v>
      </c>
    </row>
    <row r="7" customFormat="false" ht="15" hidden="false" customHeight="false" outlineLevel="0" collapsed="false">
      <c r="A7" s="0" t="str">
        <f aca="false">cleaned_data!A7</f>
        <v>STR-1002</v>
      </c>
      <c r="B7" s="0" t="str">
        <f aca="false">cleaned_data!B7</f>
        <v>2025-02-01</v>
      </c>
      <c r="C7" s="0" t="str">
        <f aca="false">cleaned_data!C7</f>
        <v>East</v>
      </c>
      <c r="D7" s="0" t="str">
        <f aca="false">cleaned_data!D7</f>
        <v>High Street</v>
      </c>
      <c r="E7" s="0" t="n">
        <f aca="false">cleaned_data!E7</f>
        <v>64811.21</v>
      </c>
      <c r="F7" s="0" t="n">
        <f aca="false">cleaned_data!F7</f>
        <v>9792</v>
      </c>
      <c r="G7" s="0" t="n">
        <f aca="false">cleaned_data!G7</f>
        <v>0.112</v>
      </c>
      <c r="H7" s="0" t="n">
        <f aca="false">cleaned_data!H7</f>
        <v>20</v>
      </c>
      <c r="I7" s="0" t="n">
        <f aca="false">cleaned_data!I7</f>
        <v>84.2</v>
      </c>
      <c r="J7" s="0" t="n">
        <f aca="false">cleaned_data!J7</f>
        <v>2.88</v>
      </c>
      <c r="K7" s="0" t="n">
        <f aca="false">cleaned_data!K7</f>
        <v>0</v>
      </c>
      <c r="L7" s="0" t="n">
        <f aca="false">cleaned_data!L7</f>
        <v>4.2</v>
      </c>
      <c r="M7" s="0" t="n">
        <f aca="false">cleaned_data!M7</f>
        <v>761835.34</v>
      </c>
      <c r="N7" s="0" t="n">
        <f aca="false">cleaned_data!N7</f>
        <v>149602.23</v>
      </c>
      <c r="O7" s="0" t="n">
        <f aca="false">IF(cleaned_data!C7="North",1,0)</f>
        <v>0</v>
      </c>
      <c r="P7" s="0" t="n">
        <f aca="false">IF(cleaned_data!C7="South",1,0)</f>
        <v>0</v>
      </c>
      <c r="Q7" s="0" t="n">
        <f aca="false">IF(cleaned_data!C7="West",1,0)</f>
        <v>0</v>
      </c>
      <c r="R7" s="0" t="n">
        <f aca="false">IF(cleaned_data!D7="Airport",1,0)</f>
        <v>0</v>
      </c>
      <c r="S7" s="0" t="n">
        <f aca="false">IF(cleaned_data!D7="Mall",1,0)</f>
        <v>0</v>
      </c>
      <c r="T7" s="0" t="n">
        <f aca="false">IF(cleaned_data!D7="Residential",1,0)</f>
        <v>0</v>
      </c>
    </row>
    <row r="8" customFormat="false" ht="15" hidden="false" customHeight="false" outlineLevel="0" collapsed="false">
      <c r="A8" s="0" t="str">
        <f aca="false">cleaned_data!A8</f>
        <v>STR-1002</v>
      </c>
      <c r="B8" s="0" t="str">
        <f aca="false">cleaned_data!B8</f>
        <v>2025-03-01</v>
      </c>
      <c r="C8" s="0" t="str">
        <f aca="false">cleaned_data!C8</f>
        <v>East</v>
      </c>
      <c r="D8" s="0" t="str">
        <f aca="false">cleaned_data!D8</f>
        <v>High Street</v>
      </c>
      <c r="E8" s="0" t="n">
        <f aca="false">cleaned_data!E8</f>
        <v>46213.45</v>
      </c>
      <c r="F8" s="0" t="n">
        <f aca="false">cleaned_data!F8</f>
        <v>10616</v>
      </c>
      <c r="G8" s="0" t="n">
        <f aca="false">cleaned_data!G8</f>
        <v>0.122</v>
      </c>
      <c r="H8" s="0" t="n">
        <f aca="false">cleaned_data!H8</f>
        <v>22</v>
      </c>
      <c r="I8" s="0" t="n">
        <f aca="false">cleaned_data!I8</f>
        <v>85.2</v>
      </c>
      <c r="J8" s="0" t="n">
        <f aca="false">cleaned_data!J8</f>
        <v>0.2</v>
      </c>
      <c r="K8" s="0" t="n">
        <f aca="false">cleaned_data!K8</f>
        <v>1</v>
      </c>
      <c r="L8" s="0" t="n">
        <f aca="false">cleaned_data!L8</f>
        <v>4.1</v>
      </c>
      <c r="M8" s="0" t="n">
        <f aca="false">cleaned_data!M8</f>
        <v>806615.54</v>
      </c>
      <c r="N8" s="0" t="n">
        <f aca="false">cleaned_data!N8</f>
        <v>131364.62</v>
      </c>
      <c r="O8" s="0" t="n">
        <f aca="false">IF(cleaned_data!C8="North",1,0)</f>
        <v>0</v>
      </c>
      <c r="P8" s="0" t="n">
        <f aca="false">IF(cleaned_data!C8="South",1,0)</f>
        <v>0</v>
      </c>
      <c r="Q8" s="0" t="n">
        <f aca="false">IF(cleaned_data!C8="West",1,0)</f>
        <v>0</v>
      </c>
      <c r="R8" s="0" t="n">
        <f aca="false">IF(cleaned_data!D8="Airport",1,0)</f>
        <v>0</v>
      </c>
      <c r="S8" s="0" t="n">
        <f aca="false">IF(cleaned_data!D8="Mall",1,0)</f>
        <v>0</v>
      </c>
      <c r="T8" s="0" t="n">
        <f aca="false">IF(cleaned_data!D8="Residential",1,0)</f>
        <v>0</v>
      </c>
    </row>
    <row r="9" customFormat="false" ht="15" hidden="false" customHeight="false" outlineLevel="0" collapsed="false">
      <c r="A9" s="0" t="str">
        <f aca="false">cleaned_data!A9</f>
        <v>STR-1002</v>
      </c>
      <c r="B9" s="0" t="str">
        <f aca="false">cleaned_data!B9</f>
        <v>2025-04-01</v>
      </c>
      <c r="C9" s="0" t="str">
        <f aca="false">cleaned_data!C9</f>
        <v>East</v>
      </c>
      <c r="D9" s="0" t="str">
        <f aca="false">cleaned_data!D9</f>
        <v>High Street</v>
      </c>
      <c r="E9" s="0" t="n">
        <f aca="false">cleaned_data!E9</f>
        <v>68148.52</v>
      </c>
      <c r="F9" s="0" t="n">
        <f aca="false">cleaned_data!F9</f>
        <v>8567</v>
      </c>
      <c r="G9" s="0" t="n">
        <f aca="false">cleaned_data!G9</f>
        <v>0.127</v>
      </c>
      <c r="H9" s="0" t="n">
        <f aca="false">cleaned_data!H9</f>
        <v>23</v>
      </c>
      <c r="I9" s="0" t="n">
        <f aca="false">cleaned_data!I9</f>
        <v>95.6</v>
      </c>
      <c r="J9" s="0" t="n">
        <f aca="false">cleaned_data!J9</f>
        <v>0.8</v>
      </c>
      <c r="K9" s="0" t="n">
        <f aca="false">cleaned_data!K9</f>
        <v>0</v>
      </c>
      <c r="L9" s="0" t="n">
        <f aca="false">cleaned_data!L9</f>
        <v>3.9</v>
      </c>
      <c r="M9" s="0" t="n">
        <f aca="false">cleaned_data!M9</f>
        <v>850164.26</v>
      </c>
      <c r="N9" s="0" t="n">
        <f aca="false">cleaned_data!N9</f>
        <v>149262.75</v>
      </c>
      <c r="O9" s="0" t="n">
        <f aca="false">IF(cleaned_data!C9="North",1,0)</f>
        <v>0</v>
      </c>
      <c r="P9" s="0" t="n">
        <f aca="false">IF(cleaned_data!C9="South",1,0)</f>
        <v>0</v>
      </c>
      <c r="Q9" s="0" t="n">
        <f aca="false">IF(cleaned_data!C9="West",1,0)</f>
        <v>0</v>
      </c>
      <c r="R9" s="0" t="n">
        <f aca="false">IF(cleaned_data!D9="Airport",1,0)</f>
        <v>0</v>
      </c>
      <c r="S9" s="0" t="n">
        <f aca="false">IF(cleaned_data!D9="Mall",1,0)</f>
        <v>0</v>
      </c>
      <c r="T9" s="0" t="n">
        <f aca="false">IF(cleaned_data!D9="Residential",1,0)</f>
        <v>0</v>
      </c>
    </row>
    <row r="10" customFormat="false" ht="15" hidden="false" customHeight="false" outlineLevel="0" collapsed="false">
      <c r="A10" s="0" t="str">
        <f aca="false">cleaned_data!A10</f>
        <v>STR-1003</v>
      </c>
      <c r="B10" s="0" t="str">
        <f aca="false">cleaned_data!B10</f>
        <v>2025-01-01</v>
      </c>
      <c r="C10" s="0" t="str">
        <f aca="false">cleaned_data!C10</f>
        <v>North</v>
      </c>
      <c r="D10" s="0" t="str">
        <f aca="false">cleaned_data!D10</f>
        <v>Airport</v>
      </c>
      <c r="E10" s="0" t="n">
        <f aca="false">cleaned_data!E10</f>
        <v>71838.86</v>
      </c>
      <c r="F10" s="0" t="n">
        <f aca="false">cleaned_data!F10</f>
        <v>10979</v>
      </c>
      <c r="G10" s="0" t="n">
        <f aca="false">cleaned_data!G10</f>
        <v>0.215</v>
      </c>
      <c r="H10" s="0" t="n">
        <f aca="false">cleaned_data!H10</f>
        <v>26</v>
      </c>
      <c r="I10" s="0" t="n">
        <f aca="false">cleaned_data!I10</f>
        <v>88.6</v>
      </c>
      <c r="J10" s="0" t="n">
        <f aca="false">cleaned_data!J10</f>
        <v>7.7</v>
      </c>
      <c r="K10" s="0" t="n">
        <f aca="false">cleaned_data!K10</f>
        <v>1</v>
      </c>
      <c r="L10" s="0" t="n">
        <f aca="false">cleaned_data!L10</f>
        <v>3.8</v>
      </c>
      <c r="M10" s="0" t="n">
        <f aca="false">cleaned_data!M10</f>
        <v>930581.7</v>
      </c>
      <c r="N10" s="0" t="n">
        <f aca="false">cleaned_data!N10</f>
        <v>136207.98</v>
      </c>
      <c r="O10" s="0" t="n">
        <f aca="false">IF(cleaned_data!C10="North",1,0)</f>
        <v>1</v>
      </c>
      <c r="P10" s="0" t="n">
        <f aca="false">IF(cleaned_data!C10="South",1,0)</f>
        <v>0</v>
      </c>
      <c r="Q10" s="0" t="n">
        <f aca="false">IF(cleaned_data!C10="West",1,0)</f>
        <v>0</v>
      </c>
      <c r="R10" s="0" t="n">
        <f aca="false">IF(cleaned_data!D10="Airport",1,0)</f>
        <v>1</v>
      </c>
      <c r="S10" s="0" t="n">
        <f aca="false">IF(cleaned_data!D10="Mall",1,0)</f>
        <v>0</v>
      </c>
      <c r="T10" s="0" t="n">
        <f aca="false">IF(cleaned_data!D10="Residential",1,0)</f>
        <v>0</v>
      </c>
    </row>
    <row r="11" customFormat="false" ht="15" hidden="false" customHeight="false" outlineLevel="0" collapsed="false">
      <c r="A11" s="0" t="str">
        <f aca="false">cleaned_data!A11</f>
        <v>STR-1003</v>
      </c>
      <c r="B11" s="0" t="str">
        <f aca="false">cleaned_data!B11</f>
        <v>2025-02-01</v>
      </c>
      <c r="C11" s="0" t="str">
        <f aca="false">cleaned_data!C11</f>
        <v>North</v>
      </c>
      <c r="D11" s="0" t="str">
        <f aca="false">cleaned_data!D11</f>
        <v>Airport</v>
      </c>
      <c r="E11" s="0" t="n">
        <f aca="false">cleaned_data!E11</f>
        <v>68133.44</v>
      </c>
      <c r="F11" s="0" t="n">
        <f aca="false">cleaned_data!F11</f>
        <v>9459</v>
      </c>
      <c r="G11" s="0" t="n">
        <f aca="false">cleaned_data!G11</f>
        <v>0.22</v>
      </c>
      <c r="H11" s="0" t="n">
        <f aca="false">cleaned_data!H11</f>
        <v>21</v>
      </c>
      <c r="I11" s="0" t="n">
        <f aca="false">cleaned_data!I11</f>
        <v>85</v>
      </c>
      <c r="J11" s="0" t="n">
        <f aca="false">cleaned_data!J11</f>
        <v>1.91</v>
      </c>
      <c r="K11" s="0" t="n">
        <f aca="false">cleaned_data!K11</f>
        <v>0</v>
      </c>
      <c r="L11" s="0" t="n">
        <f aca="false">cleaned_data!L11</f>
        <v>4.2</v>
      </c>
      <c r="M11" s="0" t="n">
        <f aca="false">cleaned_data!M11</f>
        <v>779010.94</v>
      </c>
      <c r="N11" s="0" t="n">
        <f aca="false">cleaned_data!N11</f>
        <v>106328.09</v>
      </c>
      <c r="O11" s="0" t="n">
        <f aca="false">IF(cleaned_data!C11="North",1,0)</f>
        <v>1</v>
      </c>
      <c r="P11" s="0" t="n">
        <f aca="false">IF(cleaned_data!C11="South",1,0)</f>
        <v>0</v>
      </c>
      <c r="Q11" s="0" t="n">
        <f aca="false">IF(cleaned_data!C11="West",1,0)</f>
        <v>0</v>
      </c>
      <c r="R11" s="0" t="n">
        <f aca="false">IF(cleaned_data!D11="Airport",1,0)</f>
        <v>1</v>
      </c>
      <c r="S11" s="0" t="n">
        <f aca="false">IF(cleaned_data!D11="Mall",1,0)</f>
        <v>0</v>
      </c>
      <c r="T11" s="0" t="n">
        <f aca="false">IF(cleaned_data!D11="Residential",1,0)</f>
        <v>0</v>
      </c>
    </row>
    <row r="12" customFormat="false" ht="15" hidden="false" customHeight="false" outlineLevel="0" collapsed="false">
      <c r="A12" s="0" t="str">
        <f aca="false">cleaned_data!A12</f>
        <v>STR-1003</v>
      </c>
      <c r="B12" s="0" t="str">
        <f aca="false">cleaned_data!B12</f>
        <v>2025-03-01</v>
      </c>
      <c r="C12" s="0" t="str">
        <f aca="false">cleaned_data!C12</f>
        <v>North</v>
      </c>
      <c r="D12" s="0" t="str">
        <f aca="false">cleaned_data!D12</f>
        <v>Airport</v>
      </c>
      <c r="E12" s="0" t="n">
        <f aca="false">cleaned_data!E12</f>
        <v>34285.21</v>
      </c>
      <c r="F12" s="0" t="n">
        <f aca="false">cleaned_data!F12</f>
        <v>9172</v>
      </c>
      <c r="G12" s="0" t="n">
        <f aca="false">cleaned_data!G12</f>
        <v>0.213</v>
      </c>
      <c r="H12" s="0" t="n">
        <f aca="false">cleaned_data!H12</f>
        <v>22</v>
      </c>
      <c r="I12" s="0" t="n">
        <f aca="false">cleaned_data!I12</f>
        <v>88.3</v>
      </c>
      <c r="J12" s="0" t="n">
        <f aca="false">cleaned_data!J12</f>
        <v>10.46</v>
      </c>
      <c r="K12" s="0" t="n">
        <f aca="false">cleaned_data!K12</f>
        <v>1</v>
      </c>
      <c r="L12" s="0" t="n">
        <f aca="false">cleaned_data!L12</f>
        <v>3.8</v>
      </c>
      <c r="M12" s="0" t="n">
        <f aca="false">cleaned_data!M12</f>
        <v>723060.76</v>
      </c>
      <c r="N12" s="0" t="n">
        <f aca="false">cleaned_data!N12</f>
        <v>123131.24</v>
      </c>
      <c r="O12" s="0" t="n">
        <f aca="false">IF(cleaned_data!C12="North",1,0)</f>
        <v>1</v>
      </c>
      <c r="P12" s="0" t="n">
        <f aca="false">IF(cleaned_data!C12="South",1,0)</f>
        <v>0</v>
      </c>
      <c r="Q12" s="0" t="n">
        <f aca="false">IF(cleaned_data!C12="West",1,0)</f>
        <v>0</v>
      </c>
      <c r="R12" s="0" t="n">
        <f aca="false">IF(cleaned_data!D12="Airport",1,0)</f>
        <v>1</v>
      </c>
      <c r="S12" s="0" t="n">
        <f aca="false">IF(cleaned_data!D12="Mall",1,0)</f>
        <v>0</v>
      </c>
      <c r="T12" s="0" t="n">
        <f aca="false">IF(cleaned_data!D12="Residential",1,0)</f>
        <v>0</v>
      </c>
    </row>
    <row r="13" customFormat="false" ht="15" hidden="false" customHeight="false" outlineLevel="0" collapsed="false">
      <c r="A13" s="0" t="str">
        <f aca="false">cleaned_data!A13</f>
        <v>STR-1003</v>
      </c>
      <c r="B13" s="0" t="str">
        <f aca="false">cleaned_data!B13</f>
        <v>2025-04-01</v>
      </c>
      <c r="C13" s="0" t="str">
        <f aca="false">cleaned_data!C13</f>
        <v>North</v>
      </c>
      <c r="D13" s="0" t="str">
        <f aca="false">cleaned_data!D13</f>
        <v>Airport</v>
      </c>
      <c r="E13" s="0" t="n">
        <f aca="false">cleaned_data!E13</f>
        <v>67979.88</v>
      </c>
      <c r="F13" s="0" t="n">
        <f aca="false">cleaned_data!F13</f>
        <v>11230</v>
      </c>
      <c r="G13" s="0" t="n">
        <f aca="false">cleaned_data!G13</f>
        <v>0.002</v>
      </c>
      <c r="H13" s="0" t="n">
        <f aca="false">cleaned_data!H13</f>
        <v>28</v>
      </c>
      <c r="I13" s="0" t="n">
        <f aca="false">cleaned_data!I13</f>
        <v>85.3</v>
      </c>
      <c r="J13" s="0" t="n">
        <f aca="false">cleaned_data!J13</f>
        <v>7.16</v>
      </c>
      <c r="K13" s="0" t="n">
        <f aca="false">cleaned_data!K13</f>
        <v>0</v>
      </c>
      <c r="L13" s="0" t="n">
        <f aca="false">cleaned_data!L13</f>
        <v>3.8</v>
      </c>
      <c r="M13" s="0" t="n">
        <f aca="false">cleaned_data!M13</f>
        <v>910791.94</v>
      </c>
      <c r="N13" s="0" t="n">
        <f aca="false">cleaned_data!N13</f>
        <v>158891.28</v>
      </c>
      <c r="O13" s="0" t="n">
        <f aca="false">IF(cleaned_data!C13="North",1,0)</f>
        <v>1</v>
      </c>
      <c r="P13" s="0" t="n">
        <f aca="false">IF(cleaned_data!C13="South",1,0)</f>
        <v>0</v>
      </c>
      <c r="Q13" s="0" t="n">
        <f aca="false">IF(cleaned_data!C13="West",1,0)</f>
        <v>0</v>
      </c>
      <c r="R13" s="0" t="n">
        <f aca="false">IF(cleaned_data!D13="Airport",1,0)</f>
        <v>1</v>
      </c>
      <c r="S13" s="0" t="n">
        <f aca="false">IF(cleaned_data!D13="Mall",1,0)</f>
        <v>0</v>
      </c>
      <c r="T13" s="0" t="n">
        <f aca="false">IF(cleaned_data!D13="Residential",1,0)</f>
        <v>0</v>
      </c>
    </row>
    <row r="14" customFormat="false" ht="15" hidden="false" customHeight="false" outlineLevel="0" collapsed="false">
      <c r="A14" s="0" t="str">
        <f aca="false">cleaned_data!A14</f>
        <v>STR-1004</v>
      </c>
      <c r="B14" s="0" t="str">
        <f aca="false">cleaned_data!B14</f>
        <v>2025-01-01</v>
      </c>
      <c r="C14" s="0" t="str">
        <f aca="false">cleaned_data!C14</f>
        <v>East</v>
      </c>
      <c r="D14" s="0" t="str">
        <f aca="false">cleaned_data!D14</f>
        <v>Residential</v>
      </c>
      <c r="E14" s="0" t="n">
        <f aca="false">cleaned_data!E14</f>
        <v>71828.26</v>
      </c>
      <c r="F14" s="0" t="n">
        <f aca="false">cleaned_data!F14</f>
        <v>12775</v>
      </c>
      <c r="G14" s="0" t="n">
        <f aca="false">cleaned_data!G14</f>
        <v>0.116</v>
      </c>
      <c r="H14" s="0" t="n">
        <f aca="false">cleaned_data!H14</f>
        <v>30</v>
      </c>
      <c r="I14" s="0" t="n">
        <f aca="false">cleaned_data!I14</f>
        <v>81.7</v>
      </c>
      <c r="J14" s="0" t="n">
        <f aca="false">cleaned_data!J14</f>
        <v>4.24</v>
      </c>
      <c r="K14" s="0" t="n">
        <f aca="false">cleaned_data!K14</f>
        <v>1</v>
      </c>
      <c r="L14" s="0" t="n">
        <f aca="false">cleaned_data!L14</f>
        <v>4.2</v>
      </c>
      <c r="M14" s="0" t="n">
        <f aca="false">cleaned_data!M14</f>
        <v>922168.6</v>
      </c>
      <c r="N14" s="0" t="n">
        <f aca="false">cleaned_data!N14</f>
        <v>107494.53</v>
      </c>
      <c r="O14" s="0" t="n">
        <f aca="false">IF(cleaned_data!C14="North",1,0)</f>
        <v>0</v>
      </c>
      <c r="P14" s="0" t="n">
        <f aca="false">IF(cleaned_data!C14="South",1,0)</f>
        <v>0</v>
      </c>
      <c r="Q14" s="0" t="n">
        <f aca="false">IF(cleaned_data!C14="West",1,0)</f>
        <v>0</v>
      </c>
      <c r="R14" s="0" t="n">
        <f aca="false">IF(cleaned_data!D14="Airport",1,0)</f>
        <v>0</v>
      </c>
      <c r="S14" s="0" t="n">
        <f aca="false">IF(cleaned_data!D14="Mall",1,0)</f>
        <v>0</v>
      </c>
      <c r="T14" s="0" t="n">
        <f aca="false">IF(cleaned_data!D14="Residential",1,0)</f>
        <v>1</v>
      </c>
    </row>
    <row r="15" customFormat="false" ht="15" hidden="false" customHeight="false" outlineLevel="0" collapsed="false">
      <c r="A15" s="0" t="str">
        <f aca="false">cleaned_data!A15</f>
        <v>STR-1004</v>
      </c>
      <c r="B15" s="0" t="str">
        <f aca="false">cleaned_data!B15</f>
        <v>2025-02-01</v>
      </c>
      <c r="C15" s="0" t="str">
        <f aca="false">cleaned_data!C15</f>
        <v>East</v>
      </c>
      <c r="D15" s="0" t="str">
        <f aca="false">cleaned_data!D15</f>
        <v>Residential</v>
      </c>
      <c r="E15" s="0" t="n">
        <f aca="false">cleaned_data!E15</f>
        <v>55716.82</v>
      </c>
      <c r="F15" s="0" t="n">
        <f aca="false">cleaned_data!F15</f>
        <v>10054</v>
      </c>
      <c r="G15" s="0" t="n">
        <f aca="false">cleaned_data!G15</f>
        <v>0.146</v>
      </c>
      <c r="H15" s="0" t="n">
        <f aca="false">cleaned_data!H15</f>
        <v>24</v>
      </c>
      <c r="I15" s="0" t="n">
        <f aca="false">cleaned_data!I15</f>
        <v>84.9</v>
      </c>
      <c r="J15" s="0" t="n">
        <f aca="false">cleaned_data!J15</f>
        <v>1.06</v>
      </c>
      <c r="K15" s="0" t="n">
        <f aca="false">cleaned_data!K15</f>
        <v>0</v>
      </c>
      <c r="L15" s="0" t="n">
        <f aca="false">cleaned_data!L15</f>
        <v>4.3</v>
      </c>
      <c r="M15" s="0" t="n">
        <f aca="false">cleaned_data!M15</f>
        <v>726606.28</v>
      </c>
      <c r="N15" s="0" t="n">
        <f aca="false">cleaned_data!N15</f>
        <v>122729.29</v>
      </c>
      <c r="O15" s="0" t="n">
        <f aca="false">IF(cleaned_data!C15="North",1,0)</f>
        <v>0</v>
      </c>
      <c r="P15" s="0" t="n">
        <f aca="false">IF(cleaned_data!C15="South",1,0)</f>
        <v>0</v>
      </c>
      <c r="Q15" s="0" t="n">
        <f aca="false">IF(cleaned_data!C15="West",1,0)</f>
        <v>0</v>
      </c>
      <c r="R15" s="0" t="n">
        <f aca="false">IF(cleaned_data!D15="Airport",1,0)</f>
        <v>0</v>
      </c>
      <c r="S15" s="0" t="n">
        <f aca="false">IF(cleaned_data!D15="Mall",1,0)</f>
        <v>0</v>
      </c>
      <c r="T15" s="0" t="n">
        <f aca="false">IF(cleaned_data!D15="Residential",1,0)</f>
        <v>1</v>
      </c>
    </row>
    <row r="16" customFormat="false" ht="15" hidden="false" customHeight="false" outlineLevel="0" collapsed="false">
      <c r="A16" s="0" t="str">
        <f aca="false">cleaned_data!A16</f>
        <v>STR-1004</v>
      </c>
      <c r="B16" s="0" t="str">
        <f aca="false">cleaned_data!B16</f>
        <v>2025-03-01</v>
      </c>
      <c r="C16" s="0" t="str">
        <f aca="false">cleaned_data!C16</f>
        <v>East</v>
      </c>
      <c r="D16" s="0" t="str">
        <f aca="false">cleaned_data!D16</f>
        <v>Residential</v>
      </c>
      <c r="E16" s="0" t="n">
        <f aca="false">cleaned_data!E16</f>
        <v>59909.51</v>
      </c>
      <c r="F16" s="0" t="n">
        <f aca="false">cleaned_data!F16</f>
        <v>8895</v>
      </c>
      <c r="G16" s="0" t="n">
        <f aca="false">cleaned_data!G16</f>
        <v>0.228</v>
      </c>
      <c r="H16" s="0" t="n">
        <f aca="false">cleaned_data!H16</f>
        <v>23</v>
      </c>
      <c r="I16" s="0" t="n">
        <f aca="false">cleaned_data!I16</f>
        <v>88.8</v>
      </c>
      <c r="J16" s="0" t="n">
        <f aca="false">cleaned_data!J16</f>
        <v>0.27</v>
      </c>
      <c r="K16" s="0" t="n">
        <f aca="false">cleaned_data!K16</f>
        <v>0</v>
      </c>
      <c r="L16" s="0" t="n">
        <f aca="false">cleaned_data!L16</f>
        <v>4.3</v>
      </c>
      <c r="M16" s="0" t="n">
        <f aca="false">cleaned_data!M16</f>
        <v>746501.09</v>
      </c>
      <c r="N16" s="0" t="n">
        <f aca="false">cleaned_data!N16</f>
        <v>136816.72</v>
      </c>
      <c r="O16" s="0" t="n">
        <f aca="false">IF(cleaned_data!C16="North",1,0)</f>
        <v>0</v>
      </c>
      <c r="P16" s="0" t="n">
        <f aca="false">IF(cleaned_data!C16="South",1,0)</f>
        <v>0</v>
      </c>
      <c r="Q16" s="0" t="n">
        <f aca="false">IF(cleaned_data!C16="West",1,0)</f>
        <v>0</v>
      </c>
      <c r="R16" s="0" t="n">
        <f aca="false">IF(cleaned_data!D16="Airport",1,0)</f>
        <v>0</v>
      </c>
      <c r="S16" s="0" t="n">
        <f aca="false">IF(cleaned_data!D16="Mall",1,0)</f>
        <v>0</v>
      </c>
      <c r="T16" s="0" t="n">
        <f aca="false">IF(cleaned_data!D16="Residential",1,0)</f>
        <v>1</v>
      </c>
    </row>
    <row r="17" customFormat="false" ht="15" hidden="false" customHeight="false" outlineLevel="0" collapsed="false">
      <c r="A17" s="0" t="str">
        <f aca="false">cleaned_data!A17</f>
        <v>STR-1004</v>
      </c>
      <c r="B17" s="0" t="str">
        <f aca="false">cleaned_data!B17</f>
        <v>2025-04-01</v>
      </c>
      <c r="C17" s="0" t="str">
        <f aca="false">cleaned_data!C17</f>
        <v>East</v>
      </c>
      <c r="D17" s="0" t="str">
        <f aca="false">cleaned_data!D17</f>
        <v>Residential</v>
      </c>
      <c r="E17" s="0" t="n">
        <f aca="false">cleaned_data!E17</f>
        <v>75305.71</v>
      </c>
      <c r="F17" s="0" t="n">
        <f aca="false">cleaned_data!F17</f>
        <v>10940</v>
      </c>
      <c r="G17" s="0" t="n">
        <f aca="false">cleaned_data!G17</f>
        <v>0.006</v>
      </c>
      <c r="H17" s="0" t="n">
        <f aca="false">cleaned_data!H17</f>
        <v>26</v>
      </c>
      <c r="I17" s="0" t="n">
        <f aca="false">cleaned_data!I17</f>
        <v>76.5</v>
      </c>
      <c r="J17" s="0" t="n">
        <f aca="false">cleaned_data!J17</f>
        <v>1.32</v>
      </c>
      <c r="K17" s="0" t="n">
        <f aca="false">cleaned_data!K17</f>
        <v>0</v>
      </c>
      <c r="L17" s="0" t="n">
        <f aca="false">cleaned_data!L17</f>
        <v>4.5</v>
      </c>
      <c r="M17" s="0" t="n">
        <f aca="false">cleaned_data!M17</f>
        <v>834017.02</v>
      </c>
      <c r="N17" s="0" t="n">
        <f aca="false">cleaned_data!N17</f>
        <v>114745.03</v>
      </c>
      <c r="O17" s="0" t="n">
        <f aca="false">IF(cleaned_data!C17="North",1,0)</f>
        <v>0</v>
      </c>
      <c r="P17" s="0" t="n">
        <f aca="false">IF(cleaned_data!C17="South",1,0)</f>
        <v>0</v>
      </c>
      <c r="Q17" s="0" t="n">
        <f aca="false">IF(cleaned_data!C17="West",1,0)</f>
        <v>0</v>
      </c>
      <c r="R17" s="0" t="n">
        <f aca="false">IF(cleaned_data!D17="Airport",1,0)</f>
        <v>0</v>
      </c>
      <c r="S17" s="0" t="n">
        <f aca="false">IF(cleaned_data!D17="Mall",1,0)</f>
        <v>0</v>
      </c>
      <c r="T17" s="0" t="n">
        <f aca="false">IF(cleaned_data!D17="Residential",1,0)</f>
        <v>1</v>
      </c>
    </row>
    <row r="18" customFormat="false" ht="15" hidden="false" customHeight="false" outlineLevel="0" collapsed="false">
      <c r="A18" s="0" t="str">
        <f aca="false">cleaned_data!A18</f>
        <v>STR-1005</v>
      </c>
      <c r="B18" s="0" t="str">
        <f aca="false">cleaned_data!B18</f>
        <v>2025-01-01</v>
      </c>
      <c r="C18" s="0" t="str">
        <f aca="false">cleaned_data!C18</f>
        <v>South</v>
      </c>
      <c r="D18" s="0" t="str">
        <f aca="false">cleaned_data!D18</f>
        <v>Residential</v>
      </c>
      <c r="E18" s="0" t="n">
        <f aca="false">cleaned_data!E18</f>
        <v>48804.22</v>
      </c>
      <c r="F18" s="0" t="n">
        <f aca="false">cleaned_data!F18</f>
        <v>7057</v>
      </c>
      <c r="G18" s="0" t="n">
        <f aca="false">cleaned_data!G18</f>
        <v>0.005</v>
      </c>
      <c r="H18" s="0" t="n">
        <f aca="false">cleaned_data!H18</f>
        <v>15</v>
      </c>
      <c r="I18" s="0" t="n">
        <f aca="false">cleaned_data!I18</f>
        <v>87.7</v>
      </c>
      <c r="J18" s="0" t="n">
        <f aca="false">cleaned_data!J18</f>
        <v>1.22</v>
      </c>
      <c r="K18" s="0" t="n">
        <f aca="false">cleaned_data!K18</f>
        <v>0</v>
      </c>
      <c r="L18" s="0" t="n">
        <f aca="false">cleaned_data!L18</f>
        <v>3.7</v>
      </c>
      <c r="M18" s="0" t="n">
        <f aca="false">cleaned_data!M18</f>
        <v>666152.52</v>
      </c>
      <c r="N18" s="0" t="n">
        <f aca="false">cleaned_data!N18</f>
        <v>107490.58</v>
      </c>
      <c r="O18" s="0" t="n">
        <f aca="false">IF(cleaned_data!C18="North",1,0)</f>
        <v>0</v>
      </c>
      <c r="P18" s="0" t="n">
        <f aca="false">IF(cleaned_data!C18="South",1,0)</f>
        <v>1</v>
      </c>
      <c r="Q18" s="0" t="n">
        <f aca="false">IF(cleaned_data!C18="West",1,0)</f>
        <v>0</v>
      </c>
      <c r="R18" s="0" t="n">
        <f aca="false">IF(cleaned_data!D18="Airport",1,0)</f>
        <v>0</v>
      </c>
      <c r="S18" s="0" t="n">
        <f aca="false">IF(cleaned_data!D18="Mall",1,0)</f>
        <v>0</v>
      </c>
      <c r="T18" s="0" t="n">
        <f aca="false">IF(cleaned_data!D18="Residential",1,0)</f>
        <v>1</v>
      </c>
    </row>
    <row r="19" customFormat="false" ht="15" hidden="false" customHeight="false" outlineLevel="0" collapsed="false">
      <c r="A19" s="0" t="str">
        <f aca="false">cleaned_data!A19</f>
        <v>STR-1005</v>
      </c>
      <c r="B19" s="0" t="str">
        <f aca="false">cleaned_data!B19</f>
        <v>2025-02-01</v>
      </c>
      <c r="C19" s="0" t="str">
        <f aca="false">cleaned_data!C19</f>
        <v>South</v>
      </c>
      <c r="D19" s="0" t="str">
        <f aca="false">cleaned_data!D19</f>
        <v>Residential</v>
      </c>
      <c r="E19" s="0" t="n">
        <f aca="false">cleaned_data!E19</f>
        <v>59117.9</v>
      </c>
      <c r="F19" s="0" t="n">
        <f aca="false">cleaned_data!F19</f>
        <v>4263</v>
      </c>
      <c r="G19" s="0" t="n">
        <f aca="false">cleaned_data!G19</f>
        <v>0.119</v>
      </c>
      <c r="H19" s="0" t="n">
        <f aca="false">cleaned_data!H19</f>
        <v>9</v>
      </c>
      <c r="I19" s="0" t="n">
        <f aca="false">cleaned_data!I19</f>
        <v>87.6</v>
      </c>
      <c r="J19" s="0" t="n">
        <f aca="false">cleaned_data!J19</f>
        <v>4.01</v>
      </c>
      <c r="K19" s="0" t="n">
        <f aca="false">cleaned_data!K19</f>
        <v>0</v>
      </c>
      <c r="L19" s="0" t="n">
        <f aca="false">cleaned_data!L19</f>
        <v>3.6</v>
      </c>
      <c r="M19" s="0" t="n">
        <f aca="false">cleaned_data!M19</f>
        <v>573155.19</v>
      </c>
      <c r="N19" s="0" t="n">
        <f aca="false">cleaned_data!N19</f>
        <v>83680.75</v>
      </c>
      <c r="O19" s="0" t="n">
        <f aca="false">IF(cleaned_data!C19="North",1,0)</f>
        <v>0</v>
      </c>
      <c r="P19" s="0" t="n">
        <f aca="false">IF(cleaned_data!C19="South",1,0)</f>
        <v>1</v>
      </c>
      <c r="Q19" s="0" t="n">
        <f aca="false">IF(cleaned_data!C19="West",1,0)</f>
        <v>0</v>
      </c>
      <c r="R19" s="0" t="n">
        <f aca="false">IF(cleaned_data!D19="Airport",1,0)</f>
        <v>0</v>
      </c>
      <c r="S19" s="0" t="n">
        <f aca="false">IF(cleaned_data!D19="Mall",1,0)</f>
        <v>0</v>
      </c>
      <c r="T19" s="0" t="n">
        <f aca="false">IF(cleaned_data!D19="Residential",1,0)</f>
        <v>1</v>
      </c>
    </row>
    <row r="20" customFormat="false" ht="15" hidden="false" customHeight="false" outlineLevel="0" collapsed="false">
      <c r="A20" s="0" t="str">
        <f aca="false">cleaned_data!A20</f>
        <v>STR-1005</v>
      </c>
      <c r="B20" s="0" t="str">
        <f aca="false">cleaned_data!B20</f>
        <v>2025-03-01</v>
      </c>
      <c r="C20" s="0" t="str">
        <f aca="false">cleaned_data!C20</f>
        <v>South</v>
      </c>
      <c r="D20" s="0" t="str">
        <f aca="false">cleaned_data!D20</f>
        <v>Residential</v>
      </c>
      <c r="E20" s="0" t="n">
        <f aca="false">cleaned_data!E20</f>
        <v>78831.12</v>
      </c>
      <c r="F20" s="0" t="n">
        <f aca="false">cleaned_data!F20</f>
        <v>5538</v>
      </c>
      <c r="G20" s="0" t="n">
        <f aca="false">cleaned_data!G20</f>
        <v>0</v>
      </c>
      <c r="H20" s="0" t="n">
        <f aca="false">cleaned_data!H20</f>
        <v>15</v>
      </c>
      <c r="I20" s="0" t="n">
        <f aca="false">cleaned_data!I20</f>
        <v>94.1</v>
      </c>
      <c r="J20" s="0" t="n">
        <f aca="false">cleaned_data!J20</f>
        <v>0.2</v>
      </c>
      <c r="K20" s="0" t="n">
        <f aca="false">cleaned_data!K20</f>
        <v>0</v>
      </c>
      <c r="L20" s="0" t="n">
        <f aca="false">cleaned_data!L20</f>
        <v>3.9</v>
      </c>
      <c r="M20" s="0" t="n">
        <f aca="false">cleaned_data!M20</f>
        <v>666573.2</v>
      </c>
      <c r="N20" s="0" t="n">
        <f aca="false">cleaned_data!N20</f>
        <v>140641.02</v>
      </c>
      <c r="O20" s="0" t="n">
        <f aca="false">IF(cleaned_data!C20="North",1,0)</f>
        <v>0</v>
      </c>
      <c r="P20" s="0" t="n">
        <f aca="false">IF(cleaned_data!C20="South",1,0)</f>
        <v>1</v>
      </c>
      <c r="Q20" s="0" t="n">
        <f aca="false">IF(cleaned_data!C20="West",1,0)</f>
        <v>0</v>
      </c>
      <c r="R20" s="0" t="n">
        <f aca="false">IF(cleaned_data!D20="Airport",1,0)</f>
        <v>0</v>
      </c>
      <c r="S20" s="0" t="n">
        <f aca="false">IF(cleaned_data!D20="Mall",1,0)</f>
        <v>0</v>
      </c>
      <c r="T20" s="0" t="n">
        <f aca="false">IF(cleaned_data!D20="Residential",1,0)</f>
        <v>1</v>
      </c>
    </row>
    <row r="21" customFormat="false" ht="15" hidden="false" customHeight="false" outlineLevel="0" collapsed="false">
      <c r="A21" s="0" t="str">
        <f aca="false">cleaned_data!A21</f>
        <v>STR-1005</v>
      </c>
      <c r="B21" s="0" t="str">
        <f aca="false">cleaned_data!B21</f>
        <v>2025-04-01</v>
      </c>
      <c r="C21" s="0" t="str">
        <f aca="false">cleaned_data!C21</f>
        <v>South</v>
      </c>
      <c r="D21" s="0" t="str">
        <f aca="false">cleaned_data!D21</f>
        <v>Residential</v>
      </c>
      <c r="E21" s="0" t="n">
        <f aca="false">cleaned_data!E21</f>
        <v>41441.93</v>
      </c>
      <c r="F21" s="0" t="n">
        <f aca="false">cleaned_data!F21</f>
        <v>4865</v>
      </c>
      <c r="G21" s="0" t="n">
        <f aca="false">cleaned_data!G21</f>
        <v>0.158</v>
      </c>
      <c r="H21" s="0" t="n">
        <f aca="false">cleaned_data!H21</f>
        <v>16</v>
      </c>
      <c r="I21" s="0" t="n">
        <f aca="false">cleaned_data!I21</f>
        <v>88.3</v>
      </c>
      <c r="J21" s="0" t="n">
        <f aca="false">cleaned_data!J21</f>
        <v>0.5</v>
      </c>
      <c r="K21" s="0" t="n">
        <f aca="false">cleaned_data!K21</f>
        <v>0</v>
      </c>
      <c r="L21" s="0" t="n">
        <f aca="false">cleaned_data!L21</f>
        <v>4</v>
      </c>
      <c r="M21" s="0" t="n">
        <f aca="false">cleaned_data!M21</f>
        <v>591619.95</v>
      </c>
      <c r="N21" s="0" t="n">
        <f aca="false">cleaned_data!N21</f>
        <v>99521.35</v>
      </c>
      <c r="O21" s="0" t="n">
        <f aca="false">IF(cleaned_data!C21="North",1,0)</f>
        <v>0</v>
      </c>
      <c r="P21" s="0" t="n">
        <f aca="false">IF(cleaned_data!C21="South",1,0)</f>
        <v>1</v>
      </c>
      <c r="Q21" s="0" t="n">
        <f aca="false">IF(cleaned_data!C21="West",1,0)</f>
        <v>0</v>
      </c>
      <c r="R21" s="0" t="n">
        <f aca="false">IF(cleaned_data!D21="Airport",1,0)</f>
        <v>0</v>
      </c>
      <c r="S21" s="0" t="n">
        <f aca="false">IF(cleaned_data!D21="Mall",1,0)</f>
        <v>0</v>
      </c>
      <c r="T21" s="0" t="n">
        <f aca="false">IF(cleaned_data!D21="Residential",1,0)</f>
        <v>1</v>
      </c>
    </row>
    <row r="22" customFormat="false" ht="15" hidden="false" customHeight="false" outlineLevel="0" collapsed="false">
      <c r="A22" s="0" t="str">
        <f aca="false">cleaned_data!A22</f>
        <v>STR-1006</v>
      </c>
      <c r="B22" s="0" t="str">
        <f aca="false">cleaned_data!B22</f>
        <v>2025-01-01</v>
      </c>
      <c r="C22" s="0" t="str">
        <f aca="false">cleaned_data!C22</f>
        <v>North</v>
      </c>
      <c r="D22" s="0" t="str">
        <f aca="false">cleaned_data!D22</f>
        <v>Residential</v>
      </c>
      <c r="E22" s="0" t="n">
        <f aca="false">cleaned_data!E22</f>
        <v>30356.28</v>
      </c>
      <c r="F22" s="0" t="n">
        <f aca="false">cleaned_data!F22</f>
        <v>2822</v>
      </c>
      <c r="G22" s="0" t="n">
        <f aca="false">cleaned_data!G22</f>
        <v>0.231</v>
      </c>
      <c r="H22" s="0" t="n">
        <f aca="false">cleaned_data!H22</f>
        <v>9</v>
      </c>
      <c r="I22" s="0" t="n">
        <f aca="false">cleaned_data!I22</f>
        <v>84.8</v>
      </c>
      <c r="J22" s="0" t="n">
        <f aca="false">cleaned_data!J22</f>
        <v>6.95</v>
      </c>
      <c r="K22" s="0" t="n">
        <f aca="false">cleaned_data!K22</f>
        <v>0</v>
      </c>
      <c r="L22" s="0" t="n">
        <f aca="false">cleaned_data!L22</f>
        <v>5</v>
      </c>
      <c r="M22" s="0" t="n">
        <f aca="false">cleaned_data!M22</f>
        <v>415721.82</v>
      </c>
      <c r="N22" s="0" t="n">
        <f aca="false">cleaned_data!N22</f>
        <v>61179.15</v>
      </c>
      <c r="O22" s="0" t="n">
        <f aca="false">IF(cleaned_data!C22="North",1,0)</f>
        <v>1</v>
      </c>
      <c r="P22" s="0" t="n">
        <f aca="false">IF(cleaned_data!C22="South",1,0)</f>
        <v>0</v>
      </c>
      <c r="Q22" s="0" t="n">
        <f aca="false">IF(cleaned_data!C22="West",1,0)</f>
        <v>0</v>
      </c>
      <c r="R22" s="0" t="n">
        <f aca="false">IF(cleaned_data!D22="Airport",1,0)</f>
        <v>0</v>
      </c>
      <c r="S22" s="0" t="n">
        <f aca="false">IF(cleaned_data!D22="Mall",1,0)</f>
        <v>0</v>
      </c>
      <c r="T22" s="0" t="n">
        <f aca="false">IF(cleaned_data!D22="Residential",1,0)</f>
        <v>1</v>
      </c>
    </row>
    <row r="23" customFormat="false" ht="15" hidden="false" customHeight="false" outlineLevel="0" collapsed="false">
      <c r="A23" s="0" t="str">
        <f aca="false">cleaned_data!A23</f>
        <v>STR-1006</v>
      </c>
      <c r="B23" s="0" t="str">
        <f aca="false">cleaned_data!B23</f>
        <v>2025-02-01</v>
      </c>
      <c r="C23" s="0" t="str">
        <f aca="false">cleaned_data!C23</f>
        <v>North</v>
      </c>
      <c r="D23" s="0" t="str">
        <f aca="false">cleaned_data!D23</f>
        <v>Residential</v>
      </c>
      <c r="E23" s="0" t="n">
        <f aca="false">cleaned_data!E23</f>
        <v>33518.88</v>
      </c>
      <c r="F23" s="0" t="n">
        <f aca="false">cleaned_data!F23</f>
        <v>2121</v>
      </c>
      <c r="G23" s="0" t="n">
        <f aca="false">cleaned_data!G23</f>
        <v>0.176</v>
      </c>
      <c r="H23" s="0" t="n">
        <f aca="false">cleaned_data!H23</f>
        <v>8</v>
      </c>
      <c r="I23" s="0" t="n">
        <f aca="false">cleaned_data!I23</f>
        <v>88.5</v>
      </c>
      <c r="J23" s="0" t="n">
        <f aca="false">cleaned_data!J23</f>
        <v>0.2</v>
      </c>
      <c r="K23" s="0" t="n">
        <f aca="false">cleaned_data!K23</f>
        <v>0</v>
      </c>
      <c r="L23" s="0" t="n">
        <f aca="false">cleaned_data!L23</f>
        <v>5</v>
      </c>
      <c r="M23" s="0" t="n">
        <f aca="false">cleaned_data!M23</f>
        <v>491905.13</v>
      </c>
      <c r="N23" s="0" t="n">
        <f aca="false">cleaned_data!N23</f>
        <v>79212.26</v>
      </c>
      <c r="O23" s="0" t="n">
        <f aca="false">IF(cleaned_data!C23="North",1,0)</f>
        <v>1</v>
      </c>
      <c r="P23" s="0" t="n">
        <f aca="false">IF(cleaned_data!C23="South",1,0)</f>
        <v>0</v>
      </c>
      <c r="Q23" s="0" t="n">
        <f aca="false">IF(cleaned_data!C23="West",1,0)</f>
        <v>0</v>
      </c>
      <c r="R23" s="0" t="n">
        <f aca="false">IF(cleaned_data!D23="Airport",1,0)</f>
        <v>0</v>
      </c>
      <c r="S23" s="0" t="n">
        <f aca="false">IF(cleaned_data!D23="Mall",1,0)</f>
        <v>0</v>
      </c>
      <c r="T23" s="0" t="n">
        <f aca="false">IF(cleaned_data!D23="Residential",1,0)</f>
        <v>1</v>
      </c>
    </row>
    <row r="24" customFormat="false" ht="15" hidden="false" customHeight="false" outlineLevel="0" collapsed="false">
      <c r="A24" s="0" t="str">
        <f aca="false">cleaned_data!A24</f>
        <v>STR-1006</v>
      </c>
      <c r="B24" s="0" t="str">
        <f aca="false">cleaned_data!B24</f>
        <v>2025-03-01</v>
      </c>
      <c r="C24" s="0" t="str">
        <f aca="false">cleaned_data!C24</f>
        <v>North</v>
      </c>
      <c r="D24" s="0" t="str">
        <f aca="false">cleaned_data!D24</f>
        <v>Residential</v>
      </c>
      <c r="E24" s="0" t="n">
        <f aca="false">cleaned_data!E24</f>
        <v>42267.37</v>
      </c>
      <c r="F24" s="0" t="n">
        <f aca="false">cleaned_data!F24</f>
        <v>3364</v>
      </c>
      <c r="G24" s="0" t="n">
        <f aca="false">cleaned_data!G24</f>
        <v>0.16</v>
      </c>
      <c r="H24" s="0" t="n">
        <f aca="false">cleaned_data!H24</f>
        <v>13</v>
      </c>
      <c r="I24" s="0" t="n">
        <f aca="false">cleaned_data!I24</f>
        <v>82</v>
      </c>
      <c r="J24" s="0" t="n">
        <f aca="false">cleaned_data!J24</f>
        <v>1.61</v>
      </c>
      <c r="K24" s="0" t="n">
        <f aca="false">cleaned_data!K24</f>
        <v>1</v>
      </c>
      <c r="L24" s="0" t="n">
        <f aca="false">cleaned_data!L24</f>
        <v>4.6</v>
      </c>
      <c r="M24" s="0" t="n">
        <f aca="false">cleaned_data!M24</f>
        <v>555929.4</v>
      </c>
      <c r="N24" s="0" t="n">
        <f aca="false">cleaned_data!N24</f>
        <v>115201.76</v>
      </c>
      <c r="O24" s="0" t="n">
        <f aca="false">IF(cleaned_data!C24="North",1,0)</f>
        <v>1</v>
      </c>
      <c r="P24" s="0" t="n">
        <f aca="false">IF(cleaned_data!C24="South",1,0)</f>
        <v>0</v>
      </c>
      <c r="Q24" s="0" t="n">
        <f aca="false">IF(cleaned_data!C24="West",1,0)</f>
        <v>0</v>
      </c>
      <c r="R24" s="0" t="n">
        <f aca="false">IF(cleaned_data!D24="Airport",1,0)</f>
        <v>0</v>
      </c>
      <c r="S24" s="0" t="n">
        <f aca="false">IF(cleaned_data!D24="Mall",1,0)</f>
        <v>0</v>
      </c>
      <c r="T24" s="0" t="n">
        <f aca="false">IF(cleaned_data!D24="Residential",1,0)</f>
        <v>1</v>
      </c>
    </row>
    <row r="25" customFormat="false" ht="15" hidden="false" customHeight="false" outlineLevel="0" collapsed="false">
      <c r="A25" s="0" t="str">
        <f aca="false">cleaned_data!A25</f>
        <v>STR-1006</v>
      </c>
      <c r="B25" s="0" t="str">
        <f aca="false">cleaned_data!B25</f>
        <v>2025-04-01</v>
      </c>
      <c r="C25" s="0" t="str">
        <f aca="false">cleaned_data!C25</f>
        <v>North</v>
      </c>
      <c r="D25" s="0" t="str">
        <f aca="false">cleaned_data!D25</f>
        <v>Residential</v>
      </c>
      <c r="E25" s="0" t="n">
        <f aca="false">cleaned_data!E25</f>
        <v>62060.43</v>
      </c>
      <c r="F25" s="0" t="n">
        <f aca="false">cleaned_data!F25</f>
        <v>2613</v>
      </c>
      <c r="G25" s="0" t="n">
        <f aca="false">cleaned_data!G25</f>
        <v>0.216</v>
      </c>
      <c r="H25" s="0" t="n">
        <f aca="false">cleaned_data!H25</f>
        <v>12</v>
      </c>
      <c r="I25" s="0" t="n">
        <f aca="false">cleaned_data!I25</f>
        <v>92.1</v>
      </c>
      <c r="J25" s="0" t="n">
        <f aca="false">cleaned_data!J25</f>
        <v>1.55</v>
      </c>
      <c r="K25" s="0" t="n">
        <f aca="false">cleaned_data!K25</f>
        <v>0</v>
      </c>
      <c r="L25" s="0" t="n">
        <f aca="false">cleaned_data!L25</f>
        <v>4.7</v>
      </c>
      <c r="M25" s="0" t="n">
        <f aca="false">cleaned_data!M25</f>
        <v>565810.99</v>
      </c>
      <c r="N25" s="0" t="n">
        <f aca="false">cleaned_data!N25</f>
        <v>77825.46</v>
      </c>
      <c r="O25" s="0" t="n">
        <f aca="false">IF(cleaned_data!C25="North",1,0)</f>
        <v>1</v>
      </c>
      <c r="P25" s="0" t="n">
        <f aca="false">IF(cleaned_data!C25="South",1,0)</f>
        <v>0</v>
      </c>
      <c r="Q25" s="0" t="n">
        <f aca="false">IF(cleaned_data!C25="West",1,0)</f>
        <v>0</v>
      </c>
      <c r="R25" s="0" t="n">
        <f aca="false">IF(cleaned_data!D25="Airport",1,0)</f>
        <v>0</v>
      </c>
      <c r="S25" s="0" t="n">
        <f aca="false">IF(cleaned_data!D25="Mall",1,0)</f>
        <v>0</v>
      </c>
      <c r="T25" s="0" t="n">
        <f aca="false">IF(cleaned_data!D25="Residential",1,0)</f>
        <v>1</v>
      </c>
    </row>
    <row r="26" customFormat="false" ht="15" hidden="false" customHeight="false" outlineLevel="0" collapsed="false">
      <c r="A26" s="0" t="str">
        <f aca="false">cleaned_data!A26</f>
        <v>STR-1007</v>
      </c>
      <c r="B26" s="0" t="str">
        <f aca="false">cleaned_data!B26</f>
        <v>2025-01-01</v>
      </c>
      <c r="C26" s="0" t="str">
        <f aca="false">cleaned_data!C26</f>
        <v>West</v>
      </c>
      <c r="D26" s="0" t="str">
        <f aca="false">cleaned_data!D26</f>
        <v>Mall</v>
      </c>
      <c r="E26" s="0" t="n">
        <f aca="false">cleaned_data!E26</f>
        <v>57696.69</v>
      </c>
      <c r="F26" s="0" t="n">
        <f aca="false">cleaned_data!F26</f>
        <v>10218</v>
      </c>
      <c r="G26" s="0" t="n">
        <f aca="false">cleaned_data!G26</f>
        <v>0.121</v>
      </c>
      <c r="H26" s="0" t="n">
        <f aca="false">cleaned_data!H26</f>
        <v>25</v>
      </c>
      <c r="I26" s="0" t="n">
        <f aca="false">cleaned_data!I26</f>
        <v>94.8</v>
      </c>
      <c r="J26" s="0" t="n">
        <f aca="false">cleaned_data!J26</f>
        <v>2.99</v>
      </c>
      <c r="K26" s="0" t="n">
        <f aca="false">cleaned_data!K26</f>
        <v>0</v>
      </c>
      <c r="L26" s="0" t="n">
        <f aca="false">cleaned_data!L26</f>
        <v>3.5</v>
      </c>
      <c r="M26" s="0" t="n">
        <f aca="false">cleaned_data!M26</f>
        <v>811771.14</v>
      </c>
      <c r="N26" s="0" t="n">
        <f aca="false">cleaned_data!N26</f>
        <v>148756.24</v>
      </c>
      <c r="O26" s="0" t="n">
        <f aca="false">IF(cleaned_data!C26="North",1,0)</f>
        <v>0</v>
      </c>
      <c r="P26" s="0" t="n">
        <f aca="false">IF(cleaned_data!C26="South",1,0)</f>
        <v>0</v>
      </c>
      <c r="Q26" s="0" t="n">
        <f aca="false">IF(cleaned_data!C26="West",1,0)</f>
        <v>1</v>
      </c>
      <c r="R26" s="0" t="n">
        <f aca="false">IF(cleaned_data!D26="Airport",1,0)</f>
        <v>0</v>
      </c>
      <c r="S26" s="0" t="n">
        <f aca="false">IF(cleaned_data!D26="Mall",1,0)</f>
        <v>1</v>
      </c>
      <c r="T26" s="0" t="n">
        <f aca="false">IF(cleaned_data!D26="Residential",1,0)</f>
        <v>0</v>
      </c>
    </row>
    <row r="27" customFormat="false" ht="15" hidden="false" customHeight="false" outlineLevel="0" collapsed="false">
      <c r="A27" s="0" t="str">
        <f aca="false">cleaned_data!A27</f>
        <v>STR-1007</v>
      </c>
      <c r="B27" s="0" t="str">
        <f aca="false">cleaned_data!B27</f>
        <v>2025-02-01</v>
      </c>
      <c r="C27" s="0" t="str">
        <f aca="false">cleaned_data!C27</f>
        <v>West</v>
      </c>
      <c r="D27" s="0" t="str">
        <f aca="false">cleaned_data!D27</f>
        <v>Mall</v>
      </c>
      <c r="E27" s="0" t="n">
        <f aca="false">cleaned_data!E27</f>
        <v>172415.52</v>
      </c>
      <c r="F27" s="0" t="n">
        <f aca="false">cleaned_data!F27</f>
        <v>8927</v>
      </c>
      <c r="G27" s="0" t="n">
        <f aca="false">cleaned_data!G27</f>
        <v>0.14</v>
      </c>
      <c r="H27" s="0" t="n">
        <f aca="false">cleaned_data!H27</f>
        <v>22</v>
      </c>
      <c r="I27" s="0" t="n">
        <f aca="false">cleaned_data!I27</f>
        <v>86.2</v>
      </c>
      <c r="J27" s="0" t="n">
        <f aca="false">cleaned_data!J27</f>
        <v>7.04</v>
      </c>
      <c r="K27" s="0" t="n">
        <f aca="false">cleaned_data!K27</f>
        <v>0</v>
      </c>
      <c r="L27" s="0" t="n">
        <f aca="false">cleaned_data!L27</f>
        <v>3.9</v>
      </c>
      <c r="M27" s="0" t="n">
        <f aca="false">cleaned_data!M27</f>
        <v>800451.94</v>
      </c>
      <c r="N27" s="0" t="n">
        <f aca="false">cleaned_data!N27</f>
        <v>111572.29</v>
      </c>
      <c r="O27" s="0" t="n">
        <f aca="false">IF(cleaned_data!C27="North",1,0)</f>
        <v>0</v>
      </c>
      <c r="P27" s="0" t="n">
        <f aca="false">IF(cleaned_data!C27="South",1,0)</f>
        <v>0</v>
      </c>
      <c r="Q27" s="0" t="n">
        <f aca="false">IF(cleaned_data!C27="West",1,0)</f>
        <v>1</v>
      </c>
      <c r="R27" s="0" t="n">
        <f aca="false">IF(cleaned_data!D27="Airport",1,0)</f>
        <v>0</v>
      </c>
      <c r="S27" s="0" t="n">
        <f aca="false">IF(cleaned_data!D27="Mall",1,0)</f>
        <v>1</v>
      </c>
      <c r="T27" s="0" t="n">
        <f aca="false">IF(cleaned_data!D27="Residential",1,0)</f>
        <v>0</v>
      </c>
    </row>
    <row r="28" customFormat="false" ht="15" hidden="false" customHeight="false" outlineLevel="0" collapsed="false">
      <c r="A28" s="0" t="str">
        <f aca="false">cleaned_data!A28</f>
        <v>STR-1007</v>
      </c>
      <c r="B28" s="0" t="str">
        <f aca="false">cleaned_data!B28</f>
        <v>2025-03-01</v>
      </c>
      <c r="C28" s="0" t="str">
        <f aca="false">cleaned_data!C28</f>
        <v>West</v>
      </c>
      <c r="D28" s="0" t="str">
        <f aca="false">cleaned_data!D28</f>
        <v>Mall</v>
      </c>
      <c r="E28" s="0" t="n">
        <f aca="false">cleaned_data!E28</f>
        <v>55270.52</v>
      </c>
      <c r="F28" s="0" t="n">
        <f aca="false">cleaned_data!F28</f>
        <v>9315</v>
      </c>
      <c r="G28" s="0" t="n">
        <f aca="false">cleaned_data!G28</f>
        <v>0.169</v>
      </c>
      <c r="H28" s="0" t="n">
        <f aca="false">cleaned_data!H28</f>
        <v>23</v>
      </c>
      <c r="I28" s="0" t="n">
        <f aca="false">cleaned_data!I28</f>
        <v>91.9</v>
      </c>
      <c r="J28" s="0" t="n">
        <f aca="false">cleaned_data!J28</f>
        <v>4.94</v>
      </c>
      <c r="K28" s="0" t="n">
        <f aca="false">cleaned_data!K28</f>
        <v>0</v>
      </c>
      <c r="L28" s="0" t="n">
        <f aca="false">cleaned_data!L28</f>
        <v>4</v>
      </c>
      <c r="M28" s="0" t="n">
        <f aca="false">cleaned_data!M28</f>
        <v>783672.82</v>
      </c>
      <c r="N28" s="0" t="n">
        <f aca="false">cleaned_data!N28</f>
        <v>112577.14</v>
      </c>
      <c r="O28" s="0" t="n">
        <f aca="false">IF(cleaned_data!C28="North",1,0)</f>
        <v>0</v>
      </c>
      <c r="P28" s="0" t="n">
        <f aca="false">IF(cleaned_data!C28="South",1,0)</f>
        <v>0</v>
      </c>
      <c r="Q28" s="0" t="n">
        <f aca="false">IF(cleaned_data!C28="West",1,0)</f>
        <v>1</v>
      </c>
      <c r="R28" s="0" t="n">
        <f aca="false">IF(cleaned_data!D28="Airport",1,0)</f>
        <v>0</v>
      </c>
      <c r="S28" s="0" t="n">
        <f aca="false">IF(cleaned_data!D28="Mall",1,0)</f>
        <v>1</v>
      </c>
      <c r="T28" s="0" t="n">
        <f aca="false">IF(cleaned_data!D28="Residential",1,0)</f>
        <v>0</v>
      </c>
    </row>
    <row r="29" customFormat="false" ht="15" hidden="false" customHeight="false" outlineLevel="0" collapsed="false">
      <c r="A29" s="0" t="str">
        <f aca="false">cleaned_data!A29</f>
        <v>STR-1007</v>
      </c>
      <c r="B29" s="0" t="str">
        <f aca="false">cleaned_data!B29</f>
        <v>2025-04-01</v>
      </c>
      <c r="C29" s="0" t="str">
        <f aca="false">cleaned_data!C29</f>
        <v>West</v>
      </c>
      <c r="D29" s="0" t="str">
        <f aca="false">cleaned_data!D29</f>
        <v>Mall</v>
      </c>
      <c r="E29" s="0" t="n">
        <f aca="false">cleaned_data!E29</f>
        <v>52715.1</v>
      </c>
      <c r="F29" s="0" t="n">
        <f aca="false">cleaned_data!F29</f>
        <v>7223</v>
      </c>
      <c r="G29" s="0" t="n">
        <f aca="false">cleaned_data!G29</f>
        <v>0.122</v>
      </c>
      <c r="H29" s="0" t="n">
        <f aca="false">cleaned_data!H29</f>
        <v>16</v>
      </c>
      <c r="I29" s="0" t="n">
        <f aca="false">cleaned_data!I29</f>
        <v>84.2</v>
      </c>
      <c r="J29" s="0" t="n">
        <f aca="false">cleaned_data!J29</f>
        <v>16.15</v>
      </c>
      <c r="K29" s="0" t="n">
        <f aca="false">cleaned_data!K29</f>
        <v>0</v>
      </c>
      <c r="L29" s="0" t="n">
        <f aca="false">cleaned_data!L29</f>
        <v>3.7</v>
      </c>
      <c r="M29" s="0" t="n">
        <f aca="false">cleaned_data!M29</f>
        <v>701641.97</v>
      </c>
      <c r="N29" s="0" t="n">
        <f aca="false">cleaned_data!N29</f>
        <v>106111.86</v>
      </c>
      <c r="O29" s="0" t="n">
        <f aca="false">IF(cleaned_data!C29="North",1,0)</f>
        <v>0</v>
      </c>
      <c r="P29" s="0" t="n">
        <f aca="false">IF(cleaned_data!C29="South",1,0)</f>
        <v>0</v>
      </c>
      <c r="Q29" s="0" t="n">
        <f aca="false">IF(cleaned_data!C29="West",1,0)</f>
        <v>1</v>
      </c>
      <c r="R29" s="0" t="n">
        <f aca="false">IF(cleaned_data!D29="Airport",1,0)</f>
        <v>0</v>
      </c>
      <c r="S29" s="0" t="n">
        <f aca="false">IF(cleaned_data!D29="Mall",1,0)</f>
        <v>1</v>
      </c>
      <c r="T29" s="0" t="n">
        <f aca="false">IF(cleaned_data!D29="Residential",1,0)</f>
        <v>0</v>
      </c>
    </row>
    <row r="30" customFormat="false" ht="15" hidden="false" customHeight="false" outlineLevel="0" collapsed="false">
      <c r="A30" s="0" t="str">
        <f aca="false">cleaned_data!A30</f>
        <v>STR-1008</v>
      </c>
      <c r="B30" s="0" t="str">
        <f aca="false">cleaned_data!B30</f>
        <v>2025-01-01</v>
      </c>
      <c r="C30" s="0" t="str">
        <f aca="false">cleaned_data!C30</f>
        <v>East</v>
      </c>
      <c r="D30" s="0" t="str">
        <f aca="false">cleaned_data!D30</f>
        <v>Residential</v>
      </c>
      <c r="E30" s="0" t="n">
        <f aca="false">cleaned_data!E30</f>
        <v>68600.62</v>
      </c>
      <c r="F30" s="0" t="n">
        <f aca="false">cleaned_data!F30</f>
        <v>3988</v>
      </c>
      <c r="G30" s="0" t="n">
        <f aca="false">cleaned_data!G30</f>
        <v>0.124</v>
      </c>
      <c r="H30" s="0" t="n">
        <f aca="false">cleaned_data!H30</f>
        <v>11</v>
      </c>
      <c r="I30" s="0" t="n">
        <f aca="false">cleaned_data!I30</f>
        <v>85</v>
      </c>
      <c r="J30" s="0" t="n">
        <f aca="false">cleaned_data!J30</f>
        <v>0.48</v>
      </c>
      <c r="K30" s="0" t="n">
        <f aca="false">cleaned_data!K30</f>
        <v>0</v>
      </c>
      <c r="L30" s="0" t="n">
        <f aca="false">cleaned_data!L30</f>
        <v>3.6</v>
      </c>
      <c r="M30" s="0" t="n">
        <f aca="false">cleaned_data!M30</f>
        <v>511844.41</v>
      </c>
      <c r="N30" s="0" t="n">
        <f aca="false">cleaned_data!N30</f>
        <v>72774.44</v>
      </c>
      <c r="O30" s="0" t="n">
        <f aca="false">IF(cleaned_data!C30="North",1,0)</f>
        <v>0</v>
      </c>
      <c r="P30" s="0" t="n">
        <f aca="false">IF(cleaned_data!C30="South",1,0)</f>
        <v>0</v>
      </c>
      <c r="Q30" s="0" t="n">
        <f aca="false">IF(cleaned_data!C30="West",1,0)</f>
        <v>0</v>
      </c>
      <c r="R30" s="0" t="n">
        <f aca="false">IF(cleaned_data!D30="Airport",1,0)</f>
        <v>0</v>
      </c>
      <c r="S30" s="0" t="n">
        <f aca="false">IF(cleaned_data!D30="Mall",1,0)</f>
        <v>0</v>
      </c>
      <c r="T30" s="0" t="n">
        <f aca="false">IF(cleaned_data!D30="Residential",1,0)</f>
        <v>1</v>
      </c>
    </row>
    <row r="31" customFormat="false" ht="15" hidden="false" customHeight="false" outlineLevel="0" collapsed="false">
      <c r="A31" s="0" t="str">
        <f aca="false">cleaned_data!A31</f>
        <v>STR-1008</v>
      </c>
      <c r="B31" s="0" t="str">
        <f aca="false">cleaned_data!B31</f>
        <v>2025-02-01</v>
      </c>
      <c r="C31" s="0" t="str">
        <f aca="false">cleaned_data!C31</f>
        <v>East</v>
      </c>
      <c r="D31" s="0" t="str">
        <f aca="false">cleaned_data!D31</f>
        <v>Residential</v>
      </c>
      <c r="E31" s="0" t="n">
        <f aca="false">cleaned_data!E31</f>
        <v>63176.73</v>
      </c>
      <c r="F31" s="0" t="n">
        <f aca="false">cleaned_data!F31</f>
        <v>2390</v>
      </c>
      <c r="G31" s="0" t="n">
        <f aca="false">cleaned_data!G31</f>
        <v>0.216</v>
      </c>
      <c r="H31" s="0" t="n">
        <f aca="false">cleaned_data!H31</f>
        <v>9</v>
      </c>
      <c r="I31" s="0" t="n">
        <f aca="false">cleaned_data!I31</f>
        <v>87.5</v>
      </c>
      <c r="J31" s="0" t="n">
        <f aca="false">cleaned_data!J31</f>
        <v>0.31</v>
      </c>
      <c r="K31" s="0" t="n">
        <f aca="false">cleaned_data!K31</f>
        <v>0</v>
      </c>
      <c r="L31" s="0" t="n">
        <f aca="false">cleaned_data!L31</f>
        <v>3.1</v>
      </c>
      <c r="M31" s="0" t="n">
        <f aca="false">cleaned_data!M31</f>
        <v>537383.79</v>
      </c>
      <c r="N31" s="0" t="n">
        <f aca="false">cleaned_data!N31</f>
        <v>63773.27</v>
      </c>
      <c r="O31" s="0" t="n">
        <f aca="false">IF(cleaned_data!C31="North",1,0)</f>
        <v>0</v>
      </c>
      <c r="P31" s="0" t="n">
        <f aca="false">IF(cleaned_data!C31="South",1,0)</f>
        <v>0</v>
      </c>
      <c r="Q31" s="0" t="n">
        <f aca="false">IF(cleaned_data!C31="West",1,0)</f>
        <v>0</v>
      </c>
      <c r="R31" s="0" t="n">
        <f aca="false">IF(cleaned_data!D31="Airport",1,0)</f>
        <v>0</v>
      </c>
      <c r="S31" s="0" t="n">
        <f aca="false">IF(cleaned_data!D31="Mall",1,0)</f>
        <v>0</v>
      </c>
      <c r="T31" s="0" t="n">
        <f aca="false">IF(cleaned_data!D31="Residential",1,0)</f>
        <v>1</v>
      </c>
    </row>
    <row r="32" customFormat="false" ht="15" hidden="false" customHeight="false" outlineLevel="0" collapsed="false">
      <c r="A32" s="0" t="str">
        <f aca="false">cleaned_data!A32</f>
        <v>STR-1008</v>
      </c>
      <c r="B32" s="0" t="str">
        <f aca="false">cleaned_data!B32</f>
        <v>2025-03-01</v>
      </c>
      <c r="C32" s="0" t="str">
        <f aca="false">cleaned_data!C32</f>
        <v>East</v>
      </c>
      <c r="D32" s="0" t="str">
        <f aca="false">cleaned_data!D32</f>
        <v>Residential</v>
      </c>
      <c r="E32" s="0" t="n">
        <f aca="false">cleaned_data!E32</f>
        <v>44970.08</v>
      </c>
      <c r="F32" s="0" t="n">
        <f aca="false">cleaned_data!F32</f>
        <v>2471</v>
      </c>
      <c r="G32" s="0" t="n">
        <f aca="false">cleaned_data!G32</f>
        <v>0.136</v>
      </c>
      <c r="H32" s="0" t="n">
        <f aca="false">cleaned_data!H32</f>
        <v>11</v>
      </c>
      <c r="I32" s="0" t="n">
        <f aca="false">cleaned_data!I32</f>
        <v>87.6</v>
      </c>
      <c r="J32" s="0" t="n">
        <f aca="false">cleaned_data!J32</f>
        <v>3.01</v>
      </c>
      <c r="K32" s="0" t="n">
        <f aca="false">cleaned_data!K32</f>
        <v>1</v>
      </c>
      <c r="L32" s="0" t="n">
        <f aca="false">cleaned_data!L32</f>
        <v>3.7</v>
      </c>
      <c r="M32" s="0" t="n">
        <f aca="false">cleaned_data!M32</f>
        <v>500173.02</v>
      </c>
      <c r="N32" s="0" t="n">
        <f aca="false">cleaned_data!N32</f>
        <v>70982.05</v>
      </c>
      <c r="O32" s="0" t="n">
        <f aca="false">IF(cleaned_data!C32="North",1,0)</f>
        <v>0</v>
      </c>
      <c r="P32" s="0" t="n">
        <f aca="false">IF(cleaned_data!C32="South",1,0)</f>
        <v>0</v>
      </c>
      <c r="Q32" s="0" t="n">
        <f aca="false">IF(cleaned_data!C32="West",1,0)</f>
        <v>0</v>
      </c>
      <c r="R32" s="0" t="n">
        <f aca="false">IF(cleaned_data!D32="Airport",1,0)</f>
        <v>0</v>
      </c>
      <c r="S32" s="0" t="n">
        <f aca="false">IF(cleaned_data!D32="Mall",1,0)</f>
        <v>0</v>
      </c>
      <c r="T32" s="0" t="n">
        <f aca="false">IF(cleaned_data!D32="Residential",1,0)</f>
        <v>1</v>
      </c>
    </row>
    <row r="33" customFormat="false" ht="15" hidden="false" customHeight="false" outlineLevel="0" collapsed="false">
      <c r="A33" s="0" t="str">
        <f aca="false">cleaned_data!A33</f>
        <v>STR-1008</v>
      </c>
      <c r="B33" s="0" t="str">
        <f aca="false">cleaned_data!B33</f>
        <v>2025-04-01</v>
      </c>
      <c r="C33" s="0" t="str">
        <f aca="false">cleaned_data!C33</f>
        <v>East</v>
      </c>
      <c r="D33" s="0" t="str">
        <f aca="false">cleaned_data!D33</f>
        <v>Residential</v>
      </c>
      <c r="E33" s="0" t="n">
        <f aca="false">cleaned_data!E33</f>
        <v>69816.35</v>
      </c>
      <c r="F33" s="0" t="n">
        <f aca="false">cleaned_data!F33</f>
        <v>971</v>
      </c>
      <c r="G33" s="0" t="n">
        <f aca="false">cleaned_data!G33</f>
        <v>0.168</v>
      </c>
      <c r="H33" s="0" t="n">
        <f aca="false">cleaned_data!H33</f>
        <v>5</v>
      </c>
      <c r="I33" s="0" t="n">
        <f aca="false">cleaned_data!I33</f>
        <v>89.9</v>
      </c>
      <c r="J33" s="0" t="n">
        <f aca="false">cleaned_data!J33</f>
        <v>12.15</v>
      </c>
      <c r="K33" s="0" t="n">
        <f aca="false">cleaned_data!K33</f>
        <v>0</v>
      </c>
      <c r="L33" s="0" t="n">
        <f aca="false">cleaned_data!L33</f>
        <v>3.6</v>
      </c>
      <c r="M33" s="0" t="n">
        <f aca="false">cleaned_data!M33</f>
        <v>427917.38</v>
      </c>
      <c r="N33" s="0" t="n">
        <f aca="false">cleaned_data!N33</f>
        <v>81824.31</v>
      </c>
      <c r="O33" s="0" t="n">
        <f aca="false">IF(cleaned_data!C33="North",1,0)</f>
        <v>0</v>
      </c>
      <c r="P33" s="0" t="n">
        <f aca="false">IF(cleaned_data!C33="South",1,0)</f>
        <v>0</v>
      </c>
      <c r="Q33" s="0" t="n">
        <f aca="false">IF(cleaned_data!C33="West",1,0)</f>
        <v>0</v>
      </c>
      <c r="R33" s="0" t="n">
        <f aca="false">IF(cleaned_data!D33="Airport",1,0)</f>
        <v>0</v>
      </c>
      <c r="S33" s="0" t="n">
        <f aca="false">IF(cleaned_data!D33="Mall",1,0)</f>
        <v>0</v>
      </c>
      <c r="T33" s="0" t="n">
        <f aca="false">IF(cleaned_data!D33="Residential",1,0)</f>
        <v>1</v>
      </c>
    </row>
    <row r="34" customFormat="false" ht="15" hidden="false" customHeight="false" outlineLevel="0" collapsed="false">
      <c r="A34" s="0" t="str">
        <f aca="false">cleaned_data!A34</f>
        <v>STR-1009</v>
      </c>
      <c r="B34" s="0" t="str">
        <f aca="false">cleaned_data!B34</f>
        <v>2025-01-01</v>
      </c>
      <c r="C34" s="0" t="str">
        <f aca="false">cleaned_data!C34</f>
        <v>North</v>
      </c>
      <c r="D34" s="0" t="str">
        <f aca="false">cleaned_data!D34</f>
        <v>Residential</v>
      </c>
      <c r="E34" s="0" t="n">
        <f aca="false">cleaned_data!E34</f>
        <v>54597.83</v>
      </c>
      <c r="F34" s="0" t="n">
        <f aca="false">cleaned_data!F34</f>
        <v>9429</v>
      </c>
      <c r="G34" s="0" t="n">
        <f aca="false">cleaned_data!G34</f>
        <v>0.188</v>
      </c>
      <c r="H34" s="0" t="n">
        <f aca="false">cleaned_data!H34</f>
        <v>21</v>
      </c>
      <c r="I34" s="0" t="n">
        <f aca="false">cleaned_data!I34</f>
        <v>83.3</v>
      </c>
      <c r="J34" s="0" t="n">
        <f aca="false">cleaned_data!J34</f>
        <v>11.71</v>
      </c>
      <c r="K34" s="0" t="n">
        <f aca="false">cleaned_data!K34</f>
        <v>0</v>
      </c>
      <c r="L34" s="0" t="n">
        <f aca="false">cleaned_data!L34</f>
        <v>4.2</v>
      </c>
      <c r="M34" s="0" t="n">
        <f aca="false">cleaned_data!M34</f>
        <v>641865.03</v>
      </c>
      <c r="N34" s="0" t="n">
        <f aca="false">cleaned_data!N34</f>
        <v>81342.58</v>
      </c>
      <c r="O34" s="0" t="n">
        <f aca="false">IF(cleaned_data!C34="North",1,0)</f>
        <v>1</v>
      </c>
      <c r="P34" s="0" t="n">
        <f aca="false">IF(cleaned_data!C34="South",1,0)</f>
        <v>0</v>
      </c>
      <c r="Q34" s="0" t="n">
        <f aca="false">IF(cleaned_data!C34="West",1,0)</f>
        <v>0</v>
      </c>
      <c r="R34" s="0" t="n">
        <f aca="false">IF(cleaned_data!D34="Airport",1,0)</f>
        <v>0</v>
      </c>
      <c r="S34" s="0" t="n">
        <f aca="false">IF(cleaned_data!D34="Mall",1,0)</f>
        <v>0</v>
      </c>
      <c r="T34" s="0" t="n">
        <f aca="false">IF(cleaned_data!D34="Residential",1,0)</f>
        <v>1</v>
      </c>
    </row>
    <row r="35" customFormat="false" ht="15" hidden="false" customHeight="false" outlineLevel="0" collapsed="false">
      <c r="A35" s="0" t="str">
        <f aca="false">cleaned_data!A35</f>
        <v>STR-1009</v>
      </c>
      <c r="B35" s="0" t="str">
        <f aca="false">cleaned_data!B35</f>
        <v>2025-02-01</v>
      </c>
      <c r="C35" s="0" t="str">
        <f aca="false">cleaned_data!C35</f>
        <v>North</v>
      </c>
      <c r="D35" s="0" t="str">
        <f aca="false">cleaned_data!D35</f>
        <v>Residential</v>
      </c>
      <c r="E35" s="0" t="n">
        <f aca="false">cleaned_data!E35</f>
        <v>73771.91</v>
      </c>
      <c r="F35" s="0" t="n">
        <f aca="false">cleaned_data!F35</f>
        <v>11695</v>
      </c>
      <c r="G35" s="0" t="n">
        <f aca="false">cleaned_data!G35</f>
        <v>0.07</v>
      </c>
      <c r="H35" s="0" t="n">
        <f aca="false">cleaned_data!H35</f>
        <v>25</v>
      </c>
      <c r="I35" s="0" t="n">
        <f aca="false">cleaned_data!I35</f>
        <v>84.7</v>
      </c>
      <c r="J35" s="0" t="n">
        <f aca="false">cleaned_data!J35</f>
        <v>0.62</v>
      </c>
      <c r="K35" s="0" t="n">
        <f aca="false">cleaned_data!K35</f>
        <v>0</v>
      </c>
      <c r="L35" s="0" t="n">
        <f aca="false">cleaned_data!L35</f>
        <v>3.9</v>
      </c>
      <c r="M35" s="0" t="n">
        <f aca="false">cleaned_data!M35</f>
        <v>799477.76</v>
      </c>
      <c r="N35" s="0" t="n">
        <f aca="false">cleaned_data!N35</f>
        <v>164974.41</v>
      </c>
      <c r="O35" s="0" t="n">
        <f aca="false">IF(cleaned_data!C35="North",1,0)</f>
        <v>1</v>
      </c>
      <c r="P35" s="0" t="n">
        <f aca="false">IF(cleaned_data!C35="South",1,0)</f>
        <v>0</v>
      </c>
      <c r="Q35" s="0" t="n">
        <f aca="false">IF(cleaned_data!C35="West",1,0)</f>
        <v>0</v>
      </c>
      <c r="R35" s="0" t="n">
        <f aca="false">IF(cleaned_data!D35="Airport",1,0)</f>
        <v>0</v>
      </c>
      <c r="S35" s="0" t="n">
        <f aca="false">IF(cleaned_data!D35="Mall",1,0)</f>
        <v>0</v>
      </c>
      <c r="T35" s="0" t="n">
        <f aca="false">IF(cleaned_data!D35="Residential",1,0)</f>
        <v>1</v>
      </c>
    </row>
    <row r="36" customFormat="false" ht="15" hidden="false" customHeight="false" outlineLevel="0" collapsed="false">
      <c r="A36" s="0" t="str">
        <f aca="false">cleaned_data!A36</f>
        <v>STR-1009</v>
      </c>
      <c r="B36" s="0" t="str">
        <f aca="false">cleaned_data!B36</f>
        <v>2025-03-01</v>
      </c>
      <c r="C36" s="0" t="str">
        <f aca="false">cleaned_data!C36</f>
        <v>North</v>
      </c>
      <c r="D36" s="0" t="str">
        <f aca="false">cleaned_data!D36</f>
        <v>Residential</v>
      </c>
      <c r="E36" s="0" t="n">
        <f aca="false">cleaned_data!E36</f>
        <v>74413.88</v>
      </c>
      <c r="F36" s="0" t="n">
        <f aca="false">cleaned_data!F36</f>
        <v>9449</v>
      </c>
      <c r="G36" s="0" t="n">
        <f aca="false">cleaned_data!G36</f>
        <v>0.039</v>
      </c>
      <c r="H36" s="0" t="n">
        <f aca="false">cleaned_data!H36</f>
        <v>23</v>
      </c>
      <c r="I36" s="0" t="n">
        <f aca="false">cleaned_data!I36</f>
        <v>92.1</v>
      </c>
      <c r="J36" s="0" t="n">
        <f aca="false">cleaned_data!J36</f>
        <v>2.12</v>
      </c>
      <c r="K36" s="0" t="n">
        <f aca="false">cleaned_data!K36</f>
        <v>0</v>
      </c>
      <c r="L36" s="0" t="n">
        <f aca="false">cleaned_data!L36</f>
        <v>3.5</v>
      </c>
      <c r="M36" s="0" t="n">
        <f aca="false">cleaned_data!M36</f>
        <v>798952.17</v>
      </c>
      <c r="N36" s="0" t="n">
        <f aca="false">cleaned_data!N36</f>
        <v>161499.04</v>
      </c>
      <c r="O36" s="0" t="n">
        <f aca="false">IF(cleaned_data!C36="North",1,0)</f>
        <v>1</v>
      </c>
      <c r="P36" s="0" t="n">
        <f aca="false">IF(cleaned_data!C36="South",1,0)</f>
        <v>0</v>
      </c>
      <c r="Q36" s="0" t="n">
        <f aca="false">IF(cleaned_data!C36="West",1,0)</f>
        <v>0</v>
      </c>
      <c r="R36" s="0" t="n">
        <f aca="false">IF(cleaned_data!D36="Airport",1,0)</f>
        <v>0</v>
      </c>
      <c r="S36" s="0" t="n">
        <f aca="false">IF(cleaned_data!D36="Mall",1,0)</f>
        <v>0</v>
      </c>
      <c r="T36" s="0" t="n">
        <f aca="false">IF(cleaned_data!D36="Residential",1,0)</f>
        <v>1</v>
      </c>
    </row>
    <row r="37" customFormat="false" ht="15" hidden="false" customHeight="false" outlineLevel="0" collapsed="false">
      <c r="A37" s="0" t="str">
        <f aca="false">cleaned_data!A37</f>
        <v>STR-1009</v>
      </c>
      <c r="B37" s="0" t="str">
        <f aca="false">cleaned_data!B37</f>
        <v>2025-04-01</v>
      </c>
      <c r="C37" s="0" t="str">
        <f aca="false">cleaned_data!C37</f>
        <v>North</v>
      </c>
      <c r="D37" s="0" t="str">
        <f aca="false">cleaned_data!D37</f>
        <v>Residential</v>
      </c>
      <c r="E37" s="0" t="n">
        <f aca="false">cleaned_data!E37</f>
        <v>52483.77</v>
      </c>
      <c r="F37" s="0" t="n">
        <f aca="false">cleaned_data!F37</f>
        <v>10453</v>
      </c>
      <c r="G37" s="0" t="n">
        <f aca="false">cleaned_data!G37</f>
        <v>0.247</v>
      </c>
      <c r="H37" s="0" t="n">
        <f aca="false">cleaned_data!H37</f>
        <v>25</v>
      </c>
      <c r="I37" s="0" t="n">
        <f aca="false">cleaned_data!I37</f>
        <v>99</v>
      </c>
      <c r="J37" s="0" t="n">
        <f aca="false">cleaned_data!J37</f>
        <v>6.31</v>
      </c>
      <c r="K37" s="0" t="n">
        <f aca="false">cleaned_data!K37</f>
        <v>0</v>
      </c>
      <c r="L37" s="0" t="n">
        <f aca="false">cleaned_data!L37</f>
        <v>3.6</v>
      </c>
      <c r="M37" s="0" t="n">
        <f aca="false">cleaned_data!M37</f>
        <v>800979.78</v>
      </c>
      <c r="N37" s="0" t="n">
        <f aca="false">cleaned_data!N37</f>
        <v>149242.27</v>
      </c>
      <c r="O37" s="0" t="n">
        <f aca="false">IF(cleaned_data!C37="North",1,0)</f>
        <v>1</v>
      </c>
      <c r="P37" s="0" t="n">
        <f aca="false">IF(cleaned_data!C37="South",1,0)</f>
        <v>0</v>
      </c>
      <c r="Q37" s="0" t="n">
        <f aca="false">IF(cleaned_data!C37="West",1,0)</f>
        <v>0</v>
      </c>
      <c r="R37" s="0" t="n">
        <f aca="false">IF(cleaned_data!D37="Airport",1,0)</f>
        <v>0</v>
      </c>
      <c r="S37" s="0" t="n">
        <f aca="false">IF(cleaned_data!D37="Mall",1,0)</f>
        <v>0</v>
      </c>
      <c r="T37" s="0" t="n">
        <f aca="false">IF(cleaned_data!D37="Residential",1,0)</f>
        <v>1</v>
      </c>
    </row>
    <row r="38" customFormat="false" ht="15" hidden="false" customHeight="false" outlineLevel="0" collapsed="false">
      <c r="A38" s="0" t="str">
        <f aca="false">cleaned_data!A38</f>
        <v>STR-1010</v>
      </c>
      <c r="B38" s="0" t="str">
        <f aca="false">cleaned_data!B38</f>
        <v>2025-01-01</v>
      </c>
      <c r="C38" s="0" t="str">
        <f aca="false">cleaned_data!C38</f>
        <v>North</v>
      </c>
      <c r="D38" s="0" t="str">
        <f aca="false">cleaned_data!D38</f>
        <v>Mall</v>
      </c>
      <c r="E38" s="0" t="n">
        <f aca="false">cleaned_data!E38</f>
        <v>75269.87</v>
      </c>
      <c r="F38" s="0" t="n">
        <f aca="false">cleaned_data!F38</f>
        <v>8838</v>
      </c>
      <c r="G38" s="0" t="n">
        <f aca="false">cleaned_data!G38</f>
        <v>0.092</v>
      </c>
      <c r="H38" s="0" t="n">
        <f aca="false">cleaned_data!H38</f>
        <v>21</v>
      </c>
      <c r="I38" s="0" t="n">
        <f aca="false">cleaned_data!I38</f>
        <v>83.1</v>
      </c>
      <c r="J38" s="0" t="n">
        <f aca="false">cleaned_data!J38</f>
        <v>9.56</v>
      </c>
      <c r="K38" s="0" t="n">
        <f aca="false">cleaned_data!K38</f>
        <v>1</v>
      </c>
      <c r="L38" s="0" t="n">
        <f aca="false">cleaned_data!L38</f>
        <v>4.2</v>
      </c>
      <c r="M38" s="0" t="n">
        <f aca="false">cleaned_data!M38</f>
        <v>820593.93</v>
      </c>
      <c r="N38" s="0" t="n">
        <f aca="false">cleaned_data!N38</f>
        <v>115860.06</v>
      </c>
      <c r="O38" s="0" t="n">
        <f aca="false">IF(cleaned_data!C38="North",1,0)</f>
        <v>1</v>
      </c>
      <c r="P38" s="0" t="n">
        <f aca="false">IF(cleaned_data!C38="South",1,0)</f>
        <v>0</v>
      </c>
      <c r="Q38" s="0" t="n">
        <f aca="false">IF(cleaned_data!C38="West",1,0)</f>
        <v>0</v>
      </c>
      <c r="R38" s="0" t="n">
        <f aca="false">IF(cleaned_data!D38="Airport",1,0)</f>
        <v>0</v>
      </c>
      <c r="S38" s="0" t="n">
        <f aca="false">IF(cleaned_data!D38="Mall",1,0)</f>
        <v>1</v>
      </c>
      <c r="T38" s="0" t="n">
        <f aca="false">IF(cleaned_data!D38="Residential",1,0)</f>
        <v>0</v>
      </c>
    </row>
    <row r="39" customFormat="false" ht="15" hidden="false" customHeight="false" outlineLevel="0" collapsed="false">
      <c r="A39" s="0" t="str">
        <f aca="false">cleaned_data!A39</f>
        <v>STR-1010</v>
      </c>
      <c r="B39" s="0" t="str">
        <f aca="false">cleaned_data!B39</f>
        <v>2025-02-01</v>
      </c>
      <c r="C39" s="0" t="str">
        <f aca="false">cleaned_data!C39</f>
        <v>North</v>
      </c>
      <c r="D39" s="0" t="str">
        <f aca="false">cleaned_data!D39</f>
        <v>Mall</v>
      </c>
      <c r="E39" s="0" t="n">
        <f aca="false">cleaned_data!E39</f>
        <v>61245.41</v>
      </c>
      <c r="F39" s="0" t="n">
        <f aca="false">cleaned_data!F39</f>
        <v>8156</v>
      </c>
      <c r="G39" s="0" t="n">
        <f aca="false">cleaned_data!G39</f>
        <v>0.156</v>
      </c>
      <c r="H39" s="0" t="n">
        <f aca="false">cleaned_data!H39</f>
        <v>19</v>
      </c>
      <c r="I39" s="0" t="n">
        <f aca="false">cleaned_data!I39</f>
        <v>92.9</v>
      </c>
      <c r="J39" s="0" t="n">
        <f aca="false">cleaned_data!J39</f>
        <v>9.05</v>
      </c>
      <c r="K39" s="0" t="n">
        <f aca="false">cleaned_data!K39</f>
        <v>0</v>
      </c>
      <c r="L39" s="0" t="n">
        <f aca="false">cleaned_data!L39</f>
        <v>3.8</v>
      </c>
      <c r="M39" s="0" t="n">
        <f aca="false">cleaned_data!M39</f>
        <v>718330.53</v>
      </c>
      <c r="N39" s="0" t="n">
        <f aca="false">cleaned_data!N39</f>
        <v>93247.9</v>
      </c>
      <c r="O39" s="0" t="n">
        <f aca="false">IF(cleaned_data!C39="North",1,0)</f>
        <v>1</v>
      </c>
      <c r="P39" s="0" t="n">
        <f aca="false">IF(cleaned_data!C39="South",1,0)</f>
        <v>0</v>
      </c>
      <c r="Q39" s="0" t="n">
        <f aca="false">IF(cleaned_data!C39="West",1,0)</f>
        <v>0</v>
      </c>
      <c r="R39" s="0" t="n">
        <f aca="false">IF(cleaned_data!D39="Airport",1,0)</f>
        <v>0</v>
      </c>
      <c r="S39" s="0" t="n">
        <f aca="false">IF(cleaned_data!D39="Mall",1,0)</f>
        <v>1</v>
      </c>
      <c r="T39" s="0" t="n">
        <f aca="false">IF(cleaned_data!D39="Residential",1,0)</f>
        <v>0</v>
      </c>
    </row>
    <row r="40" customFormat="false" ht="15" hidden="false" customHeight="false" outlineLevel="0" collapsed="false">
      <c r="A40" s="0" t="str">
        <f aca="false">cleaned_data!A40</f>
        <v>STR-1010</v>
      </c>
      <c r="B40" s="0" t="str">
        <f aca="false">cleaned_data!B40</f>
        <v>2025-03-01</v>
      </c>
      <c r="C40" s="0" t="str">
        <f aca="false">cleaned_data!C40</f>
        <v>North</v>
      </c>
      <c r="D40" s="0" t="str">
        <f aca="false">cleaned_data!D40</f>
        <v>Mall</v>
      </c>
      <c r="E40" s="0" t="n">
        <f aca="false">cleaned_data!E40</f>
        <v>93381.26</v>
      </c>
      <c r="F40" s="0" t="n">
        <f aca="false">cleaned_data!F40</f>
        <v>7562</v>
      </c>
      <c r="G40" s="0" t="n">
        <f aca="false">cleaned_data!G40</f>
        <v>0.198</v>
      </c>
      <c r="H40" s="0" t="n">
        <f aca="false">cleaned_data!H40</f>
        <v>19</v>
      </c>
      <c r="I40" s="0" t="n">
        <f aca="false">cleaned_data!I40</f>
        <v>82.9</v>
      </c>
      <c r="J40" s="0" t="n">
        <f aca="false">cleaned_data!J40</f>
        <v>5.05</v>
      </c>
      <c r="K40" s="0" t="n">
        <f aca="false">cleaned_data!K40</f>
        <v>0</v>
      </c>
      <c r="L40" s="0" t="n">
        <f aca="false">cleaned_data!L40</f>
        <v>4</v>
      </c>
      <c r="M40" s="0" t="n">
        <f aca="false">cleaned_data!M40</f>
        <v>736633.4</v>
      </c>
      <c r="N40" s="0" t="n">
        <f aca="false">cleaned_data!N40</f>
        <v>115654.66</v>
      </c>
      <c r="O40" s="0" t="n">
        <f aca="false">IF(cleaned_data!C40="North",1,0)</f>
        <v>1</v>
      </c>
      <c r="P40" s="0" t="n">
        <f aca="false">IF(cleaned_data!C40="South",1,0)</f>
        <v>0</v>
      </c>
      <c r="Q40" s="0" t="n">
        <f aca="false">IF(cleaned_data!C40="West",1,0)</f>
        <v>0</v>
      </c>
      <c r="R40" s="0" t="n">
        <f aca="false">IF(cleaned_data!D40="Airport",1,0)</f>
        <v>0</v>
      </c>
      <c r="S40" s="0" t="n">
        <f aca="false">IF(cleaned_data!D40="Mall",1,0)</f>
        <v>1</v>
      </c>
      <c r="T40" s="0" t="n">
        <f aca="false">IF(cleaned_data!D40="Residential",1,0)</f>
        <v>0</v>
      </c>
    </row>
    <row r="41" customFormat="false" ht="15" hidden="false" customHeight="false" outlineLevel="0" collapsed="false">
      <c r="A41" s="0" t="str">
        <f aca="false">cleaned_data!A41</f>
        <v>STR-1010</v>
      </c>
      <c r="B41" s="0" t="str">
        <f aca="false">cleaned_data!B41</f>
        <v>2025-04-01</v>
      </c>
      <c r="C41" s="0" t="str">
        <f aca="false">cleaned_data!C41</f>
        <v>North</v>
      </c>
      <c r="D41" s="0" t="str">
        <f aca="false">cleaned_data!D41</f>
        <v>Mall</v>
      </c>
      <c r="E41" s="0" t="n">
        <f aca="false">cleaned_data!E41</f>
        <v>65012.19</v>
      </c>
      <c r="F41" s="0" t="n">
        <f aca="false">cleaned_data!F41</f>
        <v>9598</v>
      </c>
      <c r="G41" s="0" t="n">
        <f aca="false">cleaned_data!G41</f>
        <v>0.085</v>
      </c>
      <c r="H41" s="0" t="n">
        <f aca="false">cleaned_data!H41</f>
        <v>24</v>
      </c>
      <c r="I41" s="0" t="n">
        <f aca="false">cleaned_data!I41</f>
        <v>98.3</v>
      </c>
      <c r="J41" s="0" t="n">
        <f aca="false">cleaned_data!J41</f>
        <v>0.89</v>
      </c>
      <c r="K41" s="0" t="n">
        <f aca="false">cleaned_data!K41</f>
        <v>0</v>
      </c>
      <c r="L41" s="0" t="n">
        <f aca="false">cleaned_data!L41</f>
        <v>3.8</v>
      </c>
      <c r="M41" s="0" t="n">
        <f aca="false">cleaned_data!M41</f>
        <v>828623.85</v>
      </c>
      <c r="N41" s="0" t="n">
        <f aca="false">cleaned_data!N41</f>
        <v>167320.52</v>
      </c>
      <c r="O41" s="0" t="n">
        <f aca="false">IF(cleaned_data!C41="North",1,0)</f>
        <v>1</v>
      </c>
      <c r="P41" s="0" t="n">
        <f aca="false">IF(cleaned_data!C41="South",1,0)</f>
        <v>0</v>
      </c>
      <c r="Q41" s="0" t="n">
        <f aca="false">IF(cleaned_data!C41="West",1,0)</f>
        <v>0</v>
      </c>
      <c r="R41" s="0" t="n">
        <f aca="false">IF(cleaned_data!D41="Airport",1,0)</f>
        <v>0</v>
      </c>
      <c r="S41" s="0" t="n">
        <f aca="false">IF(cleaned_data!D41="Mall",1,0)</f>
        <v>1</v>
      </c>
      <c r="T41" s="0" t="n">
        <f aca="false">IF(cleaned_data!D41="Residential",1,0)</f>
        <v>0</v>
      </c>
    </row>
    <row r="42" customFormat="false" ht="15" hidden="false" customHeight="false" outlineLevel="0" collapsed="false">
      <c r="A42" s="0" t="str">
        <f aca="false">cleaned_data!A42</f>
        <v>STR-1011</v>
      </c>
      <c r="B42" s="0" t="str">
        <f aca="false">cleaned_data!B42</f>
        <v>2025-01-01</v>
      </c>
      <c r="C42" s="0" t="str">
        <f aca="false">cleaned_data!C42</f>
        <v>East</v>
      </c>
      <c r="D42" s="0" t="str">
        <f aca="false">cleaned_data!D42</f>
        <v>Mall</v>
      </c>
      <c r="E42" s="0" t="n">
        <f aca="false">cleaned_data!E42</f>
        <v>40462.94</v>
      </c>
      <c r="F42" s="0" t="n">
        <f aca="false">cleaned_data!F42</f>
        <v>3660</v>
      </c>
      <c r="G42" s="0" t="n">
        <f aca="false">cleaned_data!G42</f>
        <v>0.218</v>
      </c>
      <c r="H42" s="0" t="n">
        <f aca="false">cleaned_data!H42</f>
        <v>11</v>
      </c>
      <c r="I42" s="0" t="n">
        <f aca="false">cleaned_data!I42</f>
        <v>95.2</v>
      </c>
      <c r="J42" s="0" t="n">
        <f aca="false">cleaned_data!J42</f>
        <v>5.57</v>
      </c>
      <c r="K42" s="0" t="n">
        <f aca="false">cleaned_data!K42</f>
        <v>0</v>
      </c>
      <c r="L42" s="0" t="n">
        <f aca="false">cleaned_data!L42</f>
        <v>4.4</v>
      </c>
      <c r="M42" s="0" t="n">
        <f aca="false">cleaned_data!M42</f>
        <v>592195.85</v>
      </c>
      <c r="N42" s="0" t="n">
        <f aca="false">cleaned_data!N42</f>
        <v>92291.56</v>
      </c>
      <c r="O42" s="0" t="n">
        <f aca="false">IF(cleaned_data!C42="North",1,0)</f>
        <v>0</v>
      </c>
      <c r="P42" s="0" t="n">
        <f aca="false">IF(cleaned_data!C42="South",1,0)</f>
        <v>0</v>
      </c>
      <c r="Q42" s="0" t="n">
        <f aca="false">IF(cleaned_data!C42="West",1,0)</f>
        <v>0</v>
      </c>
      <c r="R42" s="0" t="n">
        <f aca="false">IF(cleaned_data!D42="Airport",1,0)</f>
        <v>0</v>
      </c>
      <c r="S42" s="0" t="n">
        <f aca="false">IF(cleaned_data!D42="Mall",1,0)</f>
        <v>1</v>
      </c>
      <c r="T42" s="0" t="n">
        <f aca="false">IF(cleaned_data!D42="Residential",1,0)</f>
        <v>0</v>
      </c>
    </row>
    <row r="43" customFormat="false" ht="15" hidden="false" customHeight="false" outlineLevel="0" collapsed="false">
      <c r="A43" s="0" t="str">
        <f aca="false">cleaned_data!A43</f>
        <v>STR-1011</v>
      </c>
      <c r="B43" s="0" t="str">
        <f aca="false">cleaned_data!B43</f>
        <v>2025-02-01</v>
      </c>
      <c r="C43" s="0" t="str">
        <f aca="false">cleaned_data!C43</f>
        <v>East</v>
      </c>
      <c r="D43" s="0" t="str">
        <f aca="false">cleaned_data!D43</f>
        <v>Mall</v>
      </c>
      <c r="E43" s="0" t="n">
        <f aca="false">cleaned_data!E43</f>
        <v>46123.88</v>
      </c>
      <c r="F43" s="0" t="n">
        <f aca="false">cleaned_data!F43</f>
        <v>3227</v>
      </c>
      <c r="G43" s="0" t="n">
        <f aca="false">cleaned_data!G43</f>
        <v>0.143</v>
      </c>
      <c r="H43" s="0" t="n">
        <f aca="false">cleaned_data!H43</f>
        <v>10</v>
      </c>
      <c r="I43" s="0" t="n">
        <f aca="false">cleaned_data!I43</f>
        <v>75.4</v>
      </c>
      <c r="J43" s="0" t="n">
        <f aca="false">cleaned_data!J43</f>
        <v>1.06</v>
      </c>
      <c r="K43" s="0" t="n">
        <f aca="false">cleaned_data!K43</f>
        <v>0</v>
      </c>
      <c r="L43" s="0" t="n">
        <f aca="false">cleaned_data!L43</f>
        <v>4.4</v>
      </c>
      <c r="M43" s="0" t="n">
        <f aca="false">cleaned_data!M43</f>
        <v>532644.46</v>
      </c>
      <c r="N43" s="0" t="n">
        <f aca="false">cleaned_data!N43</f>
        <v>60681.32</v>
      </c>
      <c r="O43" s="0" t="n">
        <f aca="false">IF(cleaned_data!C43="North",1,0)</f>
        <v>0</v>
      </c>
      <c r="P43" s="0" t="n">
        <f aca="false">IF(cleaned_data!C43="South",1,0)</f>
        <v>0</v>
      </c>
      <c r="Q43" s="0" t="n">
        <f aca="false">IF(cleaned_data!C43="West",1,0)</f>
        <v>0</v>
      </c>
      <c r="R43" s="0" t="n">
        <f aca="false">IF(cleaned_data!D43="Airport",1,0)</f>
        <v>0</v>
      </c>
      <c r="S43" s="0" t="n">
        <f aca="false">IF(cleaned_data!D43="Mall",1,0)</f>
        <v>1</v>
      </c>
      <c r="T43" s="0" t="n">
        <f aca="false">IF(cleaned_data!D43="Residential",1,0)</f>
        <v>0</v>
      </c>
    </row>
    <row r="44" customFormat="false" ht="15" hidden="false" customHeight="false" outlineLevel="0" collapsed="false">
      <c r="A44" s="0" t="str">
        <f aca="false">cleaned_data!A44</f>
        <v>STR-1011</v>
      </c>
      <c r="B44" s="0" t="str">
        <f aca="false">cleaned_data!B44</f>
        <v>2025-03-01</v>
      </c>
      <c r="C44" s="0" t="str">
        <f aca="false">cleaned_data!C44</f>
        <v>East</v>
      </c>
      <c r="D44" s="0" t="str">
        <f aca="false">cleaned_data!D44</f>
        <v>Mall</v>
      </c>
      <c r="E44" s="0" t="n">
        <f aca="false">cleaned_data!E44</f>
        <v>68077.54</v>
      </c>
      <c r="F44" s="0" t="n">
        <f aca="false">cleaned_data!F44</f>
        <v>3360</v>
      </c>
      <c r="G44" s="0" t="n">
        <f aca="false">cleaned_data!G44</f>
        <v>0.128</v>
      </c>
      <c r="H44" s="0" t="n">
        <f aca="false">cleaned_data!H44</f>
        <v>14</v>
      </c>
      <c r="I44" s="0" t="n">
        <f aca="false">cleaned_data!I44</f>
        <v>88.2</v>
      </c>
      <c r="J44" s="0" t="n">
        <f aca="false">cleaned_data!J44</f>
        <v>1.24</v>
      </c>
      <c r="K44" s="0" t="n">
        <f aca="false">cleaned_data!K44</f>
        <v>1</v>
      </c>
      <c r="L44" s="0" t="n">
        <f aca="false">cleaned_data!L44</f>
        <v>4</v>
      </c>
      <c r="M44" s="0" t="n">
        <f aca="false">cleaned_data!M44</f>
        <v>657429.18</v>
      </c>
      <c r="N44" s="0" t="n">
        <f aca="false">cleaned_data!N44</f>
        <v>88919.74</v>
      </c>
      <c r="O44" s="0" t="n">
        <f aca="false">IF(cleaned_data!C44="North",1,0)</f>
        <v>0</v>
      </c>
      <c r="P44" s="0" t="n">
        <f aca="false">IF(cleaned_data!C44="South",1,0)</f>
        <v>0</v>
      </c>
      <c r="Q44" s="0" t="n">
        <f aca="false">IF(cleaned_data!C44="West",1,0)</f>
        <v>0</v>
      </c>
      <c r="R44" s="0" t="n">
        <f aca="false">IF(cleaned_data!D44="Airport",1,0)</f>
        <v>0</v>
      </c>
      <c r="S44" s="0" t="n">
        <f aca="false">IF(cleaned_data!D44="Mall",1,0)</f>
        <v>1</v>
      </c>
      <c r="T44" s="0" t="n">
        <f aca="false">IF(cleaned_data!D44="Residential",1,0)</f>
        <v>0</v>
      </c>
    </row>
    <row r="45" customFormat="false" ht="15" hidden="false" customHeight="false" outlineLevel="0" collapsed="false">
      <c r="A45" s="0" t="str">
        <f aca="false">cleaned_data!A45</f>
        <v>STR-1011</v>
      </c>
      <c r="B45" s="0" t="str">
        <f aca="false">cleaned_data!B45</f>
        <v>2025-04-01</v>
      </c>
      <c r="C45" s="0" t="str">
        <f aca="false">cleaned_data!C45</f>
        <v>East</v>
      </c>
      <c r="D45" s="0" t="str">
        <f aca="false">cleaned_data!D45</f>
        <v>Mall</v>
      </c>
      <c r="E45" s="0" t="n">
        <f aca="false">cleaned_data!E45</f>
        <v>64882.14</v>
      </c>
      <c r="F45" s="0" t="n">
        <f aca="false">cleaned_data!F45</f>
        <v>3642</v>
      </c>
      <c r="G45" s="0" t="n">
        <f aca="false">cleaned_data!G45</f>
        <v>0.019</v>
      </c>
      <c r="H45" s="0" t="n">
        <f aca="false">cleaned_data!H45</f>
        <v>13</v>
      </c>
      <c r="I45" s="0" t="n">
        <f aca="false">cleaned_data!I45</f>
        <v>87.8</v>
      </c>
      <c r="J45" s="0" t="n">
        <f aca="false">cleaned_data!J45</f>
        <v>4.52</v>
      </c>
      <c r="K45" s="0" t="n">
        <f aca="false">cleaned_data!K45</f>
        <v>0</v>
      </c>
      <c r="L45" s="0" t="n">
        <f aca="false">cleaned_data!L45</f>
        <v>4.2</v>
      </c>
      <c r="M45" s="0" t="n">
        <f aca="false">cleaned_data!M45</f>
        <v>605178</v>
      </c>
      <c r="N45" s="0" t="n">
        <f aca="false">cleaned_data!N45</f>
        <v>106958.74</v>
      </c>
      <c r="O45" s="0" t="n">
        <f aca="false">IF(cleaned_data!C45="North",1,0)</f>
        <v>0</v>
      </c>
      <c r="P45" s="0" t="n">
        <f aca="false">IF(cleaned_data!C45="South",1,0)</f>
        <v>0</v>
      </c>
      <c r="Q45" s="0" t="n">
        <f aca="false">IF(cleaned_data!C45="West",1,0)</f>
        <v>0</v>
      </c>
      <c r="R45" s="0" t="n">
        <f aca="false">IF(cleaned_data!D45="Airport",1,0)</f>
        <v>0</v>
      </c>
      <c r="S45" s="0" t="n">
        <f aca="false">IF(cleaned_data!D45="Mall",1,0)</f>
        <v>1</v>
      </c>
      <c r="T45" s="0" t="n">
        <f aca="false">IF(cleaned_data!D45="Residential",1,0)</f>
        <v>0</v>
      </c>
    </row>
    <row r="46" customFormat="false" ht="15" hidden="false" customHeight="false" outlineLevel="0" collapsed="false">
      <c r="A46" s="0" t="str">
        <f aca="false">cleaned_data!A46</f>
        <v>STR-1012</v>
      </c>
      <c r="B46" s="0" t="str">
        <f aca="false">cleaned_data!B46</f>
        <v>2025-01-01</v>
      </c>
      <c r="C46" s="0" t="str">
        <f aca="false">cleaned_data!C46</f>
        <v>West</v>
      </c>
      <c r="D46" s="0" t="str">
        <f aca="false">cleaned_data!D46</f>
        <v>Residential</v>
      </c>
      <c r="E46" s="0" t="n">
        <f aca="false">cleaned_data!E46</f>
        <v>138855.51</v>
      </c>
      <c r="F46" s="0" t="n">
        <f aca="false">cleaned_data!F46</f>
        <v>5145</v>
      </c>
      <c r="G46" s="0" t="n">
        <f aca="false">cleaned_data!G46</f>
        <v>0.06</v>
      </c>
      <c r="H46" s="0" t="n">
        <f aca="false">cleaned_data!H46</f>
        <v>17</v>
      </c>
      <c r="I46" s="0" t="n">
        <f aca="false">cleaned_data!I46</f>
        <v>88.2</v>
      </c>
      <c r="J46" s="0" t="n">
        <f aca="false">cleaned_data!J46</f>
        <v>9.58</v>
      </c>
      <c r="K46" s="0" t="n">
        <f aca="false">cleaned_data!K46</f>
        <v>0</v>
      </c>
      <c r="L46" s="0" t="n">
        <f aca="false">cleaned_data!L46</f>
        <v>3.2</v>
      </c>
      <c r="M46" s="0" t="n">
        <f aca="false">cleaned_data!M46</f>
        <v>595467.6</v>
      </c>
      <c r="N46" s="0" t="n">
        <f aca="false">cleaned_data!N46</f>
        <v>104276.46</v>
      </c>
      <c r="O46" s="0" t="n">
        <f aca="false">IF(cleaned_data!C46="North",1,0)</f>
        <v>0</v>
      </c>
      <c r="P46" s="0" t="n">
        <f aca="false">IF(cleaned_data!C46="South",1,0)</f>
        <v>0</v>
      </c>
      <c r="Q46" s="0" t="n">
        <f aca="false">IF(cleaned_data!C46="West",1,0)</f>
        <v>1</v>
      </c>
      <c r="R46" s="0" t="n">
        <f aca="false">IF(cleaned_data!D46="Airport",1,0)</f>
        <v>0</v>
      </c>
      <c r="S46" s="0" t="n">
        <f aca="false">IF(cleaned_data!D46="Mall",1,0)</f>
        <v>0</v>
      </c>
      <c r="T46" s="0" t="n">
        <f aca="false">IF(cleaned_data!D46="Residential",1,0)</f>
        <v>1</v>
      </c>
    </row>
    <row r="47" customFormat="false" ht="15" hidden="false" customHeight="false" outlineLevel="0" collapsed="false">
      <c r="A47" s="0" t="str">
        <f aca="false">cleaned_data!A47</f>
        <v>STR-1012</v>
      </c>
      <c r="B47" s="0" t="str">
        <f aca="false">cleaned_data!B47</f>
        <v>2025-02-01</v>
      </c>
      <c r="C47" s="0" t="str">
        <f aca="false">cleaned_data!C47</f>
        <v>West</v>
      </c>
      <c r="D47" s="0" t="str">
        <f aca="false">cleaned_data!D47</f>
        <v>Residential</v>
      </c>
      <c r="E47" s="0" t="n">
        <f aca="false">cleaned_data!E47</f>
        <v>63630.21</v>
      </c>
      <c r="F47" s="0" t="n">
        <f aca="false">cleaned_data!F47</f>
        <v>4460</v>
      </c>
      <c r="G47" s="0" t="n">
        <f aca="false">cleaned_data!G47</f>
        <v>0.235</v>
      </c>
      <c r="H47" s="0" t="n">
        <f aca="false">cleaned_data!H47</f>
        <v>14</v>
      </c>
      <c r="I47" s="0" t="n">
        <f aca="false">cleaned_data!I47</f>
        <v>98.6</v>
      </c>
      <c r="J47" s="0" t="n">
        <f aca="false">cleaned_data!J47</f>
        <v>5.52</v>
      </c>
      <c r="K47" s="0" t="n">
        <f aca="false">cleaned_data!K47</f>
        <v>0</v>
      </c>
      <c r="L47" s="0" t="n">
        <f aca="false">cleaned_data!L47</f>
        <v>3.5</v>
      </c>
      <c r="M47" s="0" t="n">
        <f aca="false">cleaned_data!M47</f>
        <v>599603.4</v>
      </c>
      <c r="N47" s="0" t="n">
        <f aca="false">cleaned_data!N47</f>
        <v>112685.12</v>
      </c>
      <c r="O47" s="0" t="n">
        <f aca="false">IF(cleaned_data!C47="North",1,0)</f>
        <v>0</v>
      </c>
      <c r="P47" s="0" t="n">
        <f aca="false">IF(cleaned_data!C47="South",1,0)</f>
        <v>0</v>
      </c>
      <c r="Q47" s="0" t="n">
        <f aca="false">IF(cleaned_data!C47="West",1,0)</f>
        <v>1</v>
      </c>
      <c r="R47" s="0" t="n">
        <f aca="false">IF(cleaned_data!D47="Airport",1,0)</f>
        <v>0</v>
      </c>
      <c r="S47" s="0" t="n">
        <f aca="false">IF(cleaned_data!D47="Mall",1,0)</f>
        <v>0</v>
      </c>
      <c r="T47" s="0" t="n">
        <f aca="false">IF(cleaned_data!D47="Residential",1,0)</f>
        <v>1</v>
      </c>
    </row>
    <row r="48" customFormat="false" ht="15" hidden="false" customHeight="false" outlineLevel="0" collapsed="false">
      <c r="A48" s="0" t="str">
        <f aca="false">cleaned_data!A48</f>
        <v>STR-1012</v>
      </c>
      <c r="B48" s="0" t="str">
        <f aca="false">cleaned_data!B48</f>
        <v>2025-03-01</v>
      </c>
      <c r="C48" s="0" t="str">
        <f aca="false">cleaned_data!C48</f>
        <v>West</v>
      </c>
      <c r="D48" s="0" t="str">
        <f aca="false">cleaned_data!D48</f>
        <v>Residential</v>
      </c>
      <c r="E48" s="0" t="n">
        <f aca="false">cleaned_data!E48</f>
        <v>50043.65</v>
      </c>
      <c r="F48" s="0" t="n">
        <f aca="false">cleaned_data!F48</f>
        <v>3804</v>
      </c>
      <c r="G48" s="0" t="n">
        <f aca="false">cleaned_data!G48</f>
        <v>0.113</v>
      </c>
      <c r="H48" s="0" t="n">
        <f aca="false">cleaned_data!H48</f>
        <v>11</v>
      </c>
      <c r="I48" s="0" t="n">
        <f aca="false">cleaned_data!I48</f>
        <v>90.9</v>
      </c>
      <c r="J48" s="0" t="n">
        <f aca="false">cleaned_data!J48</f>
        <v>2.7</v>
      </c>
      <c r="K48" s="0" t="n">
        <f aca="false">cleaned_data!K48</f>
        <v>1</v>
      </c>
      <c r="L48" s="0" t="n">
        <f aca="false">cleaned_data!L48</f>
        <v>3.2</v>
      </c>
      <c r="M48" s="0" t="n">
        <f aca="false">cleaned_data!M48</f>
        <v>614800.09</v>
      </c>
      <c r="N48" s="0" t="n">
        <f aca="false">cleaned_data!N48</f>
        <v>100044.2</v>
      </c>
      <c r="O48" s="0" t="n">
        <f aca="false">IF(cleaned_data!C48="North",1,0)</f>
        <v>0</v>
      </c>
      <c r="P48" s="0" t="n">
        <f aca="false">IF(cleaned_data!C48="South",1,0)</f>
        <v>0</v>
      </c>
      <c r="Q48" s="0" t="n">
        <f aca="false">IF(cleaned_data!C48="West",1,0)</f>
        <v>1</v>
      </c>
      <c r="R48" s="0" t="n">
        <f aca="false">IF(cleaned_data!D48="Airport",1,0)</f>
        <v>0</v>
      </c>
      <c r="S48" s="0" t="n">
        <f aca="false">IF(cleaned_data!D48="Mall",1,0)</f>
        <v>0</v>
      </c>
      <c r="T48" s="0" t="n">
        <f aca="false">IF(cleaned_data!D48="Residential",1,0)</f>
        <v>1</v>
      </c>
    </row>
    <row r="49" customFormat="false" ht="15" hidden="false" customHeight="false" outlineLevel="0" collapsed="false">
      <c r="A49" s="0" t="str">
        <f aca="false">cleaned_data!A49</f>
        <v>STR-1012</v>
      </c>
      <c r="B49" s="0" t="str">
        <f aca="false">cleaned_data!B49</f>
        <v>2025-04-01</v>
      </c>
      <c r="C49" s="0" t="str">
        <f aca="false">cleaned_data!C49</f>
        <v>West</v>
      </c>
      <c r="D49" s="0" t="str">
        <f aca="false">cleaned_data!D49</f>
        <v>Residential</v>
      </c>
      <c r="E49" s="0" t="n">
        <f aca="false">cleaned_data!E49</f>
        <v>42093.84</v>
      </c>
      <c r="F49" s="0" t="n">
        <f aca="false">cleaned_data!F49</f>
        <v>4074</v>
      </c>
      <c r="G49" s="0" t="n">
        <f aca="false">cleaned_data!G49</f>
        <v>0.155</v>
      </c>
      <c r="H49" s="0" t="n">
        <f aca="false">cleaned_data!H49</f>
        <v>15</v>
      </c>
      <c r="I49" s="0" t="n">
        <f aca="false">cleaned_data!I49</f>
        <v>88</v>
      </c>
      <c r="J49" s="0" t="n">
        <f aca="false">cleaned_data!J49</f>
        <v>9.64</v>
      </c>
      <c r="K49" s="0" t="n">
        <f aca="false">cleaned_data!K49</f>
        <v>0</v>
      </c>
      <c r="L49" s="0" t="n">
        <f aca="false">cleaned_data!L49</f>
        <v>3.3</v>
      </c>
      <c r="M49" s="0" t="n">
        <f aca="false">cleaned_data!M49</f>
        <v>585365.73</v>
      </c>
      <c r="N49" s="0" t="n">
        <f aca="false">cleaned_data!N49</f>
        <v>81011.52</v>
      </c>
      <c r="O49" s="0" t="n">
        <f aca="false">IF(cleaned_data!C49="North",1,0)</f>
        <v>0</v>
      </c>
      <c r="P49" s="0" t="n">
        <f aca="false">IF(cleaned_data!C49="South",1,0)</f>
        <v>0</v>
      </c>
      <c r="Q49" s="0" t="n">
        <f aca="false">IF(cleaned_data!C49="West",1,0)</f>
        <v>1</v>
      </c>
      <c r="R49" s="0" t="n">
        <f aca="false">IF(cleaned_data!D49="Airport",1,0)</f>
        <v>0</v>
      </c>
      <c r="S49" s="0" t="n">
        <f aca="false">IF(cleaned_data!D49="Mall",1,0)</f>
        <v>0</v>
      </c>
      <c r="T49" s="0" t="n">
        <f aca="false">IF(cleaned_data!D49="Residential",1,0)</f>
        <v>1</v>
      </c>
    </row>
    <row r="50" customFormat="false" ht="15" hidden="false" customHeight="false" outlineLevel="0" collapsed="false">
      <c r="A50" s="0" t="str">
        <f aca="false">cleaned_data!A50</f>
        <v>STR-1013</v>
      </c>
      <c r="B50" s="0" t="str">
        <f aca="false">cleaned_data!B50</f>
        <v>2025-01-01</v>
      </c>
      <c r="C50" s="0" t="str">
        <f aca="false">cleaned_data!C50</f>
        <v>North</v>
      </c>
      <c r="D50" s="0" t="str">
        <f aca="false">cleaned_data!D50</f>
        <v>Mall</v>
      </c>
      <c r="E50" s="0" t="n">
        <f aca="false">cleaned_data!E50</f>
        <v>46624.05</v>
      </c>
      <c r="F50" s="0" t="n">
        <f aca="false">cleaned_data!F50</f>
        <v>5104</v>
      </c>
      <c r="G50" s="0" t="n">
        <f aca="false">cleaned_data!G50</f>
        <v>0.109</v>
      </c>
      <c r="H50" s="0" t="n">
        <f aca="false">cleaned_data!H50</f>
        <v>11</v>
      </c>
      <c r="I50" s="0" t="n">
        <f aca="false">cleaned_data!I50</f>
        <v>97.3</v>
      </c>
      <c r="J50" s="0" t="n">
        <f aca="false">cleaned_data!J50</f>
        <v>3.49</v>
      </c>
      <c r="K50" s="0" t="n">
        <f aca="false">cleaned_data!K50</f>
        <v>1</v>
      </c>
      <c r="L50" s="0" t="n">
        <f aca="false">cleaned_data!L50</f>
        <v>4.7</v>
      </c>
      <c r="M50" s="0" t="n">
        <f aca="false">cleaned_data!M50</f>
        <v>622811.74</v>
      </c>
      <c r="N50" s="0" t="n">
        <f aca="false">cleaned_data!N50</f>
        <v>109978.35</v>
      </c>
      <c r="O50" s="0" t="n">
        <f aca="false">IF(cleaned_data!C50="North",1,0)</f>
        <v>1</v>
      </c>
      <c r="P50" s="0" t="n">
        <f aca="false">IF(cleaned_data!C50="South",1,0)</f>
        <v>0</v>
      </c>
      <c r="Q50" s="0" t="n">
        <f aca="false">IF(cleaned_data!C50="West",1,0)</f>
        <v>0</v>
      </c>
      <c r="R50" s="0" t="n">
        <f aca="false">IF(cleaned_data!D50="Airport",1,0)</f>
        <v>0</v>
      </c>
      <c r="S50" s="0" t="n">
        <f aca="false">IF(cleaned_data!D50="Mall",1,0)</f>
        <v>1</v>
      </c>
      <c r="T50" s="0" t="n">
        <f aca="false">IF(cleaned_data!D50="Residential",1,0)</f>
        <v>0</v>
      </c>
    </row>
    <row r="51" customFormat="false" ht="15" hidden="false" customHeight="false" outlineLevel="0" collapsed="false">
      <c r="A51" s="0" t="str">
        <f aca="false">cleaned_data!A51</f>
        <v>STR-1013</v>
      </c>
      <c r="B51" s="0" t="str">
        <f aca="false">cleaned_data!B51</f>
        <v>2025-02-01</v>
      </c>
      <c r="C51" s="0" t="str">
        <f aca="false">cleaned_data!C51</f>
        <v>North</v>
      </c>
      <c r="D51" s="0" t="str">
        <f aca="false">cleaned_data!D51</f>
        <v>Mall</v>
      </c>
      <c r="E51" s="0" t="n">
        <f aca="false">cleaned_data!E51</f>
        <v>49710.29</v>
      </c>
      <c r="F51" s="0" t="n">
        <f aca="false">cleaned_data!F51</f>
        <v>5559</v>
      </c>
      <c r="G51" s="0" t="n">
        <f aca="false">cleaned_data!G51</f>
        <v>0.218</v>
      </c>
      <c r="H51" s="0" t="n">
        <f aca="false">cleaned_data!H51</f>
        <v>14</v>
      </c>
      <c r="I51" s="0" t="n">
        <f aca="false">cleaned_data!I51</f>
        <v>71</v>
      </c>
      <c r="J51" s="0" t="n">
        <f aca="false">cleaned_data!J51</f>
        <v>9.11</v>
      </c>
      <c r="K51" s="0" t="n">
        <f aca="false">cleaned_data!K51</f>
        <v>0</v>
      </c>
      <c r="L51" s="0" t="n">
        <f aca="false">cleaned_data!L51</f>
        <v>4.6</v>
      </c>
      <c r="M51" s="0" t="n">
        <f aca="false">cleaned_data!M51</f>
        <v>603297.57</v>
      </c>
      <c r="N51" s="0" t="n">
        <f aca="false">cleaned_data!N51</f>
        <v>60592.26</v>
      </c>
      <c r="O51" s="0" t="n">
        <f aca="false">IF(cleaned_data!C51="North",1,0)</f>
        <v>1</v>
      </c>
      <c r="P51" s="0" t="n">
        <f aca="false">IF(cleaned_data!C51="South",1,0)</f>
        <v>0</v>
      </c>
      <c r="Q51" s="0" t="n">
        <f aca="false">IF(cleaned_data!C51="West",1,0)</f>
        <v>0</v>
      </c>
      <c r="R51" s="0" t="n">
        <f aca="false">IF(cleaned_data!D51="Airport",1,0)</f>
        <v>0</v>
      </c>
      <c r="S51" s="0" t="n">
        <f aca="false">IF(cleaned_data!D51="Mall",1,0)</f>
        <v>1</v>
      </c>
      <c r="T51" s="0" t="n">
        <f aca="false">IF(cleaned_data!D51="Residential",1,0)</f>
        <v>0</v>
      </c>
    </row>
    <row r="52" customFormat="false" ht="15" hidden="false" customHeight="false" outlineLevel="0" collapsed="false">
      <c r="A52" s="0" t="str">
        <f aca="false">cleaned_data!A52</f>
        <v>STR-1013</v>
      </c>
      <c r="B52" s="0" t="str">
        <f aca="false">cleaned_data!B52</f>
        <v>2025-03-01</v>
      </c>
      <c r="C52" s="0" t="str">
        <f aca="false">cleaned_data!C52</f>
        <v>North</v>
      </c>
      <c r="D52" s="0" t="str">
        <f aca="false">cleaned_data!D52</f>
        <v>Mall</v>
      </c>
      <c r="E52" s="0" t="n">
        <f aca="false">cleaned_data!E52</f>
        <v>48287.85</v>
      </c>
      <c r="F52" s="0" t="n">
        <f aca="false">cleaned_data!F52</f>
        <v>5150</v>
      </c>
      <c r="G52" s="0" t="n">
        <f aca="false">cleaned_data!G52</f>
        <v>0.008</v>
      </c>
      <c r="H52" s="0" t="n">
        <f aca="false">cleaned_data!H52</f>
        <v>12</v>
      </c>
      <c r="I52" s="0" t="n">
        <f aca="false">cleaned_data!I52</f>
        <v>80.4</v>
      </c>
      <c r="J52" s="0" t="n">
        <f aca="false">cleaned_data!J52</f>
        <v>7.4</v>
      </c>
      <c r="K52" s="0" t="n">
        <f aca="false">cleaned_data!K52</f>
        <v>0</v>
      </c>
      <c r="L52" s="0" t="n">
        <f aca="false">cleaned_data!L52</f>
        <v>4.5</v>
      </c>
      <c r="M52" s="0" t="n">
        <f aca="false">cleaned_data!M52</f>
        <v>625672.86</v>
      </c>
      <c r="N52" s="0" t="n">
        <f aca="false">cleaned_data!N52</f>
        <v>118020.12</v>
      </c>
      <c r="O52" s="0" t="n">
        <f aca="false">IF(cleaned_data!C52="North",1,0)</f>
        <v>1</v>
      </c>
      <c r="P52" s="0" t="n">
        <f aca="false">IF(cleaned_data!C52="South",1,0)</f>
        <v>0</v>
      </c>
      <c r="Q52" s="0" t="n">
        <f aca="false">IF(cleaned_data!C52="West",1,0)</f>
        <v>0</v>
      </c>
      <c r="R52" s="0" t="n">
        <f aca="false">IF(cleaned_data!D52="Airport",1,0)</f>
        <v>0</v>
      </c>
      <c r="S52" s="0" t="n">
        <f aca="false">IF(cleaned_data!D52="Mall",1,0)</f>
        <v>1</v>
      </c>
      <c r="T52" s="0" t="n">
        <f aca="false">IF(cleaned_data!D52="Residential",1,0)</f>
        <v>0</v>
      </c>
    </row>
    <row r="53" customFormat="false" ht="15" hidden="false" customHeight="false" outlineLevel="0" collapsed="false">
      <c r="A53" s="0" t="str">
        <f aca="false">cleaned_data!A53</f>
        <v>STR-1013</v>
      </c>
      <c r="B53" s="0" t="str">
        <f aca="false">cleaned_data!B53</f>
        <v>2025-04-01</v>
      </c>
      <c r="C53" s="0" t="str">
        <f aca="false">cleaned_data!C53</f>
        <v>North</v>
      </c>
      <c r="D53" s="0" t="str">
        <f aca="false">cleaned_data!D53</f>
        <v>Mall</v>
      </c>
      <c r="E53" s="0" t="n">
        <f aca="false">cleaned_data!E53</f>
        <v>65312.49</v>
      </c>
      <c r="F53" s="0" t="n">
        <f aca="false">cleaned_data!F53</f>
        <v>7189</v>
      </c>
      <c r="G53" s="0" t="n">
        <f aca="false">cleaned_data!G53</f>
        <v>0.05</v>
      </c>
      <c r="H53" s="0" t="n">
        <f aca="false">cleaned_data!H53</f>
        <v>19</v>
      </c>
      <c r="I53" s="0" t="n">
        <f aca="false">cleaned_data!I53</f>
        <v>93.7</v>
      </c>
      <c r="J53" s="0" t="n">
        <f aca="false">cleaned_data!J53</f>
        <v>7.16</v>
      </c>
      <c r="K53" s="0" t="n">
        <f aca="false">cleaned_data!K53</f>
        <v>0</v>
      </c>
      <c r="L53" s="0" t="n">
        <f aca="false">cleaned_data!L53</f>
        <v>4.6</v>
      </c>
      <c r="M53" s="0" t="n">
        <f aca="false">cleaned_data!M53</f>
        <v>773815.14</v>
      </c>
      <c r="N53" s="0" t="n">
        <f aca="false">cleaned_data!N53</f>
        <v>133948.39</v>
      </c>
      <c r="O53" s="0" t="n">
        <f aca="false">IF(cleaned_data!C53="North",1,0)</f>
        <v>1</v>
      </c>
      <c r="P53" s="0" t="n">
        <f aca="false">IF(cleaned_data!C53="South",1,0)</f>
        <v>0</v>
      </c>
      <c r="Q53" s="0" t="n">
        <f aca="false">IF(cleaned_data!C53="West",1,0)</f>
        <v>0</v>
      </c>
      <c r="R53" s="0" t="n">
        <f aca="false">IF(cleaned_data!D53="Airport",1,0)</f>
        <v>0</v>
      </c>
      <c r="S53" s="0" t="n">
        <f aca="false">IF(cleaned_data!D53="Mall",1,0)</f>
        <v>1</v>
      </c>
      <c r="T53" s="0" t="n">
        <f aca="false">IF(cleaned_data!D53="Residential",1,0)</f>
        <v>0</v>
      </c>
    </row>
    <row r="54" customFormat="false" ht="15" hidden="false" customHeight="false" outlineLevel="0" collapsed="false">
      <c r="A54" s="0" t="str">
        <f aca="false">cleaned_data!A54</f>
        <v>STR-1014</v>
      </c>
      <c r="B54" s="0" t="str">
        <f aca="false">cleaned_data!B54</f>
        <v>2025-01-01</v>
      </c>
      <c r="C54" s="0" t="str">
        <f aca="false">cleaned_data!C54</f>
        <v>West</v>
      </c>
      <c r="D54" s="0" t="str">
        <f aca="false">cleaned_data!D54</f>
        <v>High Street</v>
      </c>
      <c r="E54" s="0" t="n">
        <f aca="false">cleaned_data!E54</f>
        <v>53015.46</v>
      </c>
      <c r="F54" s="0" t="n">
        <f aca="false">cleaned_data!F54</f>
        <v>3279</v>
      </c>
      <c r="G54" s="0" t="n">
        <f aca="false">cleaned_data!G54</f>
        <v>0.087</v>
      </c>
      <c r="H54" s="0" t="n">
        <f aca="false">cleaned_data!H54</f>
        <v>9</v>
      </c>
      <c r="I54" s="0" t="n">
        <f aca="false">cleaned_data!I54</f>
        <v>84.3</v>
      </c>
      <c r="J54" s="0" t="n">
        <f aca="false">cleaned_data!J54</f>
        <v>22.02</v>
      </c>
      <c r="K54" s="0" t="n">
        <f aca="false">cleaned_data!K54</f>
        <v>0</v>
      </c>
      <c r="L54" s="0" t="n">
        <f aca="false">cleaned_data!L54</f>
        <v>3.9</v>
      </c>
      <c r="M54" s="0" t="n">
        <f aca="false">cleaned_data!M54</f>
        <v>463534.25</v>
      </c>
      <c r="N54" s="0" t="n">
        <f aca="false">cleaned_data!N54</f>
        <v>81834.54</v>
      </c>
      <c r="O54" s="0" t="n">
        <f aca="false">IF(cleaned_data!C54="North",1,0)</f>
        <v>0</v>
      </c>
      <c r="P54" s="0" t="n">
        <f aca="false">IF(cleaned_data!C54="South",1,0)</f>
        <v>0</v>
      </c>
      <c r="Q54" s="0" t="n">
        <f aca="false">IF(cleaned_data!C54="West",1,0)</f>
        <v>1</v>
      </c>
      <c r="R54" s="0" t="n">
        <f aca="false">IF(cleaned_data!D54="Airport",1,0)</f>
        <v>0</v>
      </c>
      <c r="S54" s="0" t="n">
        <f aca="false">IF(cleaned_data!D54="Mall",1,0)</f>
        <v>0</v>
      </c>
      <c r="T54" s="0" t="n">
        <f aca="false">IF(cleaned_data!D54="Residential",1,0)</f>
        <v>0</v>
      </c>
    </row>
    <row r="55" customFormat="false" ht="15" hidden="false" customHeight="false" outlineLevel="0" collapsed="false">
      <c r="A55" s="0" t="str">
        <f aca="false">cleaned_data!A55</f>
        <v>STR-1014</v>
      </c>
      <c r="B55" s="0" t="str">
        <f aca="false">cleaned_data!B55</f>
        <v>2025-02-01</v>
      </c>
      <c r="C55" s="0" t="str">
        <f aca="false">cleaned_data!C55</f>
        <v>West</v>
      </c>
      <c r="D55" s="0" t="str">
        <f aca="false">cleaned_data!D55</f>
        <v>High Street</v>
      </c>
      <c r="E55" s="0" t="n">
        <f aca="false">cleaned_data!E55</f>
        <v>99874.01</v>
      </c>
      <c r="F55" s="0" t="n">
        <f aca="false">cleaned_data!F55</f>
        <v>5887</v>
      </c>
      <c r="G55" s="0" t="n">
        <f aca="false">cleaned_data!G55</f>
        <v>0.262</v>
      </c>
      <c r="H55" s="0" t="n">
        <f aca="false">cleaned_data!H55</f>
        <v>14</v>
      </c>
      <c r="I55" s="0" t="n">
        <f aca="false">cleaned_data!I55</f>
        <v>88.7</v>
      </c>
      <c r="J55" s="0" t="n">
        <f aca="false">cleaned_data!J55</f>
        <v>6.18</v>
      </c>
      <c r="K55" s="0" t="n">
        <f aca="false">cleaned_data!K55</f>
        <v>0</v>
      </c>
      <c r="L55" s="0" t="n">
        <f aca="false">cleaned_data!L55</f>
        <v>4.7</v>
      </c>
      <c r="M55" s="0" t="n">
        <f aca="false">cleaned_data!M55</f>
        <v>746677.75</v>
      </c>
      <c r="N55" s="0" t="n">
        <f aca="false">cleaned_data!N55</f>
        <v>122437.84</v>
      </c>
      <c r="O55" s="0" t="n">
        <f aca="false">IF(cleaned_data!C55="North",1,0)</f>
        <v>0</v>
      </c>
      <c r="P55" s="0" t="n">
        <f aca="false">IF(cleaned_data!C55="South",1,0)</f>
        <v>0</v>
      </c>
      <c r="Q55" s="0" t="n">
        <f aca="false">IF(cleaned_data!C55="West",1,0)</f>
        <v>1</v>
      </c>
      <c r="R55" s="0" t="n">
        <f aca="false">IF(cleaned_data!D55="Airport",1,0)</f>
        <v>0</v>
      </c>
      <c r="S55" s="0" t="n">
        <f aca="false">IF(cleaned_data!D55="Mall",1,0)</f>
        <v>0</v>
      </c>
      <c r="T55" s="0" t="n">
        <f aca="false">IF(cleaned_data!D55="Residential",1,0)</f>
        <v>0</v>
      </c>
    </row>
    <row r="56" customFormat="false" ht="15" hidden="false" customHeight="false" outlineLevel="0" collapsed="false">
      <c r="A56" s="0" t="str">
        <f aca="false">cleaned_data!A56</f>
        <v>STR-1014</v>
      </c>
      <c r="B56" s="0" t="str">
        <f aca="false">cleaned_data!B56</f>
        <v>2025-03-01</v>
      </c>
      <c r="C56" s="0" t="str">
        <f aca="false">cleaned_data!C56</f>
        <v>West</v>
      </c>
      <c r="D56" s="0" t="str">
        <f aca="false">cleaned_data!D56</f>
        <v>High Street</v>
      </c>
      <c r="E56" s="0" t="n">
        <f aca="false">cleaned_data!E56</f>
        <v>81195.5</v>
      </c>
      <c r="F56" s="0" t="n">
        <f aca="false">cleaned_data!F56</f>
        <v>5516</v>
      </c>
      <c r="G56" s="0" t="n">
        <f aca="false">cleaned_data!G56</f>
        <v>0.106</v>
      </c>
      <c r="H56" s="0" t="n">
        <f aca="false">cleaned_data!H56</f>
        <v>14</v>
      </c>
      <c r="I56" s="0" t="n">
        <f aca="false">cleaned_data!I56</f>
        <v>88</v>
      </c>
      <c r="J56" s="0" t="n">
        <f aca="false">cleaned_data!J56</f>
        <v>1.76</v>
      </c>
      <c r="K56" s="0" t="n">
        <f aca="false">cleaned_data!K56</f>
        <v>0</v>
      </c>
      <c r="L56" s="0" t="n">
        <f aca="false">cleaned_data!L56</f>
        <v>4.3</v>
      </c>
      <c r="M56" s="0" t="n">
        <f aca="false">cleaned_data!M56</f>
        <v>720852.5</v>
      </c>
      <c r="N56" s="0" t="n">
        <f aca="false">cleaned_data!N56</f>
        <v>98565.62</v>
      </c>
      <c r="O56" s="0" t="n">
        <f aca="false">IF(cleaned_data!C56="North",1,0)</f>
        <v>0</v>
      </c>
      <c r="P56" s="0" t="n">
        <f aca="false">IF(cleaned_data!C56="South",1,0)</f>
        <v>0</v>
      </c>
      <c r="Q56" s="0" t="n">
        <f aca="false">IF(cleaned_data!C56="West",1,0)</f>
        <v>1</v>
      </c>
      <c r="R56" s="0" t="n">
        <f aca="false">IF(cleaned_data!D56="Airport",1,0)</f>
        <v>0</v>
      </c>
      <c r="S56" s="0" t="n">
        <f aca="false">IF(cleaned_data!D56="Mall",1,0)</f>
        <v>0</v>
      </c>
      <c r="T56" s="0" t="n">
        <f aca="false">IF(cleaned_data!D56="Residential",1,0)</f>
        <v>0</v>
      </c>
    </row>
    <row r="57" customFormat="false" ht="15" hidden="false" customHeight="false" outlineLevel="0" collapsed="false">
      <c r="A57" s="0" t="str">
        <f aca="false">cleaned_data!A57</f>
        <v>STR-1014</v>
      </c>
      <c r="B57" s="0" t="str">
        <f aca="false">cleaned_data!B57</f>
        <v>2025-04-01</v>
      </c>
      <c r="C57" s="0" t="str">
        <f aca="false">cleaned_data!C57</f>
        <v>West</v>
      </c>
      <c r="D57" s="0" t="str">
        <f aca="false">cleaned_data!D57</f>
        <v>High Street</v>
      </c>
      <c r="E57" s="0" t="n">
        <f aca="false">cleaned_data!E57</f>
        <v>27808.6</v>
      </c>
      <c r="F57" s="0" t="n">
        <f aca="false">cleaned_data!F57</f>
        <v>2863</v>
      </c>
      <c r="G57" s="0" t="n">
        <f aca="false">cleaned_data!G57</f>
        <v>0.08</v>
      </c>
      <c r="H57" s="0" t="n">
        <f aca="false">cleaned_data!H57</f>
        <v>13</v>
      </c>
      <c r="I57" s="0" t="n">
        <f aca="false">cleaned_data!I57</f>
        <v>89.3</v>
      </c>
      <c r="J57" s="0" t="n">
        <f aca="false">cleaned_data!J57</f>
        <v>0.47</v>
      </c>
      <c r="K57" s="0" t="n">
        <f aca="false">cleaned_data!K57</f>
        <v>0</v>
      </c>
      <c r="L57" s="0" t="n">
        <f aca="false">cleaned_data!L57</f>
        <v>4.1</v>
      </c>
      <c r="M57" s="0" t="n">
        <f aca="false">cleaned_data!M57</f>
        <v>487464.91</v>
      </c>
      <c r="N57" s="0" t="n">
        <f aca="false">cleaned_data!N57</f>
        <v>64562.26</v>
      </c>
      <c r="O57" s="0" t="n">
        <f aca="false">IF(cleaned_data!C57="North",1,0)</f>
        <v>0</v>
      </c>
      <c r="P57" s="0" t="n">
        <f aca="false">IF(cleaned_data!C57="South",1,0)</f>
        <v>0</v>
      </c>
      <c r="Q57" s="0" t="n">
        <f aca="false">IF(cleaned_data!C57="West",1,0)</f>
        <v>1</v>
      </c>
      <c r="R57" s="0" t="n">
        <f aca="false">IF(cleaned_data!D57="Airport",1,0)</f>
        <v>0</v>
      </c>
      <c r="S57" s="0" t="n">
        <f aca="false">IF(cleaned_data!D57="Mall",1,0)</f>
        <v>0</v>
      </c>
      <c r="T57" s="0" t="n">
        <f aca="false">IF(cleaned_data!D57="Residential",1,0)</f>
        <v>0</v>
      </c>
    </row>
    <row r="58" customFormat="false" ht="15" hidden="false" customHeight="false" outlineLevel="0" collapsed="false">
      <c r="A58" s="0" t="str">
        <f aca="false">cleaned_data!A58</f>
        <v>STR-1015</v>
      </c>
      <c r="B58" s="0" t="str">
        <f aca="false">cleaned_data!B58</f>
        <v>2025-01-01</v>
      </c>
      <c r="C58" s="0" t="str">
        <f aca="false">cleaned_data!C58</f>
        <v>East</v>
      </c>
      <c r="D58" s="0" t="str">
        <f aca="false">cleaned_data!D58</f>
        <v>Airport</v>
      </c>
      <c r="E58" s="0" t="n">
        <f aca="false">cleaned_data!E58</f>
        <v>19365.06</v>
      </c>
      <c r="F58" s="0" t="n">
        <f aca="false">cleaned_data!F58</f>
        <v>2378</v>
      </c>
      <c r="G58" s="0" t="n">
        <f aca="false">cleaned_data!G58</f>
        <v>0</v>
      </c>
      <c r="H58" s="0" t="n">
        <f aca="false">cleaned_data!H58</f>
        <v>12</v>
      </c>
      <c r="I58" s="0" t="n">
        <f aca="false">cleaned_data!I58</f>
        <v>94.8</v>
      </c>
      <c r="J58" s="0" t="n">
        <f aca="false">cleaned_data!J58</f>
        <v>0.2</v>
      </c>
      <c r="K58" s="0" t="n">
        <f aca="false">cleaned_data!K58</f>
        <v>0</v>
      </c>
      <c r="L58" s="0" t="n">
        <f aca="false">cleaned_data!L58</f>
        <v>3.5</v>
      </c>
      <c r="M58" s="0" t="n">
        <f aca="false">cleaned_data!M58</f>
        <v>518049.26</v>
      </c>
      <c r="N58" s="0" t="n">
        <f aca="false">cleaned_data!N58</f>
        <v>108592.49</v>
      </c>
      <c r="O58" s="0" t="n">
        <f aca="false">IF(cleaned_data!C58="North",1,0)</f>
        <v>0</v>
      </c>
      <c r="P58" s="0" t="n">
        <f aca="false">IF(cleaned_data!C58="South",1,0)</f>
        <v>0</v>
      </c>
      <c r="Q58" s="0" t="n">
        <f aca="false">IF(cleaned_data!C58="West",1,0)</f>
        <v>0</v>
      </c>
      <c r="R58" s="0" t="n">
        <f aca="false">IF(cleaned_data!D58="Airport",1,0)</f>
        <v>1</v>
      </c>
      <c r="S58" s="0" t="n">
        <f aca="false">IF(cleaned_data!D58="Mall",1,0)</f>
        <v>0</v>
      </c>
      <c r="T58" s="0" t="n">
        <f aca="false">IF(cleaned_data!D58="Residential",1,0)</f>
        <v>0</v>
      </c>
    </row>
    <row r="59" customFormat="false" ht="15" hidden="false" customHeight="false" outlineLevel="0" collapsed="false">
      <c r="A59" s="0" t="str">
        <f aca="false">cleaned_data!A59</f>
        <v>STR-1015</v>
      </c>
      <c r="B59" s="0" t="str">
        <f aca="false">cleaned_data!B59</f>
        <v>2025-02-01</v>
      </c>
      <c r="C59" s="0" t="str">
        <f aca="false">cleaned_data!C59</f>
        <v>East</v>
      </c>
      <c r="D59" s="0" t="str">
        <f aca="false">cleaned_data!D59</f>
        <v>Airport</v>
      </c>
      <c r="E59" s="0" t="n">
        <f aca="false">cleaned_data!E59</f>
        <v>59405.68</v>
      </c>
      <c r="F59" s="0" t="n">
        <f aca="false">cleaned_data!F59</f>
        <v>2515</v>
      </c>
      <c r="G59" s="0" t="n">
        <f aca="false">cleaned_data!G59</f>
        <v>0.039</v>
      </c>
      <c r="H59" s="0" t="n">
        <f aca="false">cleaned_data!H59</f>
        <v>12</v>
      </c>
      <c r="I59" s="0" t="n">
        <f aca="false">cleaned_data!I59</f>
        <v>76</v>
      </c>
      <c r="J59" s="0" t="n">
        <f aca="false">cleaned_data!J59</f>
        <v>5.11</v>
      </c>
      <c r="K59" s="0" t="n">
        <f aca="false">cleaned_data!K59</f>
        <v>0</v>
      </c>
      <c r="L59" s="0" t="n">
        <f aca="false">cleaned_data!L59</f>
        <v>3.7</v>
      </c>
      <c r="M59" s="0" t="n">
        <f aca="false">cleaned_data!M59</f>
        <v>500298.48</v>
      </c>
      <c r="N59" s="0" t="n">
        <f aca="false">cleaned_data!N59</f>
        <v>73461.32</v>
      </c>
      <c r="O59" s="0" t="n">
        <f aca="false">IF(cleaned_data!C59="North",1,0)</f>
        <v>0</v>
      </c>
      <c r="P59" s="0" t="n">
        <f aca="false">IF(cleaned_data!C59="South",1,0)</f>
        <v>0</v>
      </c>
      <c r="Q59" s="0" t="n">
        <f aca="false">IF(cleaned_data!C59="West",1,0)</f>
        <v>0</v>
      </c>
      <c r="R59" s="0" t="n">
        <f aca="false">IF(cleaned_data!D59="Airport",1,0)</f>
        <v>1</v>
      </c>
      <c r="S59" s="0" t="n">
        <f aca="false">IF(cleaned_data!D59="Mall",1,0)</f>
        <v>0</v>
      </c>
      <c r="T59" s="0" t="n">
        <f aca="false">IF(cleaned_data!D59="Residential",1,0)</f>
        <v>0</v>
      </c>
    </row>
    <row r="60" customFormat="false" ht="15" hidden="false" customHeight="false" outlineLevel="0" collapsed="false">
      <c r="A60" s="0" t="str">
        <f aca="false">cleaned_data!A60</f>
        <v>STR-1015</v>
      </c>
      <c r="B60" s="0" t="str">
        <f aca="false">cleaned_data!B60</f>
        <v>2025-03-01</v>
      </c>
      <c r="C60" s="0" t="str">
        <f aca="false">cleaned_data!C60</f>
        <v>East</v>
      </c>
      <c r="D60" s="0" t="str">
        <f aca="false">cleaned_data!D60</f>
        <v>Airport</v>
      </c>
      <c r="E60" s="0" t="n">
        <f aca="false">cleaned_data!E60</f>
        <v>118910.48</v>
      </c>
      <c r="F60" s="0" t="n">
        <f aca="false">cleaned_data!F60</f>
        <v>4022</v>
      </c>
      <c r="G60" s="0" t="n">
        <f aca="false">cleaned_data!G60</f>
        <v>0.137</v>
      </c>
      <c r="H60" s="0" t="n">
        <f aca="false">cleaned_data!H60</f>
        <v>11</v>
      </c>
      <c r="I60" s="0" t="n">
        <f aca="false">cleaned_data!I60</f>
        <v>87.1</v>
      </c>
      <c r="J60" s="0" t="n">
        <f aca="false">cleaned_data!J60</f>
        <v>0.2</v>
      </c>
      <c r="K60" s="0" t="n">
        <f aca="false">cleaned_data!K60</f>
        <v>0</v>
      </c>
      <c r="L60" s="0" t="n">
        <f aca="false">cleaned_data!L60</f>
        <v>3.1</v>
      </c>
      <c r="M60" s="0" t="n">
        <f aca="false">cleaned_data!M60</f>
        <v>617291.15</v>
      </c>
      <c r="N60" s="0" t="n">
        <f aca="false">cleaned_data!N60</f>
        <v>117782</v>
      </c>
      <c r="O60" s="0" t="n">
        <f aca="false">IF(cleaned_data!C60="North",1,0)</f>
        <v>0</v>
      </c>
      <c r="P60" s="0" t="n">
        <f aca="false">IF(cleaned_data!C60="South",1,0)</f>
        <v>0</v>
      </c>
      <c r="Q60" s="0" t="n">
        <f aca="false">IF(cleaned_data!C60="West",1,0)</f>
        <v>0</v>
      </c>
      <c r="R60" s="0" t="n">
        <f aca="false">IF(cleaned_data!D60="Airport",1,0)</f>
        <v>1</v>
      </c>
      <c r="S60" s="0" t="n">
        <f aca="false">IF(cleaned_data!D60="Mall",1,0)</f>
        <v>0</v>
      </c>
      <c r="T60" s="0" t="n">
        <f aca="false">IF(cleaned_data!D60="Residential",1,0)</f>
        <v>0</v>
      </c>
    </row>
    <row r="61" customFormat="false" ht="15" hidden="false" customHeight="false" outlineLevel="0" collapsed="false">
      <c r="A61" s="0" t="str">
        <f aca="false">cleaned_data!A61</f>
        <v>STR-1015</v>
      </c>
      <c r="B61" s="0" t="str">
        <f aca="false">cleaned_data!B61</f>
        <v>2025-04-01</v>
      </c>
      <c r="C61" s="0" t="str">
        <f aca="false">cleaned_data!C61</f>
        <v>East</v>
      </c>
      <c r="D61" s="0" t="str">
        <f aca="false">cleaned_data!D61</f>
        <v>Airport</v>
      </c>
      <c r="E61" s="0" t="n">
        <f aca="false">cleaned_data!E61</f>
        <v>52952.12</v>
      </c>
      <c r="F61" s="0" t="n">
        <f aca="false">cleaned_data!F61</f>
        <v>4377</v>
      </c>
      <c r="G61" s="0" t="n">
        <f aca="false">cleaned_data!G61</f>
        <v>0.092</v>
      </c>
      <c r="H61" s="0" t="n">
        <f aca="false">cleaned_data!H61</f>
        <v>14</v>
      </c>
      <c r="I61" s="0" t="n">
        <f aca="false">cleaned_data!I61</f>
        <v>88.6</v>
      </c>
      <c r="J61" s="0" t="n">
        <f aca="false">cleaned_data!J61</f>
        <v>13.59</v>
      </c>
      <c r="K61" s="0" t="n">
        <f aca="false">cleaned_data!K61</f>
        <v>0</v>
      </c>
      <c r="L61" s="0" t="n">
        <f aca="false">cleaned_data!L61</f>
        <v>3.1</v>
      </c>
      <c r="M61" s="0" t="n">
        <f aca="false">cleaned_data!M61</f>
        <v>553756.43</v>
      </c>
      <c r="N61" s="0" t="n">
        <f aca="false">cleaned_data!N61</f>
        <v>86166.77</v>
      </c>
      <c r="O61" s="0" t="n">
        <f aca="false">IF(cleaned_data!C61="North",1,0)</f>
        <v>0</v>
      </c>
      <c r="P61" s="0" t="n">
        <f aca="false">IF(cleaned_data!C61="South",1,0)</f>
        <v>0</v>
      </c>
      <c r="Q61" s="0" t="n">
        <f aca="false">IF(cleaned_data!C61="West",1,0)</f>
        <v>0</v>
      </c>
      <c r="R61" s="0" t="n">
        <f aca="false">IF(cleaned_data!D61="Airport",1,0)</f>
        <v>1</v>
      </c>
      <c r="S61" s="0" t="n">
        <f aca="false">IF(cleaned_data!D61="Mall",1,0)</f>
        <v>0</v>
      </c>
      <c r="T61" s="0" t="n">
        <f aca="false">IF(cleaned_data!D61="Residential",1,0)</f>
        <v>0</v>
      </c>
    </row>
    <row r="62" customFormat="false" ht="15" hidden="false" customHeight="false" outlineLevel="0" collapsed="false">
      <c r="A62" s="0" t="str">
        <f aca="false">cleaned_data!A62</f>
        <v>STR-1016</v>
      </c>
      <c r="B62" s="0" t="str">
        <f aca="false">cleaned_data!B62</f>
        <v>2025-01-01</v>
      </c>
      <c r="C62" s="0" t="str">
        <f aca="false">cleaned_data!C62</f>
        <v>South</v>
      </c>
      <c r="D62" s="0" t="str">
        <f aca="false">cleaned_data!D62</f>
        <v>High Street</v>
      </c>
      <c r="E62" s="0" t="n">
        <f aca="false">cleaned_data!E62</f>
        <v>74907.98</v>
      </c>
      <c r="F62" s="0" t="n">
        <f aca="false">cleaned_data!F62</f>
        <v>5306</v>
      </c>
      <c r="G62" s="0" t="n">
        <f aca="false">cleaned_data!G62</f>
        <v>0.062</v>
      </c>
      <c r="H62" s="0" t="n">
        <f aca="false">cleaned_data!H62</f>
        <v>16</v>
      </c>
      <c r="I62" s="0" t="n">
        <f aca="false">cleaned_data!I62</f>
        <v>95.6</v>
      </c>
      <c r="J62" s="0" t="n">
        <f aca="false">cleaned_data!J62</f>
        <v>1.02</v>
      </c>
      <c r="K62" s="0" t="n">
        <f aca="false">cleaned_data!K62</f>
        <v>0</v>
      </c>
      <c r="L62" s="0" t="n">
        <f aca="false">cleaned_data!L62</f>
        <v>3.7</v>
      </c>
      <c r="M62" s="0" t="n">
        <f aca="false">cleaned_data!M62</f>
        <v>749559.71</v>
      </c>
      <c r="N62" s="0" t="n">
        <f aca="false">cleaned_data!N62</f>
        <v>144522.53</v>
      </c>
      <c r="O62" s="0" t="n">
        <f aca="false">IF(cleaned_data!C62="North",1,0)</f>
        <v>0</v>
      </c>
      <c r="P62" s="0" t="n">
        <f aca="false">IF(cleaned_data!C62="South",1,0)</f>
        <v>1</v>
      </c>
      <c r="Q62" s="0" t="n">
        <f aca="false">IF(cleaned_data!C62="West",1,0)</f>
        <v>0</v>
      </c>
      <c r="R62" s="0" t="n">
        <f aca="false">IF(cleaned_data!D62="Airport",1,0)</f>
        <v>0</v>
      </c>
      <c r="S62" s="0" t="n">
        <f aca="false">IF(cleaned_data!D62="Mall",1,0)</f>
        <v>0</v>
      </c>
      <c r="T62" s="0" t="n">
        <f aca="false">IF(cleaned_data!D62="Residential",1,0)</f>
        <v>0</v>
      </c>
    </row>
    <row r="63" customFormat="false" ht="15" hidden="false" customHeight="false" outlineLevel="0" collapsed="false">
      <c r="A63" s="0" t="str">
        <f aca="false">cleaned_data!A63</f>
        <v>STR-1016</v>
      </c>
      <c r="B63" s="0" t="str">
        <f aca="false">cleaned_data!B63</f>
        <v>2025-02-01</v>
      </c>
      <c r="C63" s="0" t="str">
        <f aca="false">cleaned_data!C63</f>
        <v>South</v>
      </c>
      <c r="D63" s="0" t="str">
        <f aca="false">cleaned_data!D63</f>
        <v>High Street</v>
      </c>
      <c r="E63" s="0" t="n">
        <f aca="false">cleaned_data!E63</f>
        <v>37284.66</v>
      </c>
      <c r="F63" s="0" t="n">
        <f aca="false">cleaned_data!F63</f>
        <v>3928</v>
      </c>
      <c r="G63" s="0" t="n">
        <f aca="false">cleaned_data!G63</f>
        <v>0.074</v>
      </c>
      <c r="H63" s="0" t="n">
        <f aca="false">cleaned_data!H63</f>
        <v>12</v>
      </c>
      <c r="I63" s="0" t="n">
        <f aca="false">cleaned_data!I63</f>
        <v>86.5</v>
      </c>
      <c r="J63" s="0" t="n">
        <f aca="false">cleaned_data!J63</f>
        <v>1.64</v>
      </c>
      <c r="K63" s="0" t="n">
        <f aca="false">cleaned_data!K63</f>
        <v>0</v>
      </c>
      <c r="L63" s="0" t="n">
        <f aca="false">cleaned_data!L63</f>
        <v>3.8</v>
      </c>
      <c r="M63" s="0" t="n">
        <f aca="false">cleaned_data!M63</f>
        <v>615966.48</v>
      </c>
      <c r="N63" s="0" t="n">
        <f aca="false">cleaned_data!N63</f>
        <v>91509.38</v>
      </c>
      <c r="O63" s="0" t="n">
        <f aca="false">IF(cleaned_data!C63="North",1,0)</f>
        <v>0</v>
      </c>
      <c r="P63" s="0" t="n">
        <f aca="false">IF(cleaned_data!C63="South",1,0)</f>
        <v>1</v>
      </c>
      <c r="Q63" s="0" t="n">
        <f aca="false">IF(cleaned_data!C63="West",1,0)</f>
        <v>0</v>
      </c>
      <c r="R63" s="0" t="n">
        <f aca="false">IF(cleaned_data!D63="Airport",1,0)</f>
        <v>0</v>
      </c>
      <c r="S63" s="0" t="n">
        <f aca="false">IF(cleaned_data!D63="Mall",1,0)</f>
        <v>0</v>
      </c>
      <c r="T63" s="0" t="n">
        <f aca="false">IF(cleaned_data!D63="Residential",1,0)</f>
        <v>0</v>
      </c>
    </row>
    <row r="64" customFormat="false" ht="15" hidden="false" customHeight="false" outlineLevel="0" collapsed="false">
      <c r="A64" s="0" t="str">
        <f aca="false">cleaned_data!A64</f>
        <v>STR-1016</v>
      </c>
      <c r="B64" s="0" t="str">
        <f aca="false">cleaned_data!B64</f>
        <v>2025-03-01</v>
      </c>
      <c r="C64" s="0" t="str">
        <f aca="false">cleaned_data!C64</f>
        <v>South</v>
      </c>
      <c r="D64" s="0" t="str">
        <f aca="false">cleaned_data!D64</f>
        <v>High Street</v>
      </c>
      <c r="E64" s="0" t="n">
        <f aca="false">cleaned_data!E64</f>
        <v>50343.19</v>
      </c>
      <c r="F64" s="0" t="n">
        <f aca="false">cleaned_data!F64</f>
        <v>3845</v>
      </c>
      <c r="G64" s="0" t="n">
        <f aca="false">cleaned_data!G64</f>
        <v>0.113</v>
      </c>
      <c r="H64" s="0" t="n">
        <f aca="false">cleaned_data!H64</f>
        <v>9</v>
      </c>
      <c r="I64" s="0" t="n">
        <f aca="false">cleaned_data!I64</f>
        <v>88.7</v>
      </c>
      <c r="J64" s="0" t="n">
        <f aca="false">cleaned_data!J64</f>
        <v>5.15</v>
      </c>
      <c r="K64" s="0" t="n">
        <f aca="false">cleaned_data!K64</f>
        <v>0</v>
      </c>
      <c r="L64" s="0" t="n">
        <f aca="false">cleaned_data!L64</f>
        <v>3.3</v>
      </c>
      <c r="M64" s="0" t="n">
        <f aca="false">cleaned_data!M64</f>
        <v>572011.2</v>
      </c>
      <c r="N64" s="0" t="n">
        <f aca="false">cleaned_data!N64</f>
        <v>101409.68</v>
      </c>
      <c r="O64" s="0" t="n">
        <f aca="false">IF(cleaned_data!C64="North",1,0)</f>
        <v>0</v>
      </c>
      <c r="P64" s="0" t="n">
        <f aca="false">IF(cleaned_data!C64="South",1,0)</f>
        <v>1</v>
      </c>
      <c r="Q64" s="0" t="n">
        <f aca="false">IF(cleaned_data!C64="West",1,0)</f>
        <v>0</v>
      </c>
      <c r="R64" s="0" t="n">
        <f aca="false">IF(cleaned_data!D64="Airport",1,0)</f>
        <v>0</v>
      </c>
      <c r="S64" s="0" t="n">
        <f aca="false">IF(cleaned_data!D64="Mall",1,0)</f>
        <v>0</v>
      </c>
      <c r="T64" s="0" t="n">
        <f aca="false">IF(cleaned_data!D64="Residential",1,0)</f>
        <v>0</v>
      </c>
    </row>
    <row r="65" customFormat="false" ht="15" hidden="false" customHeight="false" outlineLevel="0" collapsed="false">
      <c r="A65" s="0" t="str">
        <f aca="false">cleaned_data!A65</f>
        <v>STR-1016</v>
      </c>
      <c r="B65" s="0" t="str">
        <f aca="false">cleaned_data!B65</f>
        <v>2025-04-01</v>
      </c>
      <c r="C65" s="0" t="str">
        <f aca="false">cleaned_data!C65</f>
        <v>South</v>
      </c>
      <c r="D65" s="0" t="str">
        <f aca="false">cleaned_data!D65</f>
        <v>High Street</v>
      </c>
      <c r="E65" s="0" t="n">
        <f aca="false">cleaned_data!E65</f>
        <v>74954.47</v>
      </c>
      <c r="F65" s="0" t="n">
        <f aca="false">cleaned_data!F65</f>
        <v>6620</v>
      </c>
      <c r="G65" s="0" t="n">
        <f aca="false">cleaned_data!G65</f>
        <v>0.054</v>
      </c>
      <c r="H65" s="0" t="n">
        <f aca="false">cleaned_data!H65</f>
        <v>17</v>
      </c>
      <c r="I65" s="0" t="n">
        <f aca="false">cleaned_data!I65</f>
        <v>91.1</v>
      </c>
      <c r="J65" s="0" t="n">
        <f aca="false">cleaned_data!J65</f>
        <v>1.11</v>
      </c>
      <c r="K65" s="0" t="n">
        <f aca="false">cleaned_data!K65</f>
        <v>0</v>
      </c>
      <c r="L65" s="0" t="n">
        <f aca="false">cleaned_data!L65</f>
        <v>3.5</v>
      </c>
      <c r="M65" s="0" t="n">
        <f aca="false">cleaned_data!M65</f>
        <v>761860.19</v>
      </c>
      <c r="N65" s="0" t="n">
        <f aca="false">cleaned_data!N65</f>
        <v>133279.38</v>
      </c>
      <c r="O65" s="0" t="n">
        <f aca="false">IF(cleaned_data!C65="North",1,0)</f>
        <v>0</v>
      </c>
      <c r="P65" s="0" t="n">
        <f aca="false">IF(cleaned_data!C65="South",1,0)</f>
        <v>1</v>
      </c>
      <c r="Q65" s="0" t="n">
        <f aca="false">IF(cleaned_data!C65="West",1,0)</f>
        <v>0</v>
      </c>
      <c r="R65" s="0" t="n">
        <f aca="false">IF(cleaned_data!D65="Airport",1,0)</f>
        <v>0</v>
      </c>
      <c r="S65" s="0" t="n">
        <f aca="false">IF(cleaned_data!D65="Mall",1,0)</f>
        <v>0</v>
      </c>
      <c r="T65" s="0" t="n">
        <f aca="false">IF(cleaned_data!D65="Residential",1,0)</f>
        <v>0</v>
      </c>
    </row>
    <row r="66" customFormat="false" ht="15" hidden="false" customHeight="false" outlineLevel="0" collapsed="false">
      <c r="A66" s="0" t="str">
        <f aca="false">cleaned_data!A66</f>
        <v>STR-1017</v>
      </c>
      <c r="B66" s="0" t="str">
        <f aca="false">cleaned_data!B66</f>
        <v>2025-01-01</v>
      </c>
      <c r="C66" s="0" t="str">
        <f aca="false">cleaned_data!C66</f>
        <v>West</v>
      </c>
      <c r="D66" s="0" t="str">
        <f aca="false">cleaned_data!D66</f>
        <v>High Street</v>
      </c>
      <c r="E66" s="0" t="n">
        <f aca="false">cleaned_data!E66</f>
        <v>70040.31</v>
      </c>
      <c r="F66" s="0" t="n">
        <f aca="false">cleaned_data!F66</f>
        <v>9175</v>
      </c>
      <c r="G66" s="0" t="n">
        <f aca="false">cleaned_data!G66</f>
        <v>0.107</v>
      </c>
      <c r="H66" s="0" t="n">
        <f aca="false">cleaned_data!H66</f>
        <v>23</v>
      </c>
      <c r="I66" s="0" t="n">
        <f aca="false">cleaned_data!I66</f>
        <v>95.1</v>
      </c>
      <c r="J66" s="0" t="n">
        <f aca="false">cleaned_data!J66</f>
        <v>6.08</v>
      </c>
      <c r="K66" s="0" t="n">
        <f aca="false">cleaned_data!K66</f>
        <v>1</v>
      </c>
      <c r="L66" s="0" t="n">
        <f aca="false">cleaned_data!L66</f>
        <v>3.4</v>
      </c>
      <c r="M66" s="0" t="n">
        <f aca="false">cleaned_data!M66</f>
        <v>784502.68</v>
      </c>
      <c r="N66" s="0" t="n">
        <f aca="false">cleaned_data!N66</f>
        <v>129519.72</v>
      </c>
      <c r="O66" s="0" t="n">
        <f aca="false">IF(cleaned_data!C66="North",1,0)</f>
        <v>0</v>
      </c>
      <c r="P66" s="0" t="n">
        <f aca="false">IF(cleaned_data!C66="South",1,0)</f>
        <v>0</v>
      </c>
      <c r="Q66" s="0" t="n">
        <f aca="false">IF(cleaned_data!C66="West",1,0)</f>
        <v>1</v>
      </c>
      <c r="R66" s="0" t="n">
        <f aca="false">IF(cleaned_data!D66="Airport",1,0)</f>
        <v>0</v>
      </c>
      <c r="S66" s="0" t="n">
        <f aca="false">IF(cleaned_data!D66="Mall",1,0)</f>
        <v>0</v>
      </c>
      <c r="T66" s="0" t="n">
        <f aca="false">IF(cleaned_data!D66="Residential",1,0)</f>
        <v>0</v>
      </c>
    </row>
    <row r="67" customFormat="false" ht="15" hidden="false" customHeight="false" outlineLevel="0" collapsed="false">
      <c r="A67" s="0" t="str">
        <f aca="false">cleaned_data!A67</f>
        <v>STR-1017</v>
      </c>
      <c r="B67" s="0" t="str">
        <f aca="false">cleaned_data!B67</f>
        <v>2025-02-01</v>
      </c>
      <c r="C67" s="0" t="str">
        <f aca="false">cleaned_data!C67</f>
        <v>West</v>
      </c>
      <c r="D67" s="0" t="str">
        <f aca="false">cleaned_data!D67</f>
        <v>High Street</v>
      </c>
      <c r="E67" s="0" t="n">
        <f aca="false">cleaned_data!E67</f>
        <v>51148.69</v>
      </c>
      <c r="F67" s="0" t="n">
        <f aca="false">cleaned_data!F67</f>
        <v>7940</v>
      </c>
      <c r="G67" s="0" t="n">
        <f aca="false">cleaned_data!G67</f>
        <v>0.156</v>
      </c>
      <c r="H67" s="0" t="n">
        <f aca="false">cleaned_data!H67</f>
        <v>18</v>
      </c>
      <c r="I67" s="0" t="n">
        <f aca="false">cleaned_data!I67</f>
        <v>93.3</v>
      </c>
      <c r="J67" s="0" t="n">
        <f aca="false">cleaned_data!J67</f>
        <v>10.91</v>
      </c>
      <c r="K67" s="0" t="n">
        <f aca="false">cleaned_data!K67</f>
        <v>0</v>
      </c>
      <c r="L67" s="0" t="n">
        <f aca="false">cleaned_data!L67</f>
        <v>3.6</v>
      </c>
      <c r="M67" s="0" t="n">
        <f aca="false">cleaned_data!M67</f>
        <v>717141.55</v>
      </c>
      <c r="N67" s="0" t="n">
        <f aca="false">cleaned_data!N67</f>
        <v>134013.61</v>
      </c>
      <c r="O67" s="0" t="n">
        <f aca="false">IF(cleaned_data!C67="North",1,0)</f>
        <v>0</v>
      </c>
      <c r="P67" s="0" t="n">
        <f aca="false">IF(cleaned_data!C67="South",1,0)</f>
        <v>0</v>
      </c>
      <c r="Q67" s="0" t="n">
        <f aca="false">IF(cleaned_data!C67="West",1,0)</f>
        <v>1</v>
      </c>
      <c r="R67" s="0" t="n">
        <f aca="false">IF(cleaned_data!D67="Airport",1,0)</f>
        <v>0</v>
      </c>
      <c r="S67" s="0" t="n">
        <f aca="false">IF(cleaned_data!D67="Mall",1,0)</f>
        <v>0</v>
      </c>
      <c r="T67" s="0" t="n">
        <f aca="false">IF(cleaned_data!D67="Residential",1,0)</f>
        <v>0</v>
      </c>
    </row>
    <row r="68" customFormat="false" ht="15" hidden="false" customHeight="false" outlineLevel="0" collapsed="false">
      <c r="A68" s="0" t="str">
        <f aca="false">cleaned_data!A68</f>
        <v>STR-1017</v>
      </c>
      <c r="B68" s="0" t="str">
        <f aca="false">cleaned_data!B68</f>
        <v>2025-03-01</v>
      </c>
      <c r="C68" s="0" t="str">
        <f aca="false">cleaned_data!C68</f>
        <v>West</v>
      </c>
      <c r="D68" s="0" t="str">
        <f aca="false">cleaned_data!D68</f>
        <v>High Street</v>
      </c>
      <c r="E68" s="0" t="n">
        <f aca="false">cleaned_data!E68</f>
        <v>79346.1</v>
      </c>
      <c r="F68" s="0" t="n">
        <f aca="false">cleaned_data!F68</f>
        <v>9628</v>
      </c>
      <c r="G68" s="0" t="n">
        <f aca="false">cleaned_data!G68</f>
        <v>0.102</v>
      </c>
      <c r="H68" s="0" t="n">
        <f aca="false">cleaned_data!H68</f>
        <v>20</v>
      </c>
      <c r="I68" s="0" t="n">
        <f aca="false">cleaned_data!I68</f>
        <v>99</v>
      </c>
      <c r="J68" s="0" t="n">
        <f aca="false">cleaned_data!J68</f>
        <v>19.01</v>
      </c>
      <c r="K68" s="0" t="n">
        <f aca="false">cleaned_data!K68</f>
        <v>1</v>
      </c>
      <c r="L68" s="0" t="n">
        <f aca="false">cleaned_data!L68</f>
        <v>3.2</v>
      </c>
      <c r="M68" s="0" t="n">
        <f aca="false">cleaned_data!M68</f>
        <v>685379.08</v>
      </c>
      <c r="N68" s="0" t="n">
        <f aca="false">cleaned_data!N68</f>
        <v>106898.82</v>
      </c>
      <c r="O68" s="0" t="n">
        <f aca="false">IF(cleaned_data!C68="North",1,0)</f>
        <v>0</v>
      </c>
      <c r="P68" s="0" t="n">
        <f aca="false">IF(cleaned_data!C68="South",1,0)</f>
        <v>0</v>
      </c>
      <c r="Q68" s="0" t="n">
        <f aca="false">IF(cleaned_data!C68="West",1,0)</f>
        <v>1</v>
      </c>
      <c r="R68" s="0" t="n">
        <f aca="false">IF(cleaned_data!D68="Airport",1,0)</f>
        <v>0</v>
      </c>
      <c r="S68" s="0" t="n">
        <f aca="false">IF(cleaned_data!D68="Mall",1,0)</f>
        <v>0</v>
      </c>
      <c r="T68" s="0" t="n">
        <f aca="false">IF(cleaned_data!D68="Residential",1,0)</f>
        <v>0</v>
      </c>
    </row>
    <row r="69" customFormat="false" ht="15" hidden="false" customHeight="false" outlineLevel="0" collapsed="false">
      <c r="A69" s="0" t="str">
        <f aca="false">cleaned_data!A69</f>
        <v>STR-1017</v>
      </c>
      <c r="B69" s="0" t="str">
        <f aca="false">cleaned_data!B69</f>
        <v>2025-04-01</v>
      </c>
      <c r="C69" s="0" t="str">
        <f aca="false">cleaned_data!C69</f>
        <v>West</v>
      </c>
      <c r="D69" s="0" t="str">
        <f aca="false">cleaned_data!D69</f>
        <v>High Street</v>
      </c>
      <c r="E69" s="0" t="n">
        <f aca="false">cleaned_data!E69</f>
        <v>42018.4</v>
      </c>
      <c r="F69" s="0" t="n">
        <f aca="false">cleaned_data!F69</f>
        <v>8296</v>
      </c>
      <c r="G69" s="0" t="n">
        <f aca="false">cleaned_data!G69</f>
        <v>0.115</v>
      </c>
      <c r="H69" s="0" t="n">
        <f aca="false">cleaned_data!H69</f>
        <v>17</v>
      </c>
      <c r="I69" s="0" t="n">
        <f aca="false">cleaned_data!I69</f>
        <v>91.8</v>
      </c>
      <c r="J69" s="0" t="n">
        <f aca="false">cleaned_data!J69</f>
        <v>0.77</v>
      </c>
      <c r="K69" s="0" t="n">
        <f aca="false">cleaned_data!K69</f>
        <v>0</v>
      </c>
      <c r="L69" s="0" t="n">
        <f aca="false">cleaned_data!L69</f>
        <v>3.4</v>
      </c>
      <c r="M69" s="0" t="n">
        <f aca="false">cleaned_data!M69</f>
        <v>740496.65</v>
      </c>
      <c r="N69" s="0" t="n">
        <f aca="false">cleaned_data!N69</f>
        <v>128020.9</v>
      </c>
      <c r="O69" s="0" t="n">
        <f aca="false">IF(cleaned_data!C69="North",1,0)</f>
        <v>0</v>
      </c>
      <c r="P69" s="0" t="n">
        <f aca="false">IF(cleaned_data!C69="South",1,0)</f>
        <v>0</v>
      </c>
      <c r="Q69" s="0" t="n">
        <f aca="false">IF(cleaned_data!C69="West",1,0)</f>
        <v>1</v>
      </c>
      <c r="R69" s="0" t="n">
        <f aca="false">IF(cleaned_data!D69="Airport",1,0)</f>
        <v>0</v>
      </c>
      <c r="S69" s="0" t="n">
        <f aca="false">IF(cleaned_data!D69="Mall",1,0)</f>
        <v>0</v>
      </c>
      <c r="T69" s="0" t="n">
        <f aca="false">IF(cleaned_data!D69="Residential",1,0)</f>
        <v>0</v>
      </c>
    </row>
    <row r="70" customFormat="false" ht="15" hidden="false" customHeight="false" outlineLevel="0" collapsed="false">
      <c r="A70" s="0" t="str">
        <f aca="false">cleaned_data!A70</f>
        <v>STR-1018</v>
      </c>
      <c r="B70" s="0" t="str">
        <f aca="false">cleaned_data!B70</f>
        <v>2025-01-01</v>
      </c>
      <c r="C70" s="0" t="str">
        <f aca="false">cleaned_data!C70</f>
        <v>East</v>
      </c>
      <c r="D70" s="0" t="str">
        <f aca="false">cleaned_data!D70</f>
        <v>High Street</v>
      </c>
      <c r="E70" s="0" t="n">
        <f aca="false">cleaned_data!E70</f>
        <v>70937.24</v>
      </c>
      <c r="F70" s="0" t="n">
        <f aca="false">cleaned_data!F70</f>
        <v>3595</v>
      </c>
      <c r="G70" s="0" t="n">
        <f aca="false">cleaned_data!G70</f>
        <v>0.141</v>
      </c>
      <c r="H70" s="0" t="n">
        <f aca="false">cleaned_data!H70</f>
        <v>11</v>
      </c>
      <c r="I70" s="0" t="n">
        <f aca="false">cleaned_data!I70</f>
        <v>88.9</v>
      </c>
      <c r="J70" s="0" t="n">
        <f aca="false">cleaned_data!J70</f>
        <v>2.83</v>
      </c>
      <c r="K70" s="0" t="n">
        <f aca="false">cleaned_data!K70</f>
        <v>1</v>
      </c>
      <c r="L70" s="0" t="n">
        <f aca="false">cleaned_data!L70</f>
        <v>3.3</v>
      </c>
      <c r="M70" s="0" t="n">
        <f aca="false">cleaned_data!M70</f>
        <v>661927.14</v>
      </c>
      <c r="N70" s="0" t="n">
        <f aca="false">cleaned_data!N70</f>
        <v>79218.57</v>
      </c>
      <c r="O70" s="0" t="n">
        <f aca="false">IF(cleaned_data!C70="North",1,0)</f>
        <v>0</v>
      </c>
      <c r="P70" s="0" t="n">
        <f aca="false">IF(cleaned_data!C70="South",1,0)</f>
        <v>0</v>
      </c>
      <c r="Q70" s="0" t="n">
        <f aca="false">IF(cleaned_data!C70="West",1,0)</f>
        <v>0</v>
      </c>
      <c r="R70" s="0" t="n">
        <f aca="false">IF(cleaned_data!D70="Airport",1,0)</f>
        <v>0</v>
      </c>
      <c r="S70" s="0" t="n">
        <f aca="false">IF(cleaned_data!D70="Mall",1,0)</f>
        <v>0</v>
      </c>
      <c r="T70" s="0" t="n">
        <f aca="false">IF(cleaned_data!D70="Residential",1,0)</f>
        <v>0</v>
      </c>
    </row>
    <row r="71" customFormat="false" ht="15" hidden="false" customHeight="false" outlineLevel="0" collapsed="false">
      <c r="A71" s="0" t="str">
        <f aca="false">cleaned_data!A71</f>
        <v>STR-1018</v>
      </c>
      <c r="B71" s="0" t="str">
        <f aca="false">cleaned_data!B71</f>
        <v>2025-02-01</v>
      </c>
      <c r="C71" s="0" t="str">
        <f aca="false">cleaned_data!C71</f>
        <v>East</v>
      </c>
      <c r="D71" s="0" t="str">
        <f aca="false">cleaned_data!D71</f>
        <v>High Street</v>
      </c>
      <c r="E71" s="0" t="n">
        <f aca="false">cleaned_data!E71</f>
        <v>36813.45</v>
      </c>
      <c r="F71" s="0" t="n">
        <f aca="false">cleaned_data!F71</f>
        <v>2834</v>
      </c>
      <c r="G71" s="0" t="n">
        <f aca="false">cleaned_data!G71</f>
        <v>0.191</v>
      </c>
      <c r="H71" s="0" t="n">
        <f aca="false">cleaned_data!H71</f>
        <v>11</v>
      </c>
      <c r="I71" s="0" t="n">
        <f aca="false">cleaned_data!I71</f>
        <v>81.8</v>
      </c>
      <c r="J71" s="0" t="n">
        <f aca="false">cleaned_data!J71</f>
        <v>2.33</v>
      </c>
      <c r="K71" s="0" t="n">
        <f aca="false">cleaned_data!K71</f>
        <v>0</v>
      </c>
      <c r="L71" s="0" t="n">
        <f aca="false">cleaned_data!L71</f>
        <v>3.3</v>
      </c>
      <c r="M71" s="0" t="n">
        <f aca="false">cleaned_data!M71</f>
        <v>479050.5</v>
      </c>
      <c r="N71" s="0" t="n">
        <f aca="false">cleaned_data!N71</f>
        <v>53651.11</v>
      </c>
      <c r="O71" s="0" t="n">
        <f aca="false">IF(cleaned_data!C71="North",1,0)</f>
        <v>0</v>
      </c>
      <c r="P71" s="0" t="n">
        <f aca="false">IF(cleaned_data!C71="South",1,0)</f>
        <v>0</v>
      </c>
      <c r="Q71" s="0" t="n">
        <f aca="false">IF(cleaned_data!C71="West",1,0)</f>
        <v>0</v>
      </c>
      <c r="R71" s="0" t="n">
        <f aca="false">IF(cleaned_data!D71="Airport",1,0)</f>
        <v>0</v>
      </c>
      <c r="S71" s="0" t="n">
        <f aca="false">IF(cleaned_data!D71="Mall",1,0)</f>
        <v>0</v>
      </c>
      <c r="T71" s="0" t="n">
        <f aca="false">IF(cleaned_data!D71="Residential",1,0)</f>
        <v>0</v>
      </c>
    </row>
    <row r="72" customFormat="false" ht="15" hidden="false" customHeight="false" outlineLevel="0" collapsed="false">
      <c r="A72" s="0" t="str">
        <f aca="false">cleaned_data!A72</f>
        <v>STR-1018</v>
      </c>
      <c r="B72" s="0" t="str">
        <f aca="false">cleaned_data!B72</f>
        <v>2025-03-01</v>
      </c>
      <c r="C72" s="0" t="str">
        <f aca="false">cleaned_data!C72</f>
        <v>East</v>
      </c>
      <c r="D72" s="0" t="str">
        <f aca="false">cleaned_data!D72</f>
        <v>High Street</v>
      </c>
      <c r="E72" s="0" t="n">
        <f aca="false">cleaned_data!E72</f>
        <v>60571.82</v>
      </c>
      <c r="F72" s="0" t="n">
        <f aca="false">cleaned_data!F72</f>
        <v>3193</v>
      </c>
      <c r="G72" s="0" t="n">
        <f aca="false">cleaned_data!G72</f>
        <v>0.197</v>
      </c>
      <c r="H72" s="0" t="n">
        <f aca="false">cleaned_data!H72</f>
        <v>7</v>
      </c>
      <c r="I72" s="0" t="n">
        <f aca="false">cleaned_data!I72</f>
        <v>99</v>
      </c>
      <c r="J72" s="0" t="n">
        <f aca="false">cleaned_data!J72</f>
        <v>1.43</v>
      </c>
      <c r="K72" s="0" t="n">
        <f aca="false">cleaned_data!K72</f>
        <v>0</v>
      </c>
      <c r="L72" s="0" t="n">
        <f aca="false">cleaned_data!L72</f>
        <v>3.2</v>
      </c>
      <c r="M72" s="0" t="n">
        <f aca="false">cleaned_data!M72</f>
        <v>605023.87</v>
      </c>
      <c r="N72" s="0" t="n">
        <f aca="false">cleaned_data!N72</f>
        <v>98545.81</v>
      </c>
      <c r="O72" s="0" t="n">
        <f aca="false">IF(cleaned_data!C72="North",1,0)</f>
        <v>0</v>
      </c>
      <c r="P72" s="0" t="n">
        <f aca="false">IF(cleaned_data!C72="South",1,0)</f>
        <v>0</v>
      </c>
      <c r="Q72" s="0" t="n">
        <f aca="false">IF(cleaned_data!C72="West",1,0)</f>
        <v>0</v>
      </c>
      <c r="R72" s="0" t="n">
        <f aca="false">IF(cleaned_data!D72="Airport",1,0)</f>
        <v>0</v>
      </c>
      <c r="S72" s="0" t="n">
        <f aca="false">IF(cleaned_data!D72="Mall",1,0)</f>
        <v>0</v>
      </c>
      <c r="T72" s="0" t="n">
        <f aca="false">IF(cleaned_data!D72="Residential",1,0)</f>
        <v>0</v>
      </c>
    </row>
    <row r="73" customFormat="false" ht="15" hidden="false" customHeight="false" outlineLevel="0" collapsed="false">
      <c r="A73" s="0" t="str">
        <f aca="false">cleaned_data!A73</f>
        <v>STR-1018</v>
      </c>
      <c r="B73" s="0" t="str">
        <f aca="false">cleaned_data!B73</f>
        <v>2025-04-01</v>
      </c>
      <c r="C73" s="0" t="str">
        <f aca="false">cleaned_data!C73</f>
        <v>East</v>
      </c>
      <c r="D73" s="0" t="str">
        <f aca="false">cleaned_data!D73</f>
        <v>High Street</v>
      </c>
      <c r="E73" s="0" t="n">
        <f aca="false">cleaned_data!E73</f>
        <v>55081.16</v>
      </c>
      <c r="F73" s="0" t="n">
        <f aca="false">cleaned_data!F73</f>
        <v>5485</v>
      </c>
      <c r="G73" s="0" t="n">
        <f aca="false">cleaned_data!G73</f>
        <v>0.036</v>
      </c>
      <c r="H73" s="0" t="n">
        <f aca="false">cleaned_data!H73</f>
        <v>12</v>
      </c>
      <c r="I73" s="0" t="n">
        <f aca="false">cleaned_data!I73</f>
        <v>88</v>
      </c>
      <c r="J73" s="0" t="n">
        <f aca="false">cleaned_data!J73</f>
        <v>3.365</v>
      </c>
      <c r="K73" s="0" t="n">
        <f aca="false">cleaned_data!K73</f>
        <v>0</v>
      </c>
      <c r="L73" s="0" t="n">
        <f aca="false">cleaned_data!L73</f>
        <v>3.5</v>
      </c>
      <c r="M73" s="0" t="n">
        <f aca="false">cleaned_data!M73</f>
        <v>674774.09</v>
      </c>
      <c r="N73" s="0" t="n">
        <f aca="false">cleaned_data!N73</f>
        <v>141917.59</v>
      </c>
      <c r="O73" s="0" t="n">
        <f aca="false">IF(cleaned_data!C73="North",1,0)</f>
        <v>0</v>
      </c>
      <c r="P73" s="0" t="n">
        <f aca="false">IF(cleaned_data!C73="South",1,0)</f>
        <v>0</v>
      </c>
      <c r="Q73" s="0" t="n">
        <f aca="false">IF(cleaned_data!C73="West",1,0)</f>
        <v>0</v>
      </c>
      <c r="R73" s="0" t="n">
        <f aca="false">IF(cleaned_data!D73="Airport",1,0)</f>
        <v>0</v>
      </c>
      <c r="S73" s="0" t="n">
        <f aca="false">IF(cleaned_data!D73="Mall",1,0)</f>
        <v>0</v>
      </c>
      <c r="T73" s="0" t="n">
        <f aca="false">IF(cleaned_data!D73="Residential",1,0)</f>
        <v>0</v>
      </c>
    </row>
    <row r="74" customFormat="false" ht="15" hidden="false" customHeight="false" outlineLevel="0" collapsed="false">
      <c r="A74" s="0" t="str">
        <f aca="false">cleaned_data!A74</f>
        <v>STR-1019</v>
      </c>
      <c r="B74" s="0" t="str">
        <f aca="false">cleaned_data!B74</f>
        <v>2025-01-01</v>
      </c>
      <c r="C74" s="0" t="str">
        <f aca="false">cleaned_data!C74</f>
        <v>East</v>
      </c>
      <c r="D74" s="0" t="str">
        <f aca="false">cleaned_data!D74</f>
        <v>Residential</v>
      </c>
      <c r="E74" s="0" t="n">
        <f aca="false">cleaned_data!E74</f>
        <v>46201.46</v>
      </c>
      <c r="F74" s="0" t="n">
        <f aca="false">cleaned_data!F74</f>
        <v>5918</v>
      </c>
      <c r="G74" s="0" t="n">
        <f aca="false">cleaned_data!G74</f>
        <v>0.277</v>
      </c>
      <c r="H74" s="0" t="n">
        <f aca="false">cleaned_data!H74</f>
        <v>13</v>
      </c>
      <c r="I74" s="0" t="n">
        <f aca="false">cleaned_data!I74</f>
        <v>78.8</v>
      </c>
      <c r="J74" s="0" t="n">
        <f aca="false">cleaned_data!J74</f>
        <v>4.91</v>
      </c>
      <c r="K74" s="0" t="n">
        <f aca="false">cleaned_data!K74</f>
        <v>0</v>
      </c>
      <c r="L74" s="0" t="n">
        <f aca="false">cleaned_data!L74</f>
        <v>4.5</v>
      </c>
      <c r="M74" s="0" t="n">
        <f aca="false">cleaned_data!M74</f>
        <v>616069.41</v>
      </c>
      <c r="N74" s="0" t="n">
        <f aca="false">cleaned_data!N74</f>
        <v>54453.99</v>
      </c>
      <c r="O74" s="0" t="n">
        <f aca="false">IF(cleaned_data!C74="North",1,0)</f>
        <v>0</v>
      </c>
      <c r="P74" s="0" t="n">
        <f aca="false">IF(cleaned_data!C74="South",1,0)</f>
        <v>0</v>
      </c>
      <c r="Q74" s="0" t="n">
        <f aca="false">IF(cleaned_data!C74="West",1,0)</f>
        <v>0</v>
      </c>
      <c r="R74" s="0" t="n">
        <f aca="false">IF(cleaned_data!D74="Airport",1,0)</f>
        <v>0</v>
      </c>
      <c r="S74" s="0" t="n">
        <f aca="false">IF(cleaned_data!D74="Mall",1,0)</f>
        <v>0</v>
      </c>
      <c r="T74" s="0" t="n">
        <f aca="false">IF(cleaned_data!D74="Residential",1,0)</f>
        <v>1</v>
      </c>
    </row>
    <row r="75" customFormat="false" ht="15" hidden="false" customHeight="false" outlineLevel="0" collapsed="false">
      <c r="A75" s="0" t="str">
        <f aca="false">cleaned_data!A75</f>
        <v>STR-1019</v>
      </c>
      <c r="B75" s="0" t="str">
        <f aca="false">cleaned_data!B75</f>
        <v>2025-02-01</v>
      </c>
      <c r="C75" s="0" t="str">
        <f aca="false">cleaned_data!C75</f>
        <v>East</v>
      </c>
      <c r="D75" s="0" t="str">
        <f aca="false">cleaned_data!D75</f>
        <v>Residential</v>
      </c>
      <c r="E75" s="0" t="n">
        <f aca="false">cleaned_data!E75</f>
        <v>53762.92</v>
      </c>
      <c r="F75" s="0" t="n">
        <f aca="false">cleaned_data!F75</f>
        <v>6821</v>
      </c>
      <c r="G75" s="0" t="n">
        <f aca="false">cleaned_data!G75</f>
        <v>0.066</v>
      </c>
      <c r="H75" s="0" t="n">
        <f aca="false">cleaned_data!H75</f>
        <v>19</v>
      </c>
      <c r="I75" s="0" t="n">
        <f aca="false">cleaned_data!I75</f>
        <v>94.6</v>
      </c>
      <c r="J75" s="0" t="n">
        <f aca="false">cleaned_data!J75</f>
        <v>7.03</v>
      </c>
      <c r="K75" s="0" t="n">
        <f aca="false">cleaned_data!K75</f>
        <v>0</v>
      </c>
      <c r="L75" s="0" t="n">
        <f aca="false">cleaned_data!L75</f>
        <v>4.4</v>
      </c>
      <c r="M75" s="0" t="n">
        <f aca="false">cleaned_data!M75</f>
        <v>630829.94</v>
      </c>
      <c r="N75" s="0" t="n">
        <f aca="false">cleaned_data!N75</f>
        <v>117090.02</v>
      </c>
      <c r="O75" s="0" t="n">
        <f aca="false">IF(cleaned_data!C75="North",1,0)</f>
        <v>0</v>
      </c>
      <c r="P75" s="0" t="n">
        <f aca="false">IF(cleaned_data!C75="South",1,0)</f>
        <v>0</v>
      </c>
      <c r="Q75" s="0" t="n">
        <f aca="false">IF(cleaned_data!C75="West",1,0)</f>
        <v>0</v>
      </c>
      <c r="R75" s="0" t="n">
        <f aca="false">IF(cleaned_data!D75="Airport",1,0)</f>
        <v>0</v>
      </c>
      <c r="S75" s="0" t="n">
        <f aca="false">IF(cleaned_data!D75="Mall",1,0)</f>
        <v>0</v>
      </c>
      <c r="T75" s="0" t="n">
        <f aca="false">IF(cleaned_data!D75="Residential",1,0)</f>
        <v>1</v>
      </c>
    </row>
    <row r="76" customFormat="false" ht="15" hidden="false" customHeight="false" outlineLevel="0" collapsed="false">
      <c r="A76" s="0" t="str">
        <f aca="false">cleaned_data!A76</f>
        <v>STR-1019</v>
      </c>
      <c r="B76" s="0" t="str">
        <f aca="false">cleaned_data!B76</f>
        <v>2025-03-01</v>
      </c>
      <c r="C76" s="0" t="str">
        <f aca="false">cleaned_data!C76</f>
        <v>East</v>
      </c>
      <c r="D76" s="0" t="str">
        <f aca="false">cleaned_data!D76</f>
        <v>Residential</v>
      </c>
      <c r="E76" s="0" t="n">
        <f aca="false">cleaned_data!E76</f>
        <v>70144.78</v>
      </c>
      <c r="F76" s="0" t="n">
        <f aca="false">cleaned_data!F76</f>
        <v>6806</v>
      </c>
      <c r="G76" s="0" t="n">
        <f aca="false">cleaned_data!G76</f>
        <v>0.178</v>
      </c>
      <c r="H76" s="0" t="n">
        <f aca="false">cleaned_data!H76</f>
        <v>20</v>
      </c>
      <c r="I76" s="0" t="n">
        <f aca="false">cleaned_data!I76</f>
        <v>93.1</v>
      </c>
      <c r="J76" s="0" t="n">
        <f aca="false">cleaned_data!J76</f>
        <v>0.28</v>
      </c>
      <c r="K76" s="0" t="n">
        <f aca="false">cleaned_data!K76</f>
        <v>1</v>
      </c>
      <c r="L76" s="0" t="n">
        <f aca="false">cleaned_data!L76</f>
        <v>4.3</v>
      </c>
      <c r="M76" s="0" t="n">
        <f aca="false">cleaned_data!M76</f>
        <v>788087.68</v>
      </c>
      <c r="N76" s="0" t="n">
        <f aca="false">cleaned_data!N76</f>
        <v>116803.42</v>
      </c>
      <c r="O76" s="0" t="n">
        <f aca="false">IF(cleaned_data!C76="North",1,0)</f>
        <v>0</v>
      </c>
      <c r="P76" s="0" t="n">
        <f aca="false">IF(cleaned_data!C76="South",1,0)</f>
        <v>0</v>
      </c>
      <c r="Q76" s="0" t="n">
        <f aca="false">IF(cleaned_data!C76="West",1,0)</f>
        <v>0</v>
      </c>
      <c r="R76" s="0" t="n">
        <f aca="false">IF(cleaned_data!D76="Airport",1,0)</f>
        <v>0</v>
      </c>
      <c r="S76" s="0" t="n">
        <f aca="false">IF(cleaned_data!D76="Mall",1,0)</f>
        <v>0</v>
      </c>
      <c r="T76" s="0" t="n">
        <f aca="false">IF(cleaned_data!D76="Residential",1,0)</f>
        <v>1</v>
      </c>
    </row>
    <row r="77" customFormat="false" ht="15" hidden="false" customHeight="false" outlineLevel="0" collapsed="false">
      <c r="A77" s="0" t="str">
        <f aca="false">cleaned_data!A77</f>
        <v>STR-1019</v>
      </c>
      <c r="B77" s="0" t="str">
        <f aca="false">cleaned_data!B77</f>
        <v>2025-04-01</v>
      </c>
      <c r="C77" s="0" t="str">
        <f aca="false">cleaned_data!C77</f>
        <v>East</v>
      </c>
      <c r="D77" s="0" t="str">
        <f aca="false">cleaned_data!D77</f>
        <v>Residential</v>
      </c>
      <c r="E77" s="0" t="n">
        <f aca="false">cleaned_data!E77</f>
        <v>58749.63</v>
      </c>
      <c r="F77" s="0" t="n">
        <f aca="false">cleaned_data!F77</f>
        <v>8252</v>
      </c>
      <c r="G77" s="0" t="n">
        <f aca="false">cleaned_data!G77</f>
        <v>0.203</v>
      </c>
      <c r="H77" s="0" t="n">
        <f aca="false">cleaned_data!H77</f>
        <v>20</v>
      </c>
      <c r="I77" s="0" t="n">
        <f aca="false">cleaned_data!I77</f>
        <v>85.2</v>
      </c>
      <c r="J77" s="0" t="n">
        <f aca="false">cleaned_data!J77</f>
        <v>3.61</v>
      </c>
      <c r="K77" s="0" t="n">
        <f aca="false">cleaned_data!K77</f>
        <v>0</v>
      </c>
      <c r="L77" s="0" t="n">
        <f aca="false">cleaned_data!L77</f>
        <v>4.5</v>
      </c>
      <c r="M77" s="0" t="n">
        <f aca="false">cleaned_data!M77</f>
        <v>680840.36</v>
      </c>
      <c r="N77" s="0" t="n">
        <f aca="false">cleaned_data!N77</f>
        <v>68007.68</v>
      </c>
      <c r="O77" s="0" t="n">
        <f aca="false">IF(cleaned_data!C77="North",1,0)</f>
        <v>0</v>
      </c>
      <c r="P77" s="0" t="n">
        <f aca="false">IF(cleaned_data!C77="South",1,0)</f>
        <v>0</v>
      </c>
      <c r="Q77" s="0" t="n">
        <f aca="false">IF(cleaned_data!C77="West",1,0)</f>
        <v>0</v>
      </c>
      <c r="R77" s="0" t="n">
        <f aca="false">IF(cleaned_data!D77="Airport",1,0)</f>
        <v>0</v>
      </c>
      <c r="S77" s="0" t="n">
        <f aca="false">IF(cleaned_data!D77="Mall",1,0)</f>
        <v>0</v>
      </c>
      <c r="T77" s="0" t="n">
        <f aca="false">IF(cleaned_data!D77="Residential",1,0)</f>
        <v>1</v>
      </c>
    </row>
    <row r="78" customFormat="false" ht="15" hidden="false" customHeight="false" outlineLevel="0" collapsed="false">
      <c r="A78" s="0" t="str">
        <f aca="false">cleaned_data!A78</f>
        <v>STR-1020</v>
      </c>
      <c r="B78" s="0" t="str">
        <f aca="false">cleaned_data!B78</f>
        <v>2025-01-01</v>
      </c>
      <c r="C78" s="0" t="str">
        <f aca="false">cleaned_data!C78</f>
        <v>South</v>
      </c>
      <c r="D78" s="0" t="str">
        <f aca="false">cleaned_data!D78</f>
        <v>High Street</v>
      </c>
      <c r="E78" s="0" t="n">
        <f aca="false">cleaned_data!E78</f>
        <v>56973.18</v>
      </c>
      <c r="F78" s="0" t="n">
        <f aca="false">cleaned_data!F78</f>
        <v>6662</v>
      </c>
      <c r="G78" s="0" t="n">
        <f aca="false">cleaned_data!G78</f>
        <v>0.1</v>
      </c>
      <c r="H78" s="0" t="n">
        <f aca="false">cleaned_data!H78</f>
        <v>15</v>
      </c>
      <c r="I78" s="0" t="n">
        <f aca="false">cleaned_data!I78</f>
        <v>77.7</v>
      </c>
      <c r="J78" s="0" t="n">
        <f aca="false">cleaned_data!J78</f>
        <v>7.52</v>
      </c>
      <c r="K78" s="0" t="n">
        <f aca="false">cleaned_data!K78</f>
        <v>1</v>
      </c>
      <c r="L78" s="0" t="n">
        <f aca="false">cleaned_data!L78</f>
        <v>3.2</v>
      </c>
      <c r="M78" s="0" t="n">
        <f aca="false">cleaned_data!M78</f>
        <v>643657.47</v>
      </c>
      <c r="N78" s="0" t="n">
        <f aca="false">cleaned_data!N78</f>
        <v>87022.45</v>
      </c>
      <c r="O78" s="0" t="n">
        <f aca="false">IF(cleaned_data!C78="North",1,0)</f>
        <v>0</v>
      </c>
      <c r="P78" s="0" t="n">
        <f aca="false">IF(cleaned_data!C78="South",1,0)</f>
        <v>1</v>
      </c>
      <c r="Q78" s="0" t="n">
        <f aca="false">IF(cleaned_data!C78="West",1,0)</f>
        <v>0</v>
      </c>
      <c r="R78" s="0" t="n">
        <f aca="false">IF(cleaned_data!D78="Airport",1,0)</f>
        <v>0</v>
      </c>
      <c r="S78" s="0" t="n">
        <f aca="false">IF(cleaned_data!D78="Mall",1,0)</f>
        <v>0</v>
      </c>
      <c r="T78" s="0" t="n">
        <f aca="false">IF(cleaned_data!D78="Residential",1,0)</f>
        <v>0</v>
      </c>
    </row>
    <row r="79" customFormat="false" ht="15" hidden="false" customHeight="false" outlineLevel="0" collapsed="false">
      <c r="A79" s="0" t="str">
        <f aca="false">cleaned_data!A79</f>
        <v>STR-1020</v>
      </c>
      <c r="B79" s="0" t="str">
        <f aca="false">cleaned_data!B79</f>
        <v>2025-02-01</v>
      </c>
      <c r="C79" s="0" t="str">
        <f aca="false">cleaned_data!C79</f>
        <v>South</v>
      </c>
      <c r="D79" s="0" t="str">
        <f aca="false">cleaned_data!D79</f>
        <v>High Street</v>
      </c>
      <c r="E79" s="0" t="n">
        <f aca="false">cleaned_data!E79</f>
        <v>54872.82</v>
      </c>
      <c r="F79" s="0" t="n">
        <f aca="false">cleaned_data!F79</f>
        <v>5962</v>
      </c>
      <c r="G79" s="0" t="n">
        <f aca="false">cleaned_data!G79</f>
        <v>0.064</v>
      </c>
      <c r="H79" s="0" t="n">
        <f aca="false">cleaned_data!H79</f>
        <v>12</v>
      </c>
      <c r="I79" s="0" t="n">
        <f aca="false">cleaned_data!I79</f>
        <v>85.4</v>
      </c>
      <c r="J79" s="0" t="n">
        <f aca="false">cleaned_data!J79</f>
        <v>2.58</v>
      </c>
      <c r="K79" s="0" t="n">
        <f aca="false">cleaned_data!K79</f>
        <v>0</v>
      </c>
      <c r="L79" s="0" t="n">
        <f aca="false">cleaned_data!L79</f>
        <v>2.9</v>
      </c>
      <c r="M79" s="0" t="n">
        <f aca="false">cleaned_data!M79</f>
        <v>691112.6</v>
      </c>
      <c r="N79" s="0" t="n">
        <f aca="false">cleaned_data!N79</f>
        <v>109212.83</v>
      </c>
      <c r="O79" s="0" t="n">
        <f aca="false">IF(cleaned_data!C79="North",1,0)</f>
        <v>0</v>
      </c>
      <c r="P79" s="0" t="n">
        <f aca="false">IF(cleaned_data!C79="South",1,0)</f>
        <v>1</v>
      </c>
      <c r="Q79" s="0" t="n">
        <f aca="false">IF(cleaned_data!C79="West",1,0)</f>
        <v>0</v>
      </c>
      <c r="R79" s="0" t="n">
        <f aca="false">IF(cleaned_data!D79="Airport",1,0)</f>
        <v>0</v>
      </c>
      <c r="S79" s="0" t="n">
        <f aca="false">IF(cleaned_data!D79="Mall",1,0)</f>
        <v>0</v>
      </c>
      <c r="T79" s="0" t="n">
        <f aca="false">IF(cleaned_data!D79="Residential",1,0)</f>
        <v>0</v>
      </c>
    </row>
    <row r="80" customFormat="false" ht="15" hidden="false" customHeight="false" outlineLevel="0" collapsed="false">
      <c r="A80" s="0" t="str">
        <f aca="false">cleaned_data!A80</f>
        <v>STR-1020</v>
      </c>
      <c r="B80" s="0" t="str">
        <f aca="false">cleaned_data!B80</f>
        <v>2025-03-01</v>
      </c>
      <c r="C80" s="0" t="str">
        <f aca="false">cleaned_data!C80</f>
        <v>South</v>
      </c>
      <c r="D80" s="0" t="str">
        <f aca="false">cleaned_data!D80</f>
        <v>High Street</v>
      </c>
      <c r="E80" s="0" t="n">
        <f aca="false">cleaned_data!E80</f>
        <v>80562.81</v>
      </c>
      <c r="F80" s="0" t="n">
        <f aca="false">cleaned_data!F80</f>
        <v>7470</v>
      </c>
      <c r="G80" s="0" t="n">
        <f aca="false">cleaned_data!G80</f>
        <v>0.172</v>
      </c>
      <c r="H80" s="0" t="n">
        <f aca="false">cleaned_data!H80</f>
        <v>16</v>
      </c>
      <c r="I80" s="0" t="n">
        <f aca="false">cleaned_data!I80</f>
        <v>83.5</v>
      </c>
      <c r="J80" s="0" t="n">
        <f aca="false">cleaned_data!J80</f>
        <v>2.29</v>
      </c>
      <c r="K80" s="0" t="n">
        <f aca="false">cleaned_data!K80</f>
        <v>0</v>
      </c>
      <c r="L80" s="0" t="n">
        <f aca="false">cleaned_data!L80</f>
        <v>3.3</v>
      </c>
      <c r="M80" s="0" t="n">
        <f aca="false">cleaned_data!M80</f>
        <v>776922.17</v>
      </c>
      <c r="N80" s="0" t="n">
        <f aca="false">cleaned_data!N80</f>
        <v>150701.93</v>
      </c>
      <c r="O80" s="0" t="n">
        <f aca="false">IF(cleaned_data!C80="North",1,0)</f>
        <v>0</v>
      </c>
      <c r="P80" s="0" t="n">
        <f aca="false">IF(cleaned_data!C80="South",1,0)</f>
        <v>1</v>
      </c>
      <c r="Q80" s="0" t="n">
        <f aca="false">IF(cleaned_data!C80="West",1,0)</f>
        <v>0</v>
      </c>
      <c r="R80" s="0" t="n">
        <f aca="false">IF(cleaned_data!D80="Airport",1,0)</f>
        <v>0</v>
      </c>
      <c r="S80" s="0" t="n">
        <f aca="false">IF(cleaned_data!D80="Mall",1,0)</f>
        <v>0</v>
      </c>
      <c r="T80" s="0" t="n">
        <f aca="false">IF(cleaned_data!D80="Residential",1,0)</f>
        <v>0</v>
      </c>
    </row>
    <row r="81" customFormat="false" ht="15" hidden="false" customHeight="false" outlineLevel="0" collapsed="false">
      <c r="A81" s="0" t="str">
        <f aca="false">cleaned_data!A81</f>
        <v>STR-1020</v>
      </c>
      <c r="B81" s="0" t="str">
        <f aca="false">cleaned_data!B81</f>
        <v>2025-04-01</v>
      </c>
      <c r="C81" s="0" t="str">
        <f aca="false">cleaned_data!C81</f>
        <v>South</v>
      </c>
      <c r="D81" s="0" t="str">
        <f aca="false">cleaned_data!D81</f>
        <v>High Street</v>
      </c>
      <c r="E81" s="0" t="n">
        <f aca="false">cleaned_data!E81</f>
        <v>77999.9</v>
      </c>
      <c r="F81" s="0" t="n">
        <f aca="false">cleaned_data!F81</f>
        <v>5974</v>
      </c>
      <c r="G81" s="0" t="n">
        <f aca="false">cleaned_data!G81</f>
        <v>0.252</v>
      </c>
      <c r="H81" s="0" t="n">
        <f aca="false">cleaned_data!H81</f>
        <v>14</v>
      </c>
      <c r="I81" s="0" t="n">
        <f aca="false">cleaned_data!I81</f>
        <v>81.3</v>
      </c>
      <c r="J81" s="0" t="n">
        <f aca="false">cleaned_data!J81</f>
        <v>2.39</v>
      </c>
      <c r="K81" s="0" t="n">
        <f aca="false">cleaned_data!K81</f>
        <v>0</v>
      </c>
      <c r="L81" s="0" t="n">
        <f aca="false">cleaned_data!L81</f>
        <v>3.2</v>
      </c>
      <c r="M81" s="0" t="n">
        <f aca="false">cleaned_data!M81</f>
        <v>636561.34</v>
      </c>
      <c r="N81" s="0" t="n">
        <f aca="false">cleaned_data!N81</f>
        <v>93861.06</v>
      </c>
      <c r="O81" s="0" t="n">
        <f aca="false">IF(cleaned_data!C81="North",1,0)</f>
        <v>0</v>
      </c>
      <c r="P81" s="0" t="n">
        <f aca="false">IF(cleaned_data!C81="South",1,0)</f>
        <v>1</v>
      </c>
      <c r="Q81" s="0" t="n">
        <f aca="false">IF(cleaned_data!C81="West",1,0)</f>
        <v>0</v>
      </c>
      <c r="R81" s="0" t="n">
        <f aca="false">IF(cleaned_data!D81="Airport",1,0)</f>
        <v>0</v>
      </c>
      <c r="S81" s="0" t="n">
        <f aca="false">IF(cleaned_data!D81="Mall",1,0)</f>
        <v>0</v>
      </c>
      <c r="T81" s="0" t="n">
        <f aca="false">IF(cleaned_data!D81="Residential",1,0)</f>
        <v>0</v>
      </c>
    </row>
    <row r="82" customFormat="false" ht="15" hidden="false" customHeight="false" outlineLevel="0" collapsed="false">
      <c r="A82" s="0" t="str">
        <f aca="false">cleaned_data!A82</f>
        <v>STR-1021</v>
      </c>
      <c r="B82" s="0" t="str">
        <f aca="false">cleaned_data!B82</f>
        <v>2025-01-01</v>
      </c>
      <c r="C82" s="0" t="str">
        <f aca="false">cleaned_data!C82</f>
        <v>West</v>
      </c>
      <c r="D82" s="0" t="str">
        <f aca="false">cleaned_data!D82</f>
        <v>Mall</v>
      </c>
      <c r="E82" s="0" t="n">
        <f aca="false">cleaned_data!E82</f>
        <v>60881.01</v>
      </c>
      <c r="F82" s="0" t="n">
        <f aca="false">cleaned_data!F82</f>
        <v>5410</v>
      </c>
      <c r="G82" s="0" t="n">
        <f aca="false">cleaned_data!G82</f>
        <v>0.179</v>
      </c>
      <c r="H82" s="0" t="n">
        <f aca="false">cleaned_data!H82</f>
        <v>15</v>
      </c>
      <c r="I82" s="0" t="n">
        <f aca="false">cleaned_data!I82</f>
        <v>83.9</v>
      </c>
      <c r="J82" s="0" t="n">
        <f aca="false">cleaned_data!J82</f>
        <v>5.24</v>
      </c>
      <c r="K82" s="0" t="n">
        <f aca="false">cleaned_data!K82</f>
        <v>0</v>
      </c>
      <c r="L82" s="0" t="n">
        <f aca="false">cleaned_data!L82</f>
        <v>4.6</v>
      </c>
      <c r="M82" s="0" t="n">
        <f aca="false">cleaned_data!M82</f>
        <v>621369.58</v>
      </c>
      <c r="N82" s="0" t="n">
        <f aca="false">cleaned_data!N82</f>
        <v>85493.64</v>
      </c>
      <c r="O82" s="0" t="n">
        <f aca="false">IF(cleaned_data!C82="North",1,0)</f>
        <v>0</v>
      </c>
      <c r="P82" s="0" t="n">
        <f aca="false">IF(cleaned_data!C82="South",1,0)</f>
        <v>0</v>
      </c>
      <c r="Q82" s="0" t="n">
        <f aca="false">IF(cleaned_data!C82="West",1,0)</f>
        <v>1</v>
      </c>
      <c r="R82" s="0" t="n">
        <f aca="false">IF(cleaned_data!D82="Airport",1,0)</f>
        <v>0</v>
      </c>
      <c r="S82" s="0" t="n">
        <f aca="false">IF(cleaned_data!D82="Mall",1,0)</f>
        <v>1</v>
      </c>
      <c r="T82" s="0" t="n">
        <f aca="false">IF(cleaned_data!D82="Residential",1,0)</f>
        <v>0</v>
      </c>
    </row>
    <row r="83" customFormat="false" ht="15" hidden="false" customHeight="false" outlineLevel="0" collapsed="false">
      <c r="A83" s="0" t="str">
        <f aca="false">cleaned_data!A83</f>
        <v>STR-1021</v>
      </c>
      <c r="B83" s="0" t="str">
        <f aca="false">cleaned_data!B83</f>
        <v>2025-02-01</v>
      </c>
      <c r="C83" s="0" t="str">
        <f aca="false">cleaned_data!C83</f>
        <v>West</v>
      </c>
      <c r="D83" s="0" t="str">
        <f aca="false">cleaned_data!D83</f>
        <v>Mall</v>
      </c>
      <c r="E83" s="0" t="n">
        <f aca="false">cleaned_data!E83</f>
        <v>60628.38</v>
      </c>
      <c r="F83" s="0" t="n">
        <f aca="false">cleaned_data!F83</f>
        <v>4451</v>
      </c>
      <c r="G83" s="0" t="n">
        <f aca="false">cleaned_data!G83</f>
        <v>0.095</v>
      </c>
      <c r="H83" s="0" t="n">
        <f aca="false">cleaned_data!H83</f>
        <v>10</v>
      </c>
      <c r="I83" s="0" t="n">
        <f aca="false">cleaned_data!I83</f>
        <v>89.6</v>
      </c>
      <c r="J83" s="0" t="n">
        <f aca="false">cleaned_data!J83</f>
        <v>3.17</v>
      </c>
      <c r="K83" s="0" t="n">
        <f aca="false">cleaned_data!K83</f>
        <v>0</v>
      </c>
      <c r="L83" s="0" t="n">
        <f aca="false">cleaned_data!L83</f>
        <v>4.6</v>
      </c>
      <c r="M83" s="0" t="n">
        <f aca="false">cleaned_data!M83</f>
        <v>682208.01</v>
      </c>
      <c r="N83" s="0" t="n">
        <f aca="false">cleaned_data!N83</f>
        <v>110318.84</v>
      </c>
      <c r="O83" s="0" t="n">
        <f aca="false">IF(cleaned_data!C83="North",1,0)</f>
        <v>0</v>
      </c>
      <c r="P83" s="0" t="n">
        <f aca="false">IF(cleaned_data!C83="South",1,0)</f>
        <v>0</v>
      </c>
      <c r="Q83" s="0" t="n">
        <f aca="false">IF(cleaned_data!C83="West",1,0)</f>
        <v>1</v>
      </c>
      <c r="R83" s="0" t="n">
        <f aca="false">IF(cleaned_data!D83="Airport",1,0)</f>
        <v>0</v>
      </c>
      <c r="S83" s="0" t="n">
        <f aca="false">IF(cleaned_data!D83="Mall",1,0)</f>
        <v>1</v>
      </c>
      <c r="T83" s="0" t="n">
        <f aca="false">IF(cleaned_data!D83="Residential",1,0)</f>
        <v>0</v>
      </c>
    </row>
    <row r="84" customFormat="false" ht="15" hidden="false" customHeight="false" outlineLevel="0" collapsed="false">
      <c r="A84" s="0" t="str">
        <f aca="false">cleaned_data!A84</f>
        <v>STR-1021</v>
      </c>
      <c r="B84" s="0" t="str">
        <f aca="false">cleaned_data!B84</f>
        <v>2025-03-01</v>
      </c>
      <c r="C84" s="0" t="str">
        <f aca="false">cleaned_data!C84</f>
        <v>West</v>
      </c>
      <c r="D84" s="0" t="str">
        <f aca="false">cleaned_data!D84</f>
        <v>Mall</v>
      </c>
      <c r="E84" s="0" t="n">
        <f aca="false">cleaned_data!E84</f>
        <v>72731.14</v>
      </c>
      <c r="F84" s="0" t="n">
        <f aca="false">cleaned_data!F84</f>
        <v>4644</v>
      </c>
      <c r="G84" s="0" t="n">
        <f aca="false">cleaned_data!G84</f>
        <v>0.084</v>
      </c>
      <c r="H84" s="0" t="n">
        <f aca="false">cleaned_data!H84</f>
        <v>15</v>
      </c>
      <c r="I84" s="0" t="n">
        <f aca="false">cleaned_data!I84</f>
        <v>87.1</v>
      </c>
      <c r="J84" s="0" t="n">
        <f aca="false">cleaned_data!J84</f>
        <v>2.66</v>
      </c>
      <c r="K84" s="0" t="n">
        <f aca="false">cleaned_data!K84</f>
        <v>0</v>
      </c>
      <c r="L84" s="0" t="n">
        <f aca="false">cleaned_data!L84</f>
        <v>4.6</v>
      </c>
      <c r="M84" s="0" t="n">
        <f aca="false">cleaned_data!M84</f>
        <v>727241.86</v>
      </c>
      <c r="N84" s="0" t="n">
        <f aca="false">cleaned_data!N84</f>
        <v>155810.3</v>
      </c>
      <c r="O84" s="0" t="n">
        <f aca="false">IF(cleaned_data!C84="North",1,0)</f>
        <v>0</v>
      </c>
      <c r="P84" s="0" t="n">
        <f aca="false">IF(cleaned_data!C84="South",1,0)</f>
        <v>0</v>
      </c>
      <c r="Q84" s="0" t="n">
        <f aca="false">IF(cleaned_data!C84="West",1,0)</f>
        <v>1</v>
      </c>
      <c r="R84" s="0" t="n">
        <f aca="false">IF(cleaned_data!D84="Airport",1,0)</f>
        <v>0</v>
      </c>
      <c r="S84" s="0" t="n">
        <f aca="false">IF(cleaned_data!D84="Mall",1,0)</f>
        <v>1</v>
      </c>
      <c r="T84" s="0" t="n">
        <f aca="false">IF(cleaned_data!D84="Residential",1,0)</f>
        <v>0</v>
      </c>
    </row>
    <row r="85" customFormat="false" ht="15" hidden="false" customHeight="false" outlineLevel="0" collapsed="false">
      <c r="A85" s="0" t="str">
        <f aca="false">cleaned_data!A85</f>
        <v>STR-1021</v>
      </c>
      <c r="B85" s="0" t="str">
        <f aca="false">cleaned_data!B85</f>
        <v>2025-04-01</v>
      </c>
      <c r="C85" s="0" t="str">
        <f aca="false">cleaned_data!C85</f>
        <v>West</v>
      </c>
      <c r="D85" s="0" t="str">
        <f aca="false">cleaned_data!D85</f>
        <v>Mall</v>
      </c>
      <c r="E85" s="0" t="n">
        <f aca="false">cleaned_data!E85</f>
        <v>36475.71</v>
      </c>
      <c r="F85" s="0" t="n">
        <f aca="false">cleaned_data!F85</f>
        <v>3559</v>
      </c>
      <c r="G85" s="0" t="n">
        <f aca="false">cleaned_data!G85</f>
        <v>0.03</v>
      </c>
      <c r="H85" s="0" t="n">
        <f aca="false">cleaned_data!H85</f>
        <v>8</v>
      </c>
      <c r="I85" s="0" t="n">
        <f aca="false">cleaned_data!I85</f>
        <v>83.6</v>
      </c>
      <c r="J85" s="0" t="n">
        <f aca="false">cleaned_data!J85</f>
        <v>1.41</v>
      </c>
      <c r="K85" s="0" t="n">
        <f aca="false">cleaned_data!K85</f>
        <v>0</v>
      </c>
      <c r="L85" s="0" t="n">
        <f aca="false">cleaned_data!L85</f>
        <v>4.2</v>
      </c>
      <c r="M85" s="0" t="n">
        <f aca="false">cleaned_data!M85</f>
        <v>569100.78</v>
      </c>
      <c r="N85" s="0" t="n">
        <f aca="false">cleaned_data!N85</f>
        <v>104808.78</v>
      </c>
      <c r="O85" s="0" t="n">
        <f aca="false">IF(cleaned_data!C85="North",1,0)</f>
        <v>0</v>
      </c>
      <c r="P85" s="0" t="n">
        <f aca="false">IF(cleaned_data!C85="South",1,0)</f>
        <v>0</v>
      </c>
      <c r="Q85" s="0" t="n">
        <f aca="false">IF(cleaned_data!C85="West",1,0)</f>
        <v>1</v>
      </c>
      <c r="R85" s="0" t="n">
        <f aca="false">IF(cleaned_data!D85="Airport",1,0)</f>
        <v>0</v>
      </c>
      <c r="S85" s="0" t="n">
        <f aca="false">IF(cleaned_data!D85="Mall",1,0)</f>
        <v>1</v>
      </c>
      <c r="T85" s="0" t="n">
        <f aca="false">IF(cleaned_data!D85="Residential",1,0)</f>
        <v>0</v>
      </c>
    </row>
    <row r="86" customFormat="false" ht="15" hidden="false" customHeight="false" outlineLevel="0" collapsed="false">
      <c r="A86" s="0" t="str">
        <f aca="false">cleaned_data!A86</f>
        <v>STR-1022</v>
      </c>
      <c r="B86" s="0" t="str">
        <f aca="false">cleaned_data!B86</f>
        <v>2025-01-01</v>
      </c>
      <c r="C86" s="0" t="str">
        <f aca="false">cleaned_data!C86</f>
        <v>West</v>
      </c>
      <c r="D86" s="0" t="str">
        <f aca="false">cleaned_data!D86</f>
        <v>High Street</v>
      </c>
      <c r="E86" s="0" t="n">
        <f aca="false">cleaned_data!E86</f>
        <v>55388.11</v>
      </c>
      <c r="F86" s="0" t="n">
        <f aca="false">cleaned_data!F86</f>
        <v>3091</v>
      </c>
      <c r="G86" s="0" t="n">
        <f aca="false">cleaned_data!G86</f>
        <v>0.108</v>
      </c>
      <c r="H86" s="0" t="n">
        <f aca="false">cleaned_data!H86</f>
        <v>7</v>
      </c>
      <c r="I86" s="0" t="n">
        <f aca="false">cleaned_data!I86</f>
        <v>85.4</v>
      </c>
      <c r="J86" s="0" t="n">
        <f aca="false">cleaned_data!J86</f>
        <v>7.34</v>
      </c>
      <c r="K86" s="0" t="n">
        <f aca="false">cleaned_data!K86</f>
        <v>0</v>
      </c>
      <c r="L86" s="0" t="n">
        <f aca="false">cleaned_data!L86</f>
        <v>4.9</v>
      </c>
      <c r="M86" s="0" t="n">
        <f aca="false">cleaned_data!M86</f>
        <v>574436.29</v>
      </c>
      <c r="N86" s="0" t="n">
        <f aca="false">cleaned_data!N86</f>
        <v>80271.99</v>
      </c>
      <c r="O86" s="0" t="n">
        <f aca="false">IF(cleaned_data!C86="North",1,0)</f>
        <v>0</v>
      </c>
      <c r="P86" s="0" t="n">
        <f aca="false">IF(cleaned_data!C86="South",1,0)</f>
        <v>0</v>
      </c>
      <c r="Q86" s="0" t="n">
        <f aca="false">IF(cleaned_data!C86="West",1,0)</f>
        <v>1</v>
      </c>
      <c r="R86" s="0" t="n">
        <f aca="false">IF(cleaned_data!D86="Airport",1,0)</f>
        <v>0</v>
      </c>
      <c r="S86" s="0" t="n">
        <f aca="false">IF(cleaned_data!D86="Mall",1,0)</f>
        <v>0</v>
      </c>
      <c r="T86" s="0" t="n">
        <f aca="false">IF(cleaned_data!D86="Residential",1,0)</f>
        <v>0</v>
      </c>
    </row>
    <row r="87" customFormat="false" ht="15" hidden="false" customHeight="false" outlineLevel="0" collapsed="false">
      <c r="A87" s="0" t="str">
        <f aca="false">cleaned_data!A87</f>
        <v>STR-1022</v>
      </c>
      <c r="B87" s="0" t="str">
        <f aca="false">cleaned_data!B87</f>
        <v>2025-02-01</v>
      </c>
      <c r="C87" s="0" t="str">
        <f aca="false">cleaned_data!C87</f>
        <v>West</v>
      </c>
      <c r="D87" s="0" t="str">
        <f aca="false">cleaned_data!D87</f>
        <v>High Street</v>
      </c>
      <c r="E87" s="0" t="n">
        <f aca="false">cleaned_data!E87</f>
        <v>88443.77</v>
      </c>
      <c r="F87" s="0" t="n">
        <f aca="false">cleaned_data!F87</f>
        <v>4004</v>
      </c>
      <c r="G87" s="0" t="n">
        <f aca="false">cleaned_data!G87</f>
        <v>0.206</v>
      </c>
      <c r="H87" s="0" t="n">
        <f aca="false">cleaned_data!H87</f>
        <v>11</v>
      </c>
      <c r="I87" s="0" t="n">
        <f aca="false">cleaned_data!I87</f>
        <v>91.9</v>
      </c>
      <c r="J87" s="0" t="n">
        <f aca="false">cleaned_data!J87</f>
        <v>5.95</v>
      </c>
      <c r="K87" s="0" t="n">
        <f aca="false">cleaned_data!K87</f>
        <v>0</v>
      </c>
      <c r="L87" s="0" t="n">
        <f aca="false">cleaned_data!L87</f>
        <v>3.9</v>
      </c>
      <c r="M87" s="0" t="n">
        <f aca="false">cleaned_data!M87</f>
        <v>611766.72</v>
      </c>
      <c r="N87" s="0" t="n">
        <f aca="false">cleaned_data!N87</f>
        <v>88275.61</v>
      </c>
      <c r="O87" s="0" t="n">
        <f aca="false">IF(cleaned_data!C87="North",1,0)</f>
        <v>0</v>
      </c>
      <c r="P87" s="0" t="n">
        <f aca="false">IF(cleaned_data!C87="South",1,0)</f>
        <v>0</v>
      </c>
      <c r="Q87" s="0" t="n">
        <f aca="false">IF(cleaned_data!C87="West",1,0)</f>
        <v>1</v>
      </c>
      <c r="R87" s="0" t="n">
        <f aca="false">IF(cleaned_data!D87="Airport",1,0)</f>
        <v>0</v>
      </c>
      <c r="S87" s="0" t="n">
        <f aca="false">IF(cleaned_data!D87="Mall",1,0)</f>
        <v>0</v>
      </c>
      <c r="T87" s="0" t="n">
        <f aca="false">IF(cleaned_data!D87="Residential",1,0)</f>
        <v>0</v>
      </c>
    </row>
    <row r="88" customFormat="false" ht="15" hidden="false" customHeight="false" outlineLevel="0" collapsed="false">
      <c r="A88" s="0" t="str">
        <f aca="false">cleaned_data!A88</f>
        <v>STR-1022</v>
      </c>
      <c r="B88" s="0" t="str">
        <f aca="false">cleaned_data!B88</f>
        <v>2025-03-01</v>
      </c>
      <c r="C88" s="0" t="str">
        <f aca="false">cleaned_data!C88</f>
        <v>West</v>
      </c>
      <c r="D88" s="0" t="str">
        <f aca="false">cleaned_data!D88</f>
        <v>High Street</v>
      </c>
      <c r="E88" s="0" t="n">
        <f aca="false">cleaned_data!E88</f>
        <v>78231.91</v>
      </c>
      <c r="F88" s="0" t="n">
        <f aca="false">cleaned_data!F88</f>
        <v>3788</v>
      </c>
      <c r="G88" s="0" t="n">
        <f aca="false">cleaned_data!G88</f>
        <v>0.059</v>
      </c>
      <c r="H88" s="0" t="n">
        <f aca="false">cleaned_data!H88</f>
        <v>11</v>
      </c>
      <c r="I88" s="0" t="n">
        <f aca="false">cleaned_data!I88</f>
        <v>88.5</v>
      </c>
      <c r="J88" s="0" t="n">
        <f aca="false">cleaned_data!J88</f>
        <v>15.51</v>
      </c>
      <c r="K88" s="0" t="n">
        <f aca="false">cleaned_data!K88</f>
        <v>0</v>
      </c>
      <c r="L88" s="0" t="n">
        <f aca="false">cleaned_data!L88</f>
        <v>4.3</v>
      </c>
      <c r="M88" s="0" t="n">
        <f aca="false">cleaned_data!M88</f>
        <v>614596.32</v>
      </c>
      <c r="N88" s="0" t="n">
        <f aca="false">cleaned_data!N88</f>
        <v>131199.41</v>
      </c>
      <c r="O88" s="0" t="n">
        <f aca="false">IF(cleaned_data!C88="North",1,0)</f>
        <v>0</v>
      </c>
      <c r="P88" s="0" t="n">
        <f aca="false">IF(cleaned_data!C88="South",1,0)</f>
        <v>0</v>
      </c>
      <c r="Q88" s="0" t="n">
        <f aca="false">IF(cleaned_data!C88="West",1,0)</f>
        <v>1</v>
      </c>
      <c r="R88" s="0" t="n">
        <f aca="false">IF(cleaned_data!D88="Airport",1,0)</f>
        <v>0</v>
      </c>
      <c r="S88" s="0" t="n">
        <f aca="false">IF(cleaned_data!D88="Mall",1,0)</f>
        <v>0</v>
      </c>
      <c r="T88" s="0" t="n">
        <f aca="false">IF(cleaned_data!D88="Residential",1,0)</f>
        <v>0</v>
      </c>
    </row>
    <row r="89" customFormat="false" ht="15" hidden="false" customHeight="false" outlineLevel="0" collapsed="false">
      <c r="A89" s="0" t="str">
        <f aca="false">cleaned_data!A89</f>
        <v>STR-1022</v>
      </c>
      <c r="B89" s="0" t="str">
        <f aca="false">cleaned_data!B89</f>
        <v>2025-04-01</v>
      </c>
      <c r="C89" s="0" t="str">
        <f aca="false">cleaned_data!C89</f>
        <v>West</v>
      </c>
      <c r="D89" s="0" t="str">
        <f aca="false">cleaned_data!D89</f>
        <v>High Street</v>
      </c>
      <c r="E89" s="0" t="n">
        <f aca="false">cleaned_data!E89</f>
        <v>18996.32</v>
      </c>
      <c r="F89" s="0" t="n">
        <f aca="false">cleaned_data!F89</f>
        <v>1260</v>
      </c>
      <c r="G89" s="0" t="n">
        <f aca="false">cleaned_data!G89</f>
        <v>0.145</v>
      </c>
      <c r="H89" s="0" t="n">
        <f aca="false">cleaned_data!H89</f>
        <v>9</v>
      </c>
      <c r="I89" s="0" t="n">
        <f aca="false">cleaned_data!I89</f>
        <v>86.4</v>
      </c>
      <c r="J89" s="0" t="n">
        <f aca="false">cleaned_data!J89</f>
        <v>4.31</v>
      </c>
      <c r="K89" s="0" t="n">
        <f aca="false">cleaned_data!K89</f>
        <v>0</v>
      </c>
      <c r="L89" s="0" t="n">
        <f aca="false">cleaned_data!L89</f>
        <v>4.6</v>
      </c>
      <c r="M89" s="0" t="n">
        <f aca="false">cleaned_data!M89</f>
        <v>450711.92</v>
      </c>
      <c r="N89" s="0" t="n">
        <f aca="false">cleaned_data!N89</f>
        <v>90043.76</v>
      </c>
      <c r="O89" s="0" t="n">
        <f aca="false">IF(cleaned_data!C89="North",1,0)</f>
        <v>0</v>
      </c>
      <c r="P89" s="0" t="n">
        <f aca="false">IF(cleaned_data!C89="South",1,0)</f>
        <v>0</v>
      </c>
      <c r="Q89" s="0" t="n">
        <f aca="false">IF(cleaned_data!C89="West",1,0)</f>
        <v>1</v>
      </c>
      <c r="R89" s="0" t="n">
        <f aca="false">IF(cleaned_data!D89="Airport",1,0)</f>
        <v>0</v>
      </c>
      <c r="S89" s="0" t="n">
        <f aca="false">IF(cleaned_data!D89="Mall",1,0)</f>
        <v>0</v>
      </c>
      <c r="T89" s="0" t="n">
        <f aca="false">IF(cleaned_data!D89="Residential",1,0)</f>
        <v>0</v>
      </c>
    </row>
    <row r="90" customFormat="false" ht="15" hidden="false" customHeight="false" outlineLevel="0" collapsed="false">
      <c r="A90" s="0" t="str">
        <f aca="false">cleaned_data!A90</f>
        <v>STR-1023</v>
      </c>
      <c r="B90" s="0" t="str">
        <f aca="false">cleaned_data!B90</f>
        <v>2025-01-01</v>
      </c>
      <c r="C90" s="0" t="str">
        <f aca="false">cleaned_data!C90</f>
        <v>South</v>
      </c>
      <c r="D90" s="0" t="str">
        <f aca="false">cleaned_data!D90</f>
        <v>Mall</v>
      </c>
      <c r="E90" s="0" t="n">
        <f aca="false">cleaned_data!E90</f>
        <v>50517.94</v>
      </c>
      <c r="F90" s="0" t="n">
        <f aca="false">cleaned_data!F90</f>
        <v>7024</v>
      </c>
      <c r="G90" s="0" t="n">
        <f aca="false">cleaned_data!G90</f>
        <v>0.029</v>
      </c>
      <c r="H90" s="0" t="n">
        <f aca="false">cleaned_data!H90</f>
        <v>18</v>
      </c>
      <c r="I90" s="0" t="n">
        <f aca="false">cleaned_data!I90</f>
        <v>79.2</v>
      </c>
      <c r="J90" s="0" t="n">
        <f aca="false">cleaned_data!J90</f>
        <v>6.61</v>
      </c>
      <c r="K90" s="0" t="n">
        <f aca="false">cleaned_data!K90</f>
        <v>1</v>
      </c>
      <c r="L90" s="0" t="n">
        <f aca="false">cleaned_data!L90</f>
        <v>4.1</v>
      </c>
      <c r="M90" s="0" t="n">
        <f aca="false">cleaned_data!M90</f>
        <v>711213.46</v>
      </c>
      <c r="N90" s="0" t="n">
        <f aca="false">cleaned_data!N90</f>
        <v>105863.26</v>
      </c>
      <c r="O90" s="0" t="n">
        <f aca="false">IF(cleaned_data!C90="North",1,0)</f>
        <v>0</v>
      </c>
      <c r="P90" s="0" t="n">
        <f aca="false">IF(cleaned_data!C90="South",1,0)</f>
        <v>1</v>
      </c>
      <c r="Q90" s="0" t="n">
        <f aca="false">IF(cleaned_data!C90="West",1,0)</f>
        <v>0</v>
      </c>
      <c r="R90" s="0" t="n">
        <f aca="false">IF(cleaned_data!D90="Airport",1,0)</f>
        <v>0</v>
      </c>
      <c r="S90" s="0" t="n">
        <f aca="false">IF(cleaned_data!D90="Mall",1,0)</f>
        <v>1</v>
      </c>
      <c r="T90" s="0" t="n">
        <f aca="false">IF(cleaned_data!D90="Residential",1,0)</f>
        <v>0</v>
      </c>
    </row>
    <row r="91" customFormat="false" ht="15" hidden="false" customHeight="false" outlineLevel="0" collapsed="false">
      <c r="A91" s="0" t="str">
        <f aca="false">cleaned_data!A91</f>
        <v>STR-1023</v>
      </c>
      <c r="B91" s="0" t="str">
        <f aca="false">cleaned_data!B91</f>
        <v>2025-02-01</v>
      </c>
      <c r="C91" s="0" t="str">
        <f aca="false">cleaned_data!C91</f>
        <v>South</v>
      </c>
      <c r="D91" s="0" t="str">
        <f aca="false">cleaned_data!D91</f>
        <v>Mall</v>
      </c>
      <c r="E91" s="0" t="n">
        <f aca="false">cleaned_data!E91</f>
        <v>141540.29</v>
      </c>
      <c r="F91" s="0" t="n">
        <f aca="false">cleaned_data!F91</f>
        <v>5400</v>
      </c>
      <c r="G91" s="0" t="n">
        <f aca="false">cleaned_data!G91</f>
        <v>0.013</v>
      </c>
      <c r="H91" s="0" t="n">
        <f aca="false">cleaned_data!H91</f>
        <v>12</v>
      </c>
      <c r="I91" s="0" t="n">
        <f aca="false">cleaned_data!I91</f>
        <v>87</v>
      </c>
      <c r="J91" s="0" t="n">
        <f aca="false">cleaned_data!J91</f>
        <v>4.26</v>
      </c>
      <c r="K91" s="0" t="n">
        <f aca="false">cleaned_data!K91</f>
        <v>0</v>
      </c>
      <c r="L91" s="0" t="n">
        <f aca="false">cleaned_data!L91</f>
        <v>4.5</v>
      </c>
      <c r="M91" s="0" t="n">
        <f aca="false">cleaned_data!M91</f>
        <v>627171.9</v>
      </c>
      <c r="N91" s="0" t="n">
        <f aca="false">cleaned_data!N91</f>
        <v>105772.75</v>
      </c>
      <c r="O91" s="0" t="n">
        <f aca="false">IF(cleaned_data!C91="North",1,0)</f>
        <v>0</v>
      </c>
      <c r="P91" s="0" t="n">
        <f aca="false">IF(cleaned_data!C91="South",1,0)</f>
        <v>1</v>
      </c>
      <c r="Q91" s="0" t="n">
        <f aca="false">IF(cleaned_data!C91="West",1,0)</f>
        <v>0</v>
      </c>
      <c r="R91" s="0" t="n">
        <f aca="false">IF(cleaned_data!D91="Airport",1,0)</f>
        <v>0</v>
      </c>
      <c r="S91" s="0" t="n">
        <f aca="false">IF(cleaned_data!D91="Mall",1,0)</f>
        <v>1</v>
      </c>
      <c r="T91" s="0" t="n">
        <f aca="false">IF(cleaned_data!D91="Residential",1,0)</f>
        <v>0</v>
      </c>
    </row>
    <row r="92" customFormat="false" ht="15" hidden="false" customHeight="false" outlineLevel="0" collapsed="false">
      <c r="A92" s="0" t="str">
        <f aca="false">cleaned_data!A92</f>
        <v>STR-1023</v>
      </c>
      <c r="B92" s="0" t="str">
        <f aca="false">cleaned_data!B92</f>
        <v>2025-03-01</v>
      </c>
      <c r="C92" s="0" t="str">
        <f aca="false">cleaned_data!C92</f>
        <v>South</v>
      </c>
      <c r="D92" s="0" t="str">
        <f aca="false">cleaned_data!D92</f>
        <v>Mall</v>
      </c>
      <c r="E92" s="0" t="n">
        <f aca="false">cleaned_data!E92</f>
        <v>82116.19</v>
      </c>
      <c r="F92" s="0" t="n">
        <f aca="false">cleaned_data!F92</f>
        <v>5988</v>
      </c>
      <c r="G92" s="0" t="n">
        <f aca="false">cleaned_data!G92</f>
        <v>0.04</v>
      </c>
      <c r="H92" s="0" t="n">
        <f aca="false">cleaned_data!H92</f>
        <v>17</v>
      </c>
      <c r="I92" s="0" t="n">
        <f aca="false">cleaned_data!I92</f>
        <v>91.8</v>
      </c>
      <c r="J92" s="0" t="n">
        <f aca="false">cleaned_data!J92</f>
        <v>5.75</v>
      </c>
      <c r="K92" s="0" t="n">
        <f aca="false">cleaned_data!K92</f>
        <v>0</v>
      </c>
      <c r="L92" s="0" t="n">
        <f aca="false">cleaned_data!L92</f>
        <v>4.7</v>
      </c>
      <c r="M92" s="0" t="n">
        <f aca="false">cleaned_data!M92</f>
        <v>739852.58</v>
      </c>
      <c r="N92" s="0" t="n">
        <f aca="false">cleaned_data!N92</f>
        <v>129386.43</v>
      </c>
      <c r="O92" s="0" t="n">
        <f aca="false">IF(cleaned_data!C92="North",1,0)</f>
        <v>0</v>
      </c>
      <c r="P92" s="0" t="n">
        <f aca="false">IF(cleaned_data!C92="South",1,0)</f>
        <v>1</v>
      </c>
      <c r="Q92" s="0" t="n">
        <f aca="false">IF(cleaned_data!C92="West",1,0)</f>
        <v>0</v>
      </c>
      <c r="R92" s="0" t="n">
        <f aca="false">IF(cleaned_data!D92="Airport",1,0)</f>
        <v>0</v>
      </c>
      <c r="S92" s="0" t="n">
        <f aca="false">IF(cleaned_data!D92="Mall",1,0)</f>
        <v>1</v>
      </c>
      <c r="T92" s="0" t="n">
        <f aca="false">IF(cleaned_data!D92="Residential",1,0)</f>
        <v>0</v>
      </c>
    </row>
    <row r="93" customFormat="false" ht="15" hidden="false" customHeight="false" outlineLevel="0" collapsed="false">
      <c r="A93" s="0" t="str">
        <f aca="false">cleaned_data!A93</f>
        <v>STR-1023</v>
      </c>
      <c r="B93" s="0" t="str">
        <f aca="false">cleaned_data!B93</f>
        <v>2025-04-01</v>
      </c>
      <c r="C93" s="0" t="str">
        <f aca="false">cleaned_data!C93</f>
        <v>South</v>
      </c>
      <c r="D93" s="0" t="str">
        <f aca="false">cleaned_data!D93</f>
        <v>Mall</v>
      </c>
      <c r="E93" s="0" t="n">
        <f aca="false">cleaned_data!E93</f>
        <v>31207.51</v>
      </c>
      <c r="F93" s="0" t="n">
        <f aca="false">cleaned_data!F93</f>
        <v>3701</v>
      </c>
      <c r="G93" s="0" t="n">
        <f aca="false">cleaned_data!G93</f>
        <v>0.043</v>
      </c>
      <c r="H93" s="0" t="n">
        <f aca="false">cleaned_data!H93</f>
        <v>11</v>
      </c>
      <c r="I93" s="0" t="n">
        <f aca="false">cleaned_data!I93</f>
        <v>84.7</v>
      </c>
      <c r="J93" s="0" t="n">
        <f aca="false">cleaned_data!J93</f>
        <v>0.33</v>
      </c>
      <c r="K93" s="0" t="n">
        <f aca="false">cleaned_data!K93</f>
        <v>0</v>
      </c>
      <c r="L93" s="0" t="n">
        <f aca="false">cleaned_data!L93</f>
        <v>4.3</v>
      </c>
      <c r="M93" s="0" t="n">
        <f aca="false">cleaned_data!M93</f>
        <v>586307.22</v>
      </c>
      <c r="N93" s="0" t="n">
        <f aca="false">cleaned_data!N93</f>
        <v>73927.85</v>
      </c>
      <c r="O93" s="0" t="n">
        <f aca="false">IF(cleaned_data!C93="North",1,0)</f>
        <v>0</v>
      </c>
      <c r="P93" s="0" t="n">
        <f aca="false">IF(cleaned_data!C93="South",1,0)</f>
        <v>1</v>
      </c>
      <c r="Q93" s="0" t="n">
        <f aca="false">IF(cleaned_data!C93="West",1,0)</f>
        <v>0</v>
      </c>
      <c r="R93" s="0" t="n">
        <f aca="false">IF(cleaned_data!D93="Airport",1,0)</f>
        <v>0</v>
      </c>
      <c r="S93" s="0" t="n">
        <f aca="false">IF(cleaned_data!D93="Mall",1,0)</f>
        <v>1</v>
      </c>
      <c r="T93" s="0" t="n">
        <f aca="false">IF(cleaned_data!D93="Residential",1,0)</f>
        <v>0</v>
      </c>
    </row>
    <row r="94" customFormat="false" ht="15" hidden="false" customHeight="false" outlineLevel="0" collapsed="false">
      <c r="A94" s="0" t="str">
        <f aca="false">cleaned_data!A94</f>
        <v>STR-1024</v>
      </c>
      <c r="B94" s="0" t="str">
        <f aca="false">cleaned_data!B94</f>
        <v>2025-01-01</v>
      </c>
      <c r="C94" s="0" t="str">
        <f aca="false">cleaned_data!C94</f>
        <v>West</v>
      </c>
      <c r="D94" s="0" t="str">
        <f aca="false">cleaned_data!D94</f>
        <v>Residential</v>
      </c>
      <c r="E94" s="0" t="n">
        <f aca="false">cleaned_data!E94</f>
        <v>38966.59</v>
      </c>
      <c r="F94" s="0" t="n">
        <f aca="false">cleaned_data!F94</f>
        <v>4509</v>
      </c>
      <c r="G94" s="0" t="n">
        <f aca="false">cleaned_data!G94</f>
        <v>0.194</v>
      </c>
      <c r="H94" s="0" t="n">
        <f aca="false">cleaned_data!H94</f>
        <v>14</v>
      </c>
      <c r="I94" s="0" t="n">
        <f aca="false">cleaned_data!I94</f>
        <v>91.1</v>
      </c>
      <c r="J94" s="0" t="n">
        <f aca="false">cleaned_data!J94</f>
        <v>2.92</v>
      </c>
      <c r="K94" s="0" t="n">
        <f aca="false">cleaned_data!K94</f>
        <v>0</v>
      </c>
      <c r="L94" s="0" t="n">
        <f aca="false">cleaned_data!L94</f>
        <v>4.6</v>
      </c>
      <c r="M94" s="0" t="n">
        <f aca="false">cleaned_data!M94</f>
        <v>585937.48</v>
      </c>
      <c r="N94" s="0" t="n">
        <f aca="false">cleaned_data!N94</f>
        <v>82624.2</v>
      </c>
      <c r="O94" s="0" t="n">
        <f aca="false">IF(cleaned_data!C94="North",1,0)</f>
        <v>0</v>
      </c>
      <c r="P94" s="0" t="n">
        <f aca="false">IF(cleaned_data!C94="South",1,0)</f>
        <v>0</v>
      </c>
      <c r="Q94" s="0" t="n">
        <f aca="false">IF(cleaned_data!C94="West",1,0)</f>
        <v>1</v>
      </c>
      <c r="R94" s="0" t="n">
        <f aca="false">IF(cleaned_data!D94="Airport",1,0)</f>
        <v>0</v>
      </c>
      <c r="S94" s="0" t="n">
        <f aca="false">IF(cleaned_data!D94="Mall",1,0)</f>
        <v>0</v>
      </c>
      <c r="T94" s="0" t="n">
        <f aca="false">IF(cleaned_data!D94="Residential",1,0)</f>
        <v>1</v>
      </c>
    </row>
    <row r="95" customFormat="false" ht="15" hidden="false" customHeight="false" outlineLevel="0" collapsed="false">
      <c r="A95" s="0" t="str">
        <f aca="false">cleaned_data!A95</f>
        <v>STR-1024</v>
      </c>
      <c r="B95" s="0" t="str">
        <f aca="false">cleaned_data!B95</f>
        <v>2025-02-01</v>
      </c>
      <c r="C95" s="0" t="str">
        <f aca="false">cleaned_data!C95</f>
        <v>West</v>
      </c>
      <c r="D95" s="0" t="str">
        <f aca="false">cleaned_data!D95</f>
        <v>Residential</v>
      </c>
      <c r="E95" s="0" t="n">
        <f aca="false">cleaned_data!E95</f>
        <v>67439.3</v>
      </c>
      <c r="F95" s="0" t="n">
        <f aca="false">cleaned_data!F95</f>
        <v>6477</v>
      </c>
      <c r="G95" s="0" t="n">
        <f aca="false">cleaned_data!G95</f>
        <v>0</v>
      </c>
      <c r="H95" s="0" t="n">
        <f aca="false">cleaned_data!H95</f>
        <v>16</v>
      </c>
      <c r="I95" s="0" t="n">
        <f aca="false">cleaned_data!I95</f>
        <v>90.9</v>
      </c>
      <c r="J95" s="0" t="n">
        <f aca="false">cleaned_data!J95</f>
        <v>1.64</v>
      </c>
      <c r="K95" s="0" t="n">
        <f aca="false">cleaned_data!K95</f>
        <v>0</v>
      </c>
      <c r="L95" s="0" t="n">
        <f aca="false">cleaned_data!L95</f>
        <v>4.5</v>
      </c>
      <c r="M95" s="0" t="n">
        <f aca="false">cleaned_data!M95</f>
        <v>753473.55</v>
      </c>
      <c r="N95" s="0" t="n">
        <f aca="false">cleaned_data!N95</f>
        <v>151527.22</v>
      </c>
      <c r="O95" s="0" t="n">
        <f aca="false">IF(cleaned_data!C95="North",1,0)</f>
        <v>0</v>
      </c>
      <c r="P95" s="0" t="n">
        <f aca="false">IF(cleaned_data!C95="South",1,0)</f>
        <v>0</v>
      </c>
      <c r="Q95" s="0" t="n">
        <f aca="false">IF(cleaned_data!C95="West",1,0)</f>
        <v>1</v>
      </c>
      <c r="R95" s="0" t="n">
        <f aca="false">IF(cleaned_data!D95="Airport",1,0)</f>
        <v>0</v>
      </c>
      <c r="S95" s="0" t="n">
        <f aca="false">IF(cleaned_data!D95="Mall",1,0)</f>
        <v>0</v>
      </c>
      <c r="T95" s="0" t="n">
        <f aca="false">IF(cleaned_data!D95="Residential",1,0)</f>
        <v>1</v>
      </c>
    </row>
    <row r="96" customFormat="false" ht="15" hidden="false" customHeight="false" outlineLevel="0" collapsed="false">
      <c r="A96" s="0" t="str">
        <f aca="false">cleaned_data!A96</f>
        <v>STR-1024</v>
      </c>
      <c r="B96" s="0" t="str">
        <f aca="false">cleaned_data!B96</f>
        <v>2025-03-01</v>
      </c>
      <c r="C96" s="0" t="str">
        <f aca="false">cleaned_data!C96</f>
        <v>West</v>
      </c>
      <c r="D96" s="0" t="str">
        <f aca="false">cleaned_data!D96</f>
        <v>Residential</v>
      </c>
      <c r="E96" s="0" t="n">
        <f aca="false">cleaned_data!E96</f>
        <v>86421.88</v>
      </c>
      <c r="F96" s="0" t="n">
        <f aca="false">cleaned_data!F96</f>
        <v>7970</v>
      </c>
      <c r="G96" s="0" t="n">
        <f aca="false">cleaned_data!G96</f>
        <v>0.073</v>
      </c>
      <c r="H96" s="0" t="n">
        <f aca="false">cleaned_data!H96</f>
        <v>17</v>
      </c>
      <c r="I96" s="0" t="n">
        <f aca="false">cleaned_data!I96</f>
        <v>91.3</v>
      </c>
      <c r="J96" s="0" t="n">
        <f aca="false">cleaned_data!J96</f>
        <v>0.8</v>
      </c>
      <c r="K96" s="0" t="n">
        <f aca="false">cleaned_data!K96</f>
        <v>0</v>
      </c>
      <c r="L96" s="0" t="n">
        <f aca="false">cleaned_data!L96</f>
        <v>5</v>
      </c>
      <c r="M96" s="0" t="n">
        <f aca="false">cleaned_data!M96</f>
        <v>838250.32</v>
      </c>
      <c r="N96" s="0" t="n">
        <f aca="false">cleaned_data!N96</f>
        <v>122939.34</v>
      </c>
      <c r="O96" s="0" t="n">
        <f aca="false">IF(cleaned_data!C96="North",1,0)</f>
        <v>0</v>
      </c>
      <c r="P96" s="0" t="n">
        <f aca="false">IF(cleaned_data!C96="South",1,0)</f>
        <v>0</v>
      </c>
      <c r="Q96" s="0" t="n">
        <f aca="false">IF(cleaned_data!C96="West",1,0)</f>
        <v>1</v>
      </c>
      <c r="R96" s="0" t="n">
        <f aca="false">IF(cleaned_data!D96="Airport",1,0)</f>
        <v>0</v>
      </c>
      <c r="S96" s="0" t="n">
        <f aca="false">IF(cleaned_data!D96="Mall",1,0)</f>
        <v>0</v>
      </c>
      <c r="T96" s="0" t="n">
        <f aca="false">IF(cleaned_data!D96="Residential",1,0)</f>
        <v>1</v>
      </c>
    </row>
    <row r="97" customFormat="false" ht="15" hidden="false" customHeight="false" outlineLevel="0" collapsed="false">
      <c r="A97" s="0" t="str">
        <f aca="false">cleaned_data!A97</f>
        <v>STR-1024</v>
      </c>
      <c r="B97" s="0" t="str">
        <f aca="false">cleaned_data!B97</f>
        <v>2025-04-01</v>
      </c>
      <c r="C97" s="0" t="str">
        <f aca="false">cleaned_data!C97</f>
        <v>West</v>
      </c>
      <c r="D97" s="0" t="str">
        <f aca="false">cleaned_data!D97</f>
        <v>Residential</v>
      </c>
      <c r="E97" s="0" t="n">
        <f aca="false">cleaned_data!E97</f>
        <v>9534.65</v>
      </c>
      <c r="F97" s="0" t="n">
        <f aca="false">cleaned_data!F97</f>
        <v>6057</v>
      </c>
      <c r="G97" s="0" t="n">
        <f aca="false">cleaned_data!G97</f>
        <v>0.074</v>
      </c>
      <c r="H97" s="0" t="n">
        <f aca="false">cleaned_data!H97</f>
        <v>15</v>
      </c>
      <c r="I97" s="0" t="n">
        <f aca="false">cleaned_data!I97</f>
        <v>94.1</v>
      </c>
      <c r="J97" s="0" t="n">
        <f aca="false">cleaned_data!J97</f>
        <v>5.79</v>
      </c>
      <c r="K97" s="0" t="n">
        <f aca="false">cleaned_data!K97</f>
        <v>0</v>
      </c>
      <c r="L97" s="0" t="n">
        <f aca="false">cleaned_data!L97</f>
        <v>4.5</v>
      </c>
      <c r="M97" s="0" t="n">
        <f aca="false">cleaned_data!M97</f>
        <v>607898.12</v>
      </c>
      <c r="N97" s="0" t="n">
        <f aca="false">cleaned_data!N97</f>
        <v>135404.85</v>
      </c>
      <c r="O97" s="0" t="n">
        <f aca="false">IF(cleaned_data!C97="North",1,0)</f>
        <v>0</v>
      </c>
      <c r="P97" s="0" t="n">
        <f aca="false">IF(cleaned_data!C97="South",1,0)</f>
        <v>0</v>
      </c>
      <c r="Q97" s="0" t="n">
        <f aca="false">IF(cleaned_data!C97="West",1,0)</f>
        <v>1</v>
      </c>
      <c r="R97" s="0" t="n">
        <f aca="false">IF(cleaned_data!D97="Airport",1,0)</f>
        <v>0</v>
      </c>
      <c r="S97" s="0" t="n">
        <f aca="false">IF(cleaned_data!D97="Mall",1,0)</f>
        <v>0</v>
      </c>
      <c r="T97" s="0" t="n">
        <f aca="false">IF(cleaned_data!D97="Residential",1,0)</f>
        <v>1</v>
      </c>
    </row>
    <row r="98" customFormat="false" ht="15" hidden="false" customHeight="false" outlineLevel="0" collapsed="false">
      <c r="A98" s="0" t="str">
        <f aca="false">cleaned_data!A98</f>
        <v>STR-1025</v>
      </c>
      <c r="B98" s="0" t="str">
        <f aca="false">cleaned_data!B98</f>
        <v>2025-01-01</v>
      </c>
      <c r="C98" s="0" t="str">
        <f aca="false">cleaned_data!C98</f>
        <v>West</v>
      </c>
      <c r="D98" s="0" t="str">
        <f aca="false">cleaned_data!D98</f>
        <v>Mall</v>
      </c>
      <c r="E98" s="0" t="n">
        <f aca="false">cleaned_data!E98</f>
        <v>61132.07</v>
      </c>
      <c r="F98" s="0" t="n">
        <f aca="false">cleaned_data!F98</f>
        <v>6394</v>
      </c>
      <c r="G98" s="0" t="n">
        <f aca="false">cleaned_data!G98</f>
        <v>0.163</v>
      </c>
      <c r="H98" s="0" t="n">
        <f aca="false">cleaned_data!H98</f>
        <v>19</v>
      </c>
      <c r="I98" s="0" t="n">
        <f aca="false">cleaned_data!I98</f>
        <v>91</v>
      </c>
      <c r="J98" s="0" t="n">
        <f aca="false">cleaned_data!J98</f>
        <v>19.6</v>
      </c>
      <c r="K98" s="0" t="n">
        <f aca="false">cleaned_data!K98</f>
        <v>0</v>
      </c>
      <c r="L98" s="0" t="n">
        <f aca="false">cleaned_data!L98</f>
        <v>4.4</v>
      </c>
      <c r="M98" s="0" t="n">
        <f aca="false">cleaned_data!M98</f>
        <v>691113.62</v>
      </c>
      <c r="N98" s="0" t="n">
        <f aca="false">cleaned_data!N98</f>
        <v>135145.44</v>
      </c>
      <c r="O98" s="0" t="n">
        <f aca="false">IF(cleaned_data!C98="North",1,0)</f>
        <v>0</v>
      </c>
      <c r="P98" s="0" t="n">
        <f aca="false">IF(cleaned_data!C98="South",1,0)</f>
        <v>0</v>
      </c>
      <c r="Q98" s="0" t="n">
        <f aca="false">IF(cleaned_data!C98="West",1,0)</f>
        <v>1</v>
      </c>
      <c r="R98" s="0" t="n">
        <f aca="false">IF(cleaned_data!D98="Airport",1,0)</f>
        <v>0</v>
      </c>
      <c r="S98" s="0" t="n">
        <f aca="false">IF(cleaned_data!D98="Mall",1,0)</f>
        <v>1</v>
      </c>
      <c r="T98" s="0" t="n">
        <f aca="false">IF(cleaned_data!D98="Residential",1,0)</f>
        <v>0</v>
      </c>
    </row>
    <row r="99" customFormat="false" ht="15" hidden="false" customHeight="false" outlineLevel="0" collapsed="false">
      <c r="A99" s="0" t="str">
        <f aca="false">cleaned_data!A99</f>
        <v>STR-1025</v>
      </c>
      <c r="B99" s="0" t="str">
        <f aca="false">cleaned_data!B99</f>
        <v>2025-02-01</v>
      </c>
      <c r="C99" s="0" t="str">
        <f aca="false">cleaned_data!C99</f>
        <v>West</v>
      </c>
      <c r="D99" s="0" t="str">
        <f aca="false">cleaned_data!D99</f>
        <v>Mall</v>
      </c>
      <c r="E99" s="0" t="n">
        <f aca="false">cleaned_data!E99</f>
        <v>78839.39</v>
      </c>
      <c r="F99" s="0" t="n">
        <f aca="false">cleaned_data!F99</f>
        <v>5150</v>
      </c>
      <c r="G99" s="0" t="n">
        <f aca="false">cleaned_data!G99</f>
        <v>0.171</v>
      </c>
      <c r="H99" s="0" t="n">
        <f aca="false">cleaned_data!H99</f>
        <v>13</v>
      </c>
      <c r="I99" s="0" t="n">
        <f aca="false">cleaned_data!I99</f>
        <v>85.8</v>
      </c>
      <c r="J99" s="0" t="n">
        <f aca="false">cleaned_data!J99</f>
        <v>7.57</v>
      </c>
      <c r="K99" s="0" t="n">
        <f aca="false">cleaned_data!K99</f>
        <v>0</v>
      </c>
      <c r="L99" s="0" t="n">
        <f aca="false">cleaned_data!L99</f>
        <v>4.3</v>
      </c>
      <c r="M99" s="0" t="n">
        <f aca="false">cleaned_data!M99</f>
        <v>735509.4</v>
      </c>
      <c r="N99" s="0" t="n">
        <f aca="false">cleaned_data!N99</f>
        <v>83895.96</v>
      </c>
      <c r="O99" s="0" t="n">
        <f aca="false">IF(cleaned_data!C99="North",1,0)</f>
        <v>0</v>
      </c>
      <c r="P99" s="0" t="n">
        <f aca="false">IF(cleaned_data!C99="South",1,0)</f>
        <v>0</v>
      </c>
      <c r="Q99" s="0" t="n">
        <f aca="false">IF(cleaned_data!C99="West",1,0)</f>
        <v>1</v>
      </c>
      <c r="R99" s="0" t="n">
        <f aca="false">IF(cleaned_data!D99="Airport",1,0)</f>
        <v>0</v>
      </c>
      <c r="S99" s="0" t="n">
        <f aca="false">IF(cleaned_data!D99="Mall",1,0)</f>
        <v>1</v>
      </c>
      <c r="T99" s="0" t="n">
        <f aca="false">IF(cleaned_data!D99="Residential",1,0)</f>
        <v>0</v>
      </c>
    </row>
    <row r="100" customFormat="false" ht="15" hidden="false" customHeight="false" outlineLevel="0" collapsed="false">
      <c r="A100" s="0" t="str">
        <f aca="false">cleaned_data!A100</f>
        <v>STR-1025</v>
      </c>
      <c r="B100" s="0" t="str">
        <f aca="false">cleaned_data!B100</f>
        <v>2025-03-01</v>
      </c>
      <c r="C100" s="0" t="str">
        <f aca="false">cleaned_data!C100</f>
        <v>West</v>
      </c>
      <c r="D100" s="0" t="str">
        <f aca="false">cleaned_data!D100</f>
        <v>Mall</v>
      </c>
      <c r="E100" s="0" t="n">
        <f aca="false">cleaned_data!E100</f>
        <v>38752.8</v>
      </c>
      <c r="F100" s="0" t="n">
        <f aca="false">cleaned_data!F100</f>
        <v>4712</v>
      </c>
      <c r="G100" s="0" t="n">
        <f aca="false">cleaned_data!G100</f>
        <v>0.075</v>
      </c>
      <c r="H100" s="0" t="n">
        <f aca="false">cleaned_data!H100</f>
        <v>15</v>
      </c>
      <c r="I100" s="0" t="n">
        <f aca="false">cleaned_data!I100</f>
        <v>89.7</v>
      </c>
      <c r="J100" s="0" t="n">
        <f aca="false">cleaned_data!J100</f>
        <v>3.365</v>
      </c>
      <c r="K100" s="0" t="n">
        <f aca="false">cleaned_data!K100</f>
        <v>0</v>
      </c>
      <c r="L100" s="0" t="n">
        <f aca="false">cleaned_data!L100</f>
        <v>4.3</v>
      </c>
      <c r="M100" s="0" t="n">
        <f aca="false">cleaned_data!M100</f>
        <v>605775.33</v>
      </c>
      <c r="N100" s="0" t="n">
        <f aca="false">cleaned_data!N100</f>
        <v>107194.6</v>
      </c>
      <c r="O100" s="0" t="n">
        <f aca="false">IF(cleaned_data!C100="North",1,0)</f>
        <v>0</v>
      </c>
      <c r="P100" s="0" t="n">
        <f aca="false">IF(cleaned_data!C100="South",1,0)</f>
        <v>0</v>
      </c>
      <c r="Q100" s="0" t="n">
        <f aca="false">IF(cleaned_data!C100="West",1,0)</f>
        <v>1</v>
      </c>
      <c r="R100" s="0" t="n">
        <f aca="false">IF(cleaned_data!D100="Airport",1,0)</f>
        <v>0</v>
      </c>
      <c r="S100" s="0" t="n">
        <f aca="false">IF(cleaned_data!D100="Mall",1,0)</f>
        <v>1</v>
      </c>
      <c r="T100" s="0" t="n">
        <f aca="false">IF(cleaned_data!D100="Residential",1,0)</f>
        <v>0</v>
      </c>
    </row>
    <row r="101" customFormat="false" ht="15" hidden="false" customHeight="false" outlineLevel="0" collapsed="false">
      <c r="A101" s="0" t="str">
        <f aca="false">cleaned_data!A101</f>
        <v>STR-1025</v>
      </c>
      <c r="B101" s="0" t="str">
        <f aca="false">cleaned_data!B101</f>
        <v>2025-04-01</v>
      </c>
      <c r="C101" s="0" t="str">
        <f aca="false">cleaned_data!C101</f>
        <v>West</v>
      </c>
      <c r="D101" s="0" t="str">
        <f aca="false">cleaned_data!D101</f>
        <v>Mall</v>
      </c>
      <c r="E101" s="0" t="n">
        <f aca="false">cleaned_data!E101</f>
        <v>55101.1</v>
      </c>
      <c r="F101" s="0" t="n">
        <f aca="false">cleaned_data!F101</f>
        <v>5281</v>
      </c>
      <c r="G101" s="0" t="n">
        <f aca="false">cleaned_data!G101</f>
        <v>0.189</v>
      </c>
      <c r="H101" s="0" t="n">
        <f aca="false">cleaned_data!H101</f>
        <v>11</v>
      </c>
      <c r="I101" s="0" t="n">
        <f aca="false">cleaned_data!I101</f>
        <v>91</v>
      </c>
      <c r="J101" s="0" t="n">
        <f aca="false">cleaned_data!J101</f>
        <v>2.7</v>
      </c>
      <c r="K101" s="0" t="n">
        <f aca="false">cleaned_data!K101</f>
        <v>0</v>
      </c>
      <c r="L101" s="0" t="n">
        <f aca="false">cleaned_data!L101</f>
        <v>4.4</v>
      </c>
      <c r="M101" s="0" t="n">
        <f aca="false">cleaned_data!M101</f>
        <v>675177.68</v>
      </c>
      <c r="N101" s="0" t="n">
        <f aca="false">cleaned_data!N101</f>
        <v>105628.68</v>
      </c>
      <c r="O101" s="0" t="n">
        <f aca="false">IF(cleaned_data!C101="North",1,0)</f>
        <v>0</v>
      </c>
      <c r="P101" s="0" t="n">
        <f aca="false">IF(cleaned_data!C101="South",1,0)</f>
        <v>0</v>
      </c>
      <c r="Q101" s="0" t="n">
        <f aca="false">IF(cleaned_data!C101="West",1,0)</f>
        <v>1</v>
      </c>
      <c r="R101" s="0" t="n">
        <f aca="false">IF(cleaned_data!D101="Airport",1,0)</f>
        <v>0</v>
      </c>
      <c r="S101" s="0" t="n">
        <f aca="false">IF(cleaned_data!D101="Mall",1,0)</f>
        <v>1</v>
      </c>
      <c r="T101" s="0" t="n">
        <f aca="false">IF(cleaned_data!D101="Residential",1,0)</f>
        <v>0</v>
      </c>
    </row>
    <row r="102" customFormat="false" ht="15" hidden="false" customHeight="false" outlineLevel="0" collapsed="false">
      <c r="A102" s="0" t="str">
        <f aca="false">cleaned_data!A102</f>
        <v>STR-1026</v>
      </c>
      <c r="B102" s="0" t="str">
        <f aca="false">cleaned_data!B102</f>
        <v>2025-01-01</v>
      </c>
      <c r="C102" s="0" t="str">
        <f aca="false">cleaned_data!C102</f>
        <v>East</v>
      </c>
      <c r="D102" s="0" t="str">
        <f aca="false">cleaned_data!D102</f>
        <v>Mall</v>
      </c>
      <c r="E102" s="0" t="n">
        <f aca="false">cleaned_data!E102</f>
        <v>53084.76</v>
      </c>
      <c r="F102" s="0" t="n">
        <f aca="false">cleaned_data!F102</f>
        <v>3642</v>
      </c>
      <c r="G102" s="0" t="n">
        <f aca="false">cleaned_data!G102</f>
        <v>0.15</v>
      </c>
      <c r="H102" s="0" t="n">
        <f aca="false">cleaned_data!H102</f>
        <v>12</v>
      </c>
      <c r="I102" s="0" t="n">
        <f aca="false">cleaned_data!I102</f>
        <v>91.4</v>
      </c>
      <c r="J102" s="0" t="n">
        <f aca="false">cleaned_data!J102</f>
        <v>0.2</v>
      </c>
      <c r="K102" s="0" t="n">
        <f aca="false">cleaned_data!K102</f>
        <v>0</v>
      </c>
      <c r="L102" s="0" t="n">
        <f aca="false">cleaned_data!L102</f>
        <v>4.4</v>
      </c>
      <c r="M102" s="0" t="n">
        <f aca="false">cleaned_data!M102</f>
        <v>635181.35</v>
      </c>
      <c r="N102" s="0" t="n">
        <f aca="false">cleaned_data!N102</f>
        <v>83341.25</v>
      </c>
      <c r="O102" s="0" t="n">
        <f aca="false">IF(cleaned_data!C102="North",1,0)</f>
        <v>0</v>
      </c>
      <c r="P102" s="0" t="n">
        <f aca="false">IF(cleaned_data!C102="South",1,0)</f>
        <v>0</v>
      </c>
      <c r="Q102" s="0" t="n">
        <f aca="false">IF(cleaned_data!C102="West",1,0)</f>
        <v>0</v>
      </c>
      <c r="R102" s="0" t="n">
        <f aca="false">IF(cleaned_data!D102="Airport",1,0)</f>
        <v>0</v>
      </c>
      <c r="S102" s="0" t="n">
        <f aca="false">IF(cleaned_data!D102="Mall",1,0)</f>
        <v>1</v>
      </c>
      <c r="T102" s="0" t="n">
        <f aca="false">IF(cleaned_data!D102="Residential",1,0)</f>
        <v>0</v>
      </c>
    </row>
    <row r="103" customFormat="false" ht="15" hidden="false" customHeight="false" outlineLevel="0" collapsed="false">
      <c r="A103" s="0" t="str">
        <f aca="false">cleaned_data!A103</f>
        <v>STR-1026</v>
      </c>
      <c r="B103" s="0" t="str">
        <f aca="false">cleaned_data!B103</f>
        <v>2025-02-01</v>
      </c>
      <c r="C103" s="0" t="str">
        <f aca="false">cleaned_data!C103</f>
        <v>East</v>
      </c>
      <c r="D103" s="0" t="str">
        <f aca="false">cleaned_data!D103</f>
        <v>Mall</v>
      </c>
      <c r="E103" s="0" t="n">
        <f aca="false">cleaned_data!E103</f>
        <v>63101.59</v>
      </c>
      <c r="F103" s="0" t="n">
        <f aca="false">cleaned_data!F103</f>
        <v>4373</v>
      </c>
      <c r="G103" s="0" t="n">
        <f aca="false">cleaned_data!G103</f>
        <v>0.173</v>
      </c>
      <c r="H103" s="0" t="n">
        <f aca="false">cleaned_data!H103</f>
        <v>14</v>
      </c>
      <c r="I103" s="0" t="n">
        <f aca="false">cleaned_data!I103</f>
        <v>90.4</v>
      </c>
      <c r="J103" s="0" t="n">
        <f aca="false">cleaned_data!J103</f>
        <v>7.87</v>
      </c>
      <c r="K103" s="0" t="n">
        <f aca="false">cleaned_data!K103</f>
        <v>0</v>
      </c>
      <c r="L103" s="0" t="n">
        <f aca="false">cleaned_data!L103</f>
        <v>4.7</v>
      </c>
      <c r="M103" s="0" t="n">
        <f aca="false">cleaned_data!M103</f>
        <v>586626.94</v>
      </c>
      <c r="N103" s="0" t="n">
        <f aca="false">cleaned_data!N103</f>
        <v>86498.55</v>
      </c>
      <c r="O103" s="0" t="n">
        <f aca="false">IF(cleaned_data!C103="North",1,0)</f>
        <v>0</v>
      </c>
      <c r="P103" s="0" t="n">
        <f aca="false">IF(cleaned_data!C103="South",1,0)</f>
        <v>0</v>
      </c>
      <c r="Q103" s="0" t="n">
        <f aca="false">IF(cleaned_data!C103="West",1,0)</f>
        <v>0</v>
      </c>
      <c r="R103" s="0" t="n">
        <f aca="false">IF(cleaned_data!D103="Airport",1,0)</f>
        <v>0</v>
      </c>
      <c r="S103" s="0" t="n">
        <f aca="false">IF(cleaned_data!D103="Mall",1,0)</f>
        <v>1</v>
      </c>
      <c r="T103" s="0" t="n">
        <f aca="false">IF(cleaned_data!D103="Residential",1,0)</f>
        <v>0</v>
      </c>
    </row>
    <row r="104" customFormat="false" ht="15" hidden="false" customHeight="false" outlineLevel="0" collapsed="false">
      <c r="A104" s="0" t="str">
        <f aca="false">cleaned_data!A104</f>
        <v>STR-1026</v>
      </c>
      <c r="B104" s="0" t="str">
        <f aca="false">cleaned_data!B104</f>
        <v>2025-03-01</v>
      </c>
      <c r="C104" s="0" t="str">
        <f aca="false">cleaned_data!C104</f>
        <v>East</v>
      </c>
      <c r="D104" s="0" t="str">
        <f aca="false">cleaned_data!D104</f>
        <v>Mall</v>
      </c>
      <c r="E104" s="0" t="n">
        <f aca="false">cleaned_data!E104</f>
        <v>90084.4</v>
      </c>
      <c r="F104" s="0" t="n">
        <f aca="false">cleaned_data!F104</f>
        <v>6832</v>
      </c>
      <c r="G104" s="0" t="n">
        <f aca="false">cleaned_data!G104</f>
        <v>0.185</v>
      </c>
      <c r="H104" s="0" t="n">
        <f aca="false">cleaned_data!H104</f>
        <v>14</v>
      </c>
      <c r="I104" s="0" t="n">
        <f aca="false">cleaned_data!I104</f>
        <v>80.5</v>
      </c>
      <c r="J104" s="0" t="n">
        <f aca="false">cleaned_data!J104</f>
        <v>0.77</v>
      </c>
      <c r="K104" s="0" t="n">
        <f aca="false">cleaned_data!K104</f>
        <v>1</v>
      </c>
      <c r="L104" s="0" t="n">
        <f aca="false">cleaned_data!L104</f>
        <v>4.4</v>
      </c>
      <c r="M104" s="0" t="n">
        <f aca="false">cleaned_data!M104</f>
        <v>740102.64</v>
      </c>
      <c r="N104" s="0" t="n">
        <f aca="false">cleaned_data!N104</f>
        <v>114299.07</v>
      </c>
      <c r="O104" s="0" t="n">
        <f aca="false">IF(cleaned_data!C104="North",1,0)</f>
        <v>0</v>
      </c>
      <c r="P104" s="0" t="n">
        <f aca="false">IF(cleaned_data!C104="South",1,0)</f>
        <v>0</v>
      </c>
      <c r="Q104" s="0" t="n">
        <f aca="false">IF(cleaned_data!C104="West",1,0)</f>
        <v>0</v>
      </c>
      <c r="R104" s="0" t="n">
        <f aca="false">IF(cleaned_data!D104="Airport",1,0)</f>
        <v>0</v>
      </c>
      <c r="S104" s="0" t="n">
        <f aca="false">IF(cleaned_data!D104="Mall",1,0)</f>
        <v>1</v>
      </c>
      <c r="T104" s="0" t="n">
        <f aca="false">IF(cleaned_data!D104="Residential",1,0)</f>
        <v>0</v>
      </c>
    </row>
    <row r="105" customFormat="false" ht="15" hidden="false" customHeight="false" outlineLevel="0" collapsed="false">
      <c r="A105" s="0" t="str">
        <f aca="false">cleaned_data!A105</f>
        <v>STR-1026</v>
      </c>
      <c r="B105" s="0" t="str">
        <f aca="false">cleaned_data!B105</f>
        <v>2025-04-01</v>
      </c>
      <c r="C105" s="0" t="str">
        <f aca="false">cleaned_data!C105</f>
        <v>East</v>
      </c>
      <c r="D105" s="0" t="str">
        <f aca="false">cleaned_data!D105</f>
        <v>Mall</v>
      </c>
      <c r="E105" s="0" t="n">
        <f aca="false">cleaned_data!E105</f>
        <v>32266.64</v>
      </c>
      <c r="F105" s="0" t="n">
        <f aca="false">cleaned_data!F105</f>
        <v>2414</v>
      </c>
      <c r="G105" s="0" t="n">
        <f aca="false">cleaned_data!G105</f>
        <v>0.08</v>
      </c>
      <c r="H105" s="0" t="n">
        <f aca="false">cleaned_data!H105</f>
        <v>7</v>
      </c>
      <c r="I105" s="0" t="n">
        <f aca="false">cleaned_data!I105</f>
        <v>92.1</v>
      </c>
      <c r="J105" s="0" t="n">
        <f aca="false">cleaned_data!J105</f>
        <v>1.48</v>
      </c>
      <c r="K105" s="0" t="n">
        <f aca="false">cleaned_data!K105</f>
        <v>0</v>
      </c>
      <c r="L105" s="0" t="n">
        <f aca="false">cleaned_data!L105</f>
        <v>5</v>
      </c>
      <c r="M105" s="0" t="n">
        <f aca="false">cleaned_data!M105</f>
        <v>625514.04</v>
      </c>
      <c r="N105" s="0" t="n">
        <f aca="false">cleaned_data!N105</f>
        <v>120685.08</v>
      </c>
      <c r="O105" s="0" t="n">
        <f aca="false">IF(cleaned_data!C105="North",1,0)</f>
        <v>0</v>
      </c>
      <c r="P105" s="0" t="n">
        <f aca="false">IF(cleaned_data!C105="South",1,0)</f>
        <v>0</v>
      </c>
      <c r="Q105" s="0" t="n">
        <f aca="false">IF(cleaned_data!C105="West",1,0)</f>
        <v>0</v>
      </c>
      <c r="R105" s="0" t="n">
        <f aca="false">IF(cleaned_data!D105="Airport",1,0)</f>
        <v>0</v>
      </c>
      <c r="S105" s="0" t="n">
        <f aca="false">IF(cleaned_data!D105="Mall",1,0)</f>
        <v>1</v>
      </c>
      <c r="T105" s="0" t="n">
        <f aca="false">IF(cleaned_data!D105="Residential",1,0)</f>
        <v>0</v>
      </c>
    </row>
    <row r="106" customFormat="false" ht="15" hidden="false" customHeight="false" outlineLevel="0" collapsed="false">
      <c r="A106" s="0" t="str">
        <f aca="false">cleaned_data!A106</f>
        <v>STR-1027</v>
      </c>
      <c r="B106" s="0" t="str">
        <f aca="false">cleaned_data!B106</f>
        <v>2025-01-01</v>
      </c>
      <c r="C106" s="0" t="str">
        <f aca="false">cleaned_data!C106</f>
        <v>West</v>
      </c>
      <c r="D106" s="0" t="str">
        <f aca="false">cleaned_data!D106</f>
        <v>High Street</v>
      </c>
      <c r="E106" s="0" t="n">
        <f aca="false">cleaned_data!E106</f>
        <v>57919.07</v>
      </c>
      <c r="F106" s="0" t="n">
        <f aca="false">cleaned_data!F106</f>
        <v>7374</v>
      </c>
      <c r="G106" s="0" t="n">
        <f aca="false">cleaned_data!G106</f>
        <v>0.103</v>
      </c>
      <c r="H106" s="0" t="n">
        <f aca="false">cleaned_data!H106</f>
        <v>21</v>
      </c>
      <c r="I106" s="0" t="n">
        <f aca="false">cleaned_data!I106</f>
        <v>82.3</v>
      </c>
      <c r="J106" s="0" t="n">
        <f aca="false">cleaned_data!J106</f>
        <v>2.87</v>
      </c>
      <c r="K106" s="0" t="n">
        <f aca="false">cleaned_data!K106</f>
        <v>0</v>
      </c>
      <c r="L106" s="0" t="n">
        <f aca="false">cleaned_data!L106</f>
        <v>2.9</v>
      </c>
      <c r="M106" s="0" t="n">
        <f aca="false">cleaned_data!M106</f>
        <v>727227.2</v>
      </c>
      <c r="N106" s="0" t="n">
        <f aca="false">cleaned_data!N106</f>
        <v>121292.01</v>
      </c>
      <c r="O106" s="0" t="n">
        <f aca="false">IF(cleaned_data!C106="North",1,0)</f>
        <v>0</v>
      </c>
      <c r="P106" s="0" t="n">
        <f aca="false">IF(cleaned_data!C106="South",1,0)</f>
        <v>0</v>
      </c>
      <c r="Q106" s="0" t="n">
        <f aca="false">IF(cleaned_data!C106="West",1,0)</f>
        <v>1</v>
      </c>
      <c r="R106" s="0" t="n">
        <f aca="false">IF(cleaned_data!D106="Airport",1,0)</f>
        <v>0</v>
      </c>
      <c r="S106" s="0" t="n">
        <f aca="false">IF(cleaned_data!D106="Mall",1,0)</f>
        <v>0</v>
      </c>
      <c r="T106" s="0" t="n">
        <f aca="false">IF(cleaned_data!D106="Residential",1,0)</f>
        <v>0</v>
      </c>
    </row>
    <row r="107" customFormat="false" ht="15" hidden="false" customHeight="false" outlineLevel="0" collapsed="false">
      <c r="A107" s="0" t="str">
        <f aca="false">cleaned_data!A107</f>
        <v>STR-1027</v>
      </c>
      <c r="B107" s="0" t="str">
        <f aca="false">cleaned_data!B107</f>
        <v>2025-02-01</v>
      </c>
      <c r="C107" s="0" t="str">
        <f aca="false">cleaned_data!C107</f>
        <v>West</v>
      </c>
      <c r="D107" s="0" t="str">
        <f aca="false">cleaned_data!D107</f>
        <v>High Street</v>
      </c>
      <c r="E107" s="0" t="n">
        <f aca="false">cleaned_data!E107</f>
        <v>74679.35</v>
      </c>
      <c r="F107" s="0" t="n">
        <f aca="false">cleaned_data!F107</f>
        <v>8739</v>
      </c>
      <c r="G107" s="0" t="n">
        <f aca="false">cleaned_data!G107</f>
        <v>0.056</v>
      </c>
      <c r="H107" s="0" t="n">
        <f aca="false">cleaned_data!H107</f>
        <v>21</v>
      </c>
      <c r="I107" s="0" t="n">
        <f aca="false">cleaned_data!I107</f>
        <v>91.8</v>
      </c>
      <c r="J107" s="0" t="n">
        <f aca="false">cleaned_data!J107</f>
        <v>2.83</v>
      </c>
      <c r="K107" s="0" t="n">
        <f aca="false">cleaned_data!K107</f>
        <v>0</v>
      </c>
      <c r="L107" s="0" t="n">
        <f aca="false">cleaned_data!L107</f>
        <v>3</v>
      </c>
      <c r="M107" s="0" t="n">
        <f aca="false">cleaned_data!M107</f>
        <v>783797.89</v>
      </c>
      <c r="N107" s="0" t="n">
        <f aca="false">cleaned_data!N107</f>
        <v>157620.7</v>
      </c>
      <c r="O107" s="0" t="n">
        <f aca="false">IF(cleaned_data!C107="North",1,0)</f>
        <v>0</v>
      </c>
      <c r="P107" s="0" t="n">
        <f aca="false">IF(cleaned_data!C107="South",1,0)</f>
        <v>0</v>
      </c>
      <c r="Q107" s="0" t="n">
        <f aca="false">IF(cleaned_data!C107="West",1,0)</f>
        <v>1</v>
      </c>
      <c r="R107" s="0" t="n">
        <f aca="false">IF(cleaned_data!D107="Airport",1,0)</f>
        <v>0</v>
      </c>
      <c r="S107" s="0" t="n">
        <f aca="false">IF(cleaned_data!D107="Mall",1,0)</f>
        <v>0</v>
      </c>
      <c r="T107" s="0" t="n">
        <f aca="false">IF(cleaned_data!D107="Residential",1,0)</f>
        <v>0</v>
      </c>
    </row>
    <row r="108" customFormat="false" ht="15" hidden="false" customHeight="false" outlineLevel="0" collapsed="false">
      <c r="A108" s="0" t="str">
        <f aca="false">cleaned_data!A108</f>
        <v>STR-1027</v>
      </c>
      <c r="B108" s="0" t="str">
        <f aca="false">cleaned_data!B108</f>
        <v>2025-03-01</v>
      </c>
      <c r="C108" s="0" t="str">
        <f aca="false">cleaned_data!C108</f>
        <v>West</v>
      </c>
      <c r="D108" s="0" t="str">
        <f aca="false">cleaned_data!D108</f>
        <v>High Street</v>
      </c>
      <c r="E108" s="0" t="n">
        <f aca="false">cleaned_data!E108</f>
        <v>64294.23</v>
      </c>
      <c r="F108" s="0" t="n">
        <f aca="false">cleaned_data!F108</f>
        <v>6992</v>
      </c>
      <c r="G108" s="0" t="n">
        <f aca="false">cleaned_data!G108</f>
        <v>0.133</v>
      </c>
      <c r="H108" s="0" t="n">
        <f aca="false">cleaned_data!H108</f>
        <v>14</v>
      </c>
      <c r="I108" s="0" t="n">
        <f aca="false">cleaned_data!I108</f>
        <v>94.1</v>
      </c>
      <c r="J108" s="0" t="n">
        <f aca="false">cleaned_data!J108</f>
        <v>0.25</v>
      </c>
      <c r="K108" s="0" t="n">
        <f aca="false">cleaned_data!K108</f>
        <v>0</v>
      </c>
      <c r="L108" s="0" t="n">
        <f aca="false">cleaned_data!L108</f>
        <v>3</v>
      </c>
      <c r="M108" s="0" t="n">
        <f aca="false">cleaned_data!M108</f>
        <v>795153.84</v>
      </c>
      <c r="N108" s="0" t="n">
        <f aca="false">cleaned_data!N108</f>
        <v>143194.21</v>
      </c>
      <c r="O108" s="0" t="n">
        <f aca="false">IF(cleaned_data!C108="North",1,0)</f>
        <v>0</v>
      </c>
      <c r="P108" s="0" t="n">
        <f aca="false">IF(cleaned_data!C108="South",1,0)</f>
        <v>0</v>
      </c>
      <c r="Q108" s="0" t="n">
        <f aca="false">IF(cleaned_data!C108="West",1,0)</f>
        <v>1</v>
      </c>
      <c r="R108" s="0" t="n">
        <f aca="false">IF(cleaned_data!D108="Airport",1,0)</f>
        <v>0</v>
      </c>
      <c r="S108" s="0" t="n">
        <f aca="false">IF(cleaned_data!D108="Mall",1,0)</f>
        <v>0</v>
      </c>
      <c r="T108" s="0" t="n">
        <f aca="false">IF(cleaned_data!D108="Residential",1,0)</f>
        <v>0</v>
      </c>
    </row>
    <row r="109" customFormat="false" ht="15" hidden="false" customHeight="false" outlineLevel="0" collapsed="false">
      <c r="A109" s="0" t="str">
        <f aca="false">cleaned_data!A109</f>
        <v>STR-1027</v>
      </c>
      <c r="B109" s="0" t="str">
        <f aca="false">cleaned_data!B109</f>
        <v>2025-04-01</v>
      </c>
      <c r="C109" s="0" t="str">
        <f aca="false">cleaned_data!C109</f>
        <v>West</v>
      </c>
      <c r="D109" s="0" t="str">
        <f aca="false">cleaned_data!D109</f>
        <v>High Street</v>
      </c>
      <c r="E109" s="0" t="n">
        <f aca="false">cleaned_data!E109</f>
        <v>31042.03</v>
      </c>
      <c r="F109" s="0" t="n">
        <f aca="false">cleaned_data!F109</f>
        <v>7107</v>
      </c>
      <c r="G109" s="0" t="n">
        <f aca="false">cleaned_data!G109</f>
        <v>0.051</v>
      </c>
      <c r="H109" s="0" t="n">
        <f aca="false">cleaned_data!H109</f>
        <v>15</v>
      </c>
      <c r="I109" s="0" t="n">
        <f aca="false">cleaned_data!I109</f>
        <v>87</v>
      </c>
      <c r="J109" s="0" t="n">
        <f aca="false">cleaned_data!J109</f>
        <v>13.33</v>
      </c>
      <c r="K109" s="0" t="n">
        <f aca="false">cleaned_data!K109</f>
        <v>0</v>
      </c>
      <c r="L109" s="0" t="n">
        <f aca="false">cleaned_data!L109</f>
        <v>3.2</v>
      </c>
      <c r="M109" s="0" t="n">
        <f aca="false">cleaned_data!M109</f>
        <v>665594.94</v>
      </c>
      <c r="N109" s="0" t="n">
        <f aca="false">cleaned_data!N109</f>
        <v>127597.34</v>
      </c>
      <c r="O109" s="0" t="n">
        <f aca="false">IF(cleaned_data!C109="North",1,0)</f>
        <v>0</v>
      </c>
      <c r="P109" s="0" t="n">
        <f aca="false">IF(cleaned_data!C109="South",1,0)</f>
        <v>0</v>
      </c>
      <c r="Q109" s="0" t="n">
        <f aca="false">IF(cleaned_data!C109="West",1,0)</f>
        <v>1</v>
      </c>
      <c r="R109" s="0" t="n">
        <f aca="false">IF(cleaned_data!D109="Airport",1,0)</f>
        <v>0</v>
      </c>
      <c r="S109" s="0" t="n">
        <f aca="false">IF(cleaned_data!D109="Mall",1,0)</f>
        <v>0</v>
      </c>
      <c r="T109" s="0" t="n">
        <f aca="false">IF(cleaned_data!D109="Residential",1,0)</f>
        <v>0</v>
      </c>
    </row>
    <row r="110" customFormat="false" ht="15" hidden="false" customHeight="false" outlineLevel="0" collapsed="false">
      <c r="A110" s="0" t="str">
        <f aca="false">cleaned_data!A110</f>
        <v>STR-1028</v>
      </c>
      <c r="B110" s="0" t="str">
        <f aca="false">cleaned_data!B110</f>
        <v>2025-01-01</v>
      </c>
      <c r="C110" s="0" t="str">
        <f aca="false">cleaned_data!C110</f>
        <v>East</v>
      </c>
      <c r="D110" s="0" t="str">
        <f aca="false">cleaned_data!D110</f>
        <v>Mall</v>
      </c>
      <c r="E110" s="0" t="n">
        <f aca="false">cleaned_data!E110</f>
        <v>75265.02</v>
      </c>
      <c r="F110" s="0" t="n">
        <f aca="false">cleaned_data!F110</f>
        <v>6975</v>
      </c>
      <c r="G110" s="0" t="n">
        <f aca="false">cleaned_data!G110</f>
        <v>0.157</v>
      </c>
      <c r="H110" s="0" t="n">
        <f aca="false">cleaned_data!H110</f>
        <v>20</v>
      </c>
      <c r="I110" s="0" t="n">
        <f aca="false">cleaned_data!I110</f>
        <v>73.8</v>
      </c>
      <c r="J110" s="0" t="n">
        <f aca="false">cleaned_data!J110</f>
        <v>6.35</v>
      </c>
      <c r="K110" s="0" t="n">
        <f aca="false">cleaned_data!K110</f>
        <v>1</v>
      </c>
      <c r="L110" s="0" t="n">
        <f aca="false">cleaned_data!L110</f>
        <v>3.8</v>
      </c>
      <c r="M110" s="0" t="n">
        <f aca="false">cleaned_data!M110</f>
        <v>709478.39</v>
      </c>
      <c r="N110" s="0" t="n">
        <f aca="false">cleaned_data!N110</f>
        <v>71294.27</v>
      </c>
      <c r="O110" s="0" t="n">
        <f aca="false">IF(cleaned_data!C110="North",1,0)</f>
        <v>0</v>
      </c>
      <c r="P110" s="0" t="n">
        <f aca="false">IF(cleaned_data!C110="South",1,0)</f>
        <v>0</v>
      </c>
      <c r="Q110" s="0" t="n">
        <f aca="false">IF(cleaned_data!C110="West",1,0)</f>
        <v>0</v>
      </c>
      <c r="R110" s="0" t="n">
        <f aca="false">IF(cleaned_data!D110="Airport",1,0)</f>
        <v>0</v>
      </c>
      <c r="S110" s="0" t="n">
        <f aca="false">IF(cleaned_data!D110="Mall",1,0)</f>
        <v>1</v>
      </c>
      <c r="T110" s="0" t="n">
        <f aca="false">IF(cleaned_data!D110="Residential",1,0)</f>
        <v>0</v>
      </c>
    </row>
    <row r="111" customFormat="false" ht="15" hidden="false" customHeight="false" outlineLevel="0" collapsed="false">
      <c r="A111" s="0" t="str">
        <f aca="false">cleaned_data!A111</f>
        <v>STR-1028</v>
      </c>
      <c r="B111" s="0" t="str">
        <f aca="false">cleaned_data!B111</f>
        <v>2025-02-01</v>
      </c>
      <c r="C111" s="0" t="str">
        <f aca="false">cleaned_data!C111</f>
        <v>East</v>
      </c>
      <c r="D111" s="0" t="str">
        <f aca="false">cleaned_data!D111</f>
        <v>Mall</v>
      </c>
      <c r="E111" s="0" t="n">
        <f aca="false">cleaned_data!E111</f>
        <v>69411.7</v>
      </c>
      <c r="F111" s="0" t="n">
        <f aca="false">cleaned_data!F111</f>
        <v>5493</v>
      </c>
      <c r="G111" s="0" t="n">
        <f aca="false">cleaned_data!G111</f>
        <v>0.292</v>
      </c>
      <c r="H111" s="0" t="n">
        <f aca="false">cleaned_data!H111</f>
        <v>13</v>
      </c>
      <c r="I111" s="0" t="n">
        <f aca="false">cleaned_data!I111</f>
        <v>86.5</v>
      </c>
      <c r="J111" s="0" t="n">
        <f aca="false">cleaned_data!J111</f>
        <v>6.69</v>
      </c>
      <c r="K111" s="0" t="n">
        <f aca="false">cleaned_data!K111</f>
        <v>0</v>
      </c>
      <c r="L111" s="0" t="n">
        <f aca="false">cleaned_data!L111</f>
        <v>3.8</v>
      </c>
      <c r="M111" s="0" t="n">
        <f aca="false">cleaned_data!M111</f>
        <v>664162.49</v>
      </c>
      <c r="N111" s="0" t="n">
        <f aca="false">cleaned_data!N111</f>
        <v>98291.06</v>
      </c>
      <c r="O111" s="0" t="n">
        <f aca="false">IF(cleaned_data!C111="North",1,0)</f>
        <v>0</v>
      </c>
      <c r="P111" s="0" t="n">
        <f aca="false">IF(cleaned_data!C111="South",1,0)</f>
        <v>0</v>
      </c>
      <c r="Q111" s="0" t="n">
        <f aca="false">IF(cleaned_data!C111="West",1,0)</f>
        <v>0</v>
      </c>
      <c r="R111" s="0" t="n">
        <f aca="false">IF(cleaned_data!D111="Airport",1,0)</f>
        <v>0</v>
      </c>
      <c r="S111" s="0" t="n">
        <f aca="false">IF(cleaned_data!D111="Mall",1,0)</f>
        <v>1</v>
      </c>
      <c r="T111" s="0" t="n">
        <f aca="false">IF(cleaned_data!D111="Residential",1,0)</f>
        <v>0</v>
      </c>
    </row>
    <row r="112" customFormat="false" ht="15" hidden="false" customHeight="false" outlineLevel="0" collapsed="false">
      <c r="A112" s="0" t="str">
        <f aca="false">cleaned_data!A112</f>
        <v>STR-1028</v>
      </c>
      <c r="B112" s="0" t="str">
        <f aca="false">cleaned_data!B112</f>
        <v>2025-03-01</v>
      </c>
      <c r="C112" s="0" t="str">
        <f aca="false">cleaned_data!C112</f>
        <v>East</v>
      </c>
      <c r="D112" s="0" t="str">
        <f aca="false">cleaned_data!D112</f>
        <v>Mall</v>
      </c>
      <c r="E112" s="0" t="n">
        <f aca="false">cleaned_data!E112</f>
        <v>51056.15</v>
      </c>
      <c r="F112" s="0" t="n">
        <f aca="false">cleaned_data!F112</f>
        <v>5686</v>
      </c>
      <c r="G112" s="0" t="n">
        <f aca="false">cleaned_data!G112</f>
        <v>0.089</v>
      </c>
      <c r="H112" s="0" t="n">
        <f aca="false">cleaned_data!H112</f>
        <v>13</v>
      </c>
      <c r="I112" s="0" t="n">
        <f aca="false">cleaned_data!I112</f>
        <v>89.9</v>
      </c>
      <c r="J112" s="0" t="n">
        <f aca="false">cleaned_data!J112</f>
        <v>1.28</v>
      </c>
      <c r="K112" s="0" t="n">
        <f aca="false">cleaned_data!K112</f>
        <v>0</v>
      </c>
      <c r="L112" s="0" t="n">
        <f aca="false">cleaned_data!L112</f>
        <v>4.2</v>
      </c>
      <c r="M112" s="0" t="n">
        <f aca="false">cleaned_data!M112</f>
        <v>633494.21</v>
      </c>
      <c r="N112" s="0" t="n">
        <f aca="false">cleaned_data!N112</f>
        <v>105739.47</v>
      </c>
      <c r="O112" s="0" t="n">
        <f aca="false">IF(cleaned_data!C112="North",1,0)</f>
        <v>0</v>
      </c>
      <c r="P112" s="0" t="n">
        <f aca="false">IF(cleaned_data!C112="South",1,0)</f>
        <v>0</v>
      </c>
      <c r="Q112" s="0" t="n">
        <f aca="false">IF(cleaned_data!C112="West",1,0)</f>
        <v>0</v>
      </c>
      <c r="R112" s="0" t="n">
        <f aca="false">IF(cleaned_data!D112="Airport",1,0)</f>
        <v>0</v>
      </c>
      <c r="S112" s="0" t="n">
        <f aca="false">IF(cleaned_data!D112="Mall",1,0)</f>
        <v>1</v>
      </c>
      <c r="T112" s="0" t="n">
        <f aca="false">IF(cleaned_data!D112="Residential",1,0)</f>
        <v>0</v>
      </c>
    </row>
    <row r="113" customFormat="false" ht="15" hidden="false" customHeight="false" outlineLevel="0" collapsed="false">
      <c r="A113" s="0" t="str">
        <f aca="false">cleaned_data!A113</f>
        <v>STR-1028</v>
      </c>
      <c r="B113" s="0" t="str">
        <f aca="false">cleaned_data!B113</f>
        <v>2025-04-01</v>
      </c>
      <c r="C113" s="0" t="str">
        <f aca="false">cleaned_data!C113</f>
        <v>East</v>
      </c>
      <c r="D113" s="0" t="str">
        <f aca="false">cleaned_data!D113</f>
        <v>Mall</v>
      </c>
      <c r="E113" s="0" t="n">
        <f aca="false">cleaned_data!E113</f>
        <v>52758.01</v>
      </c>
      <c r="F113" s="0" t="n">
        <f aca="false">cleaned_data!F113</f>
        <v>4063</v>
      </c>
      <c r="G113" s="0" t="n">
        <f aca="false">cleaned_data!G113</f>
        <v>0.057</v>
      </c>
      <c r="H113" s="0" t="n">
        <f aca="false">cleaned_data!H113</f>
        <v>12</v>
      </c>
      <c r="I113" s="0" t="n">
        <f aca="false">cleaned_data!I113</f>
        <v>91.7</v>
      </c>
      <c r="J113" s="0" t="n">
        <f aca="false">cleaned_data!J113</f>
        <v>0.92</v>
      </c>
      <c r="K113" s="0" t="n">
        <f aca="false">cleaned_data!K113</f>
        <v>0</v>
      </c>
      <c r="L113" s="0" t="n">
        <f aca="false">cleaned_data!L113</f>
        <v>3.5</v>
      </c>
      <c r="M113" s="0" t="n">
        <f aca="false">cleaned_data!M113</f>
        <v>713611.16</v>
      </c>
      <c r="N113" s="0" t="n">
        <f aca="false">cleaned_data!N113</f>
        <v>129717.18</v>
      </c>
      <c r="O113" s="0" t="n">
        <f aca="false">IF(cleaned_data!C113="North",1,0)</f>
        <v>0</v>
      </c>
      <c r="P113" s="0" t="n">
        <f aca="false">IF(cleaned_data!C113="South",1,0)</f>
        <v>0</v>
      </c>
      <c r="Q113" s="0" t="n">
        <f aca="false">IF(cleaned_data!C113="West",1,0)</f>
        <v>0</v>
      </c>
      <c r="R113" s="0" t="n">
        <f aca="false">IF(cleaned_data!D113="Airport",1,0)</f>
        <v>0</v>
      </c>
      <c r="S113" s="0" t="n">
        <f aca="false">IF(cleaned_data!D113="Mall",1,0)</f>
        <v>1</v>
      </c>
      <c r="T113" s="0" t="n">
        <f aca="false">IF(cleaned_data!D113="Residential",1,0)</f>
        <v>0</v>
      </c>
    </row>
    <row r="114" customFormat="false" ht="15" hidden="false" customHeight="false" outlineLevel="0" collapsed="false">
      <c r="A114" s="0" t="str">
        <f aca="false">cleaned_data!A114</f>
        <v>STR-1029</v>
      </c>
      <c r="B114" s="0" t="str">
        <f aca="false">cleaned_data!B114</f>
        <v>2025-01-01</v>
      </c>
      <c r="C114" s="0" t="str">
        <f aca="false">cleaned_data!C114</f>
        <v>West</v>
      </c>
      <c r="D114" s="0" t="str">
        <f aca="false">cleaned_data!D114</f>
        <v>Mall</v>
      </c>
      <c r="E114" s="0" t="n">
        <f aca="false">cleaned_data!E114</f>
        <v>61426.04</v>
      </c>
      <c r="F114" s="0" t="n">
        <f aca="false">cleaned_data!F114</f>
        <v>8966</v>
      </c>
      <c r="G114" s="0" t="n">
        <f aca="false">cleaned_data!G114</f>
        <v>0.173</v>
      </c>
      <c r="H114" s="0" t="n">
        <f aca="false">cleaned_data!H114</f>
        <v>22</v>
      </c>
      <c r="I114" s="0" t="n">
        <f aca="false">cleaned_data!I114</f>
        <v>76.4</v>
      </c>
      <c r="J114" s="0" t="n">
        <f aca="false">cleaned_data!J114</f>
        <v>1.05</v>
      </c>
      <c r="K114" s="0" t="n">
        <f aca="false">cleaned_data!K114</f>
        <v>0</v>
      </c>
      <c r="L114" s="0" t="n">
        <f aca="false">cleaned_data!L114</f>
        <v>3.1</v>
      </c>
      <c r="M114" s="0" t="n">
        <f aca="false">cleaned_data!M114</f>
        <v>778397.97</v>
      </c>
      <c r="N114" s="0" t="n">
        <f aca="false">cleaned_data!N114</f>
        <v>120044.41</v>
      </c>
      <c r="O114" s="0" t="n">
        <f aca="false">IF(cleaned_data!C114="North",1,0)</f>
        <v>0</v>
      </c>
      <c r="P114" s="0" t="n">
        <f aca="false">IF(cleaned_data!C114="South",1,0)</f>
        <v>0</v>
      </c>
      <c r="Q114" s="0" t="n">
        <f aca="false">IF(cleaned_data!C114="West",1,0)</f>
        <v>1</v>
      </c>
      <c r="R114" s="0" t="n">
        <f aca="false">IF(cleaned_data!D114="Airport",1,0)</f>
        <v>0</v>
      </c>
      <c r="S114" s="0" t="n">
        <f aca="false">IF(cleaned_data!D114="Mall",1,0)</f>
        <v>1</v>
      </c>
      <c r="T114" s="0" t="n">
        <f aca="false">IF(cleaned_data!D114="Residential",1,0)</f>
        <v>0</v>
      </c>
    </row>
    <row r="115" customFormat="false" ht="15" hidden="false" customHeight="false" outlineLevel="0" collapsed="false">
      <c r="A115" s="0" t="str">
        <f aca="false">cleaned_data!A115</f>
        <v>STR-1029</v>
      </c>
      <c r="B115" s="0" t="str">
        <f aca="false">cleaned_data!B115</f>
        <v>2025-02-01</v>
      </c>
      <c r="C115" s="0" t="str">
        <f aca="false">cleaned_data!C115</f>
        <v>West</v>
      </c>
      <c r="D115" s="0" t="str">
        <f aca="false">cleaned_data!D115</f>
        <v>Mall</v>
      </c>
      <c r="E115" s="0" t="n">
        <f aca="false">cleaned_data!E115</f>
        <v>80176.34</v>
      </c>
      <c r="F115" s="0" t="n">
        <f aca="false">cleaned_data!F115</f>
        <v>9489</v>
      </c>
      <c r="G115" s="0" t="n">
        <f aca="false">cleaned_data!G115</f>
        <v>0.142</v>
      </c>
      <c r="H115" s="0" t="n">
        <f aca="false">cleaned_data!H115</f>
        <v>22</v>
      </c>
      <c r="I115" s="0" t="n">
        <f aca="false">cleaned_data!I115</f>
        <v>94.3</v>
      </c>
      <c r="J115" s="0" t="n">
        <f aca="false">cleaned_data!J115</f>
        <v>2.67</v>
      </c>
      <c r="K115" s="0" t="n">
        <f aca="false">cleaned_data!K115</f>
        <v>0</v>
      </c>
      <c r="L115" s="0" t="n">
        <f aca="false">cleaned_data!L115</f>
        <v>3.5</v>
      </c>
      <c r="M115" s="0" t="n">
        <f aca="false">cleaned_data!M115</f>
        <v>873380.02</v>
      </c>
      <c r="N115" s="0" t="n">
        <f aca="false">cleaned_data!N115</f>
        <v>149734.76</v>
      </c>
      <c r="O115" s="0" t="n">
        <f aca="false">IF(cleaned_data!C115="North",1,0)</f>
        <v>0</v>
      </c>
      <c r="P115" s="0" t="n">
        <f aca="false">IF(cleaned_data!C115="South",1,0)</f>
        <v>0</v>
      </c>
      <c r="Q115" s="0" t="n">
        <f aca="false">IF(cleaned_data!C115="West",1,0)</f>
        <v>1</v>
      </c>
      <c r="R115" s="0" t="n">
        <f aca="false">IF(cleaned_data!D115="Airport",1,0)</f>
        <v>0</v>
      </c>
      <c r="S115" s="0" t="n">
        <f aca="false">IF(cleaned_data!D115="Mall",1,0)</f>
        <v>1</v>
      </c>
      <c r="T115" s="0" t="n">
        <f aca="false">IF(cleaned_data!D115="Residential",1,0)</f>
        <v>0</v>
      </c>
    </row>
    <row r="116" customFormat="false" ht="15" hidden="false" customHeight="false" outlineLevel="0" collapsed="false">
      <c r="A116" s="0" t="str">
        <f aca="false">cleaned_data!A116</f>
        <v>STR-1029</v>
      </c>
      <c r="B116" s="0" t="str">
        <f aca="false">cleaned_data!B116</f>
        <v>2025-03-01</v>
      </c>
      <c r="C116" s="0" t="str">
        <f aca="false">cleaned_data!C116</f>
        <v>West</v>
      </c>
      <c r="D116" s="0" t="str">
        <f aca="false">cleaned_data!D116</f>
        <v>Mall</v>
      </c>
      <c r="E116" s="0" t="n">
        <f aca="false">cleaned_data!E116</f>
        <v>33605.18</v>
      </c>
      <c r="F116" s="0" t="n">
        <f aca="false">cleaned_data!F116</f>
        <v>9225</v>
      </c>
      <c r="G116" s="0" t="n">
        <f aca="false">cleaned_data!G116</f>
        <v>0.159</v>
      </c>
      <c r="H116" s="0" t="n">
        <f aca="false">cleaned_data!H116</f>
        <v>23</v>
      </c>
      <c r="I116" s="0" t="n">
        <f aca="false">cleaned_data!I116</f>
        <v>88.4</v>
      </c>
      <c r="J116" s="0" t="n">
        <f aca="false">cleaned_data!J116</f>
        <v>5.91</v>
      </c>
      <c r="K116" s="0" t="n">
        <f aca="false">cleaned_data!K116</f>
        <v>0</v>
      </c>
      <c r="L116" s="0" t="n">
        <f aca="false">cleaned_data!L116</f>
        <v>2.8</v>
      </c>
      <c r="M116" s="0" t="n">
        <f aca="false">cleaned_data!M116</f>
        <v>697287.9</v>
      </c>
      <c r="N116" s="0" t="n">
        <f aca="false">cleaned_data!N116</f>
        <v>128208.33</v>
      </c>
      <c r="O116" s="0" t="n">
        <f aca="false">IF(cleaned_data!C116="North",1,0)</f>
        <v>0</v>
      </c>
      <c r="P116" s="0" t="n">
        <f aca="false">IF(cleaned_data!C116="South",1,0)</f>
        <v>0</v>
      </c>
      <c r="Q116" s="0" t="n">
        <f aca="false">IF(cleaned_data!C116="West",1,0)</f>
        <v>1</v>
      </c>
      <c r="R116" s="0" t="n">
        <f aca="false">IF(cleaned_data!D116="Airport",1,0)</f>
        <v>0</v>
      </c>
      <c r="S116" s="0" t="n">
        <f aca="false">IF(cleaned_data!D116="Mall",1,0)</f>
        <v>1</v>
      </c>
      <c r="T116" s="0" t="n">
        <f aca="false">IF(cleaned_data!D116="Residential",1,0)</f>
        <v>0</v>
      </c>
    </row>
    <row r="117" customFormat="false" ht="15" hidden="false" customHeight="false" outlineLevel="0" collapsed="false">
      <c r="A117" s="0" t="str">
        <f aca="false">cleaned_data!A117</f>
        <v>STR-1029</v>
      </c>
      <c r="B117" s="0" t="str">
        <f aca="false">cleaned_data!B117</f>
        <v>2025-04-01</v>
      </c>
      <c r="C117" s="0" t="str">
        <f aca="false">cleaned_data!C117</f>
        <v>West</v>
      </c>
      <c r="D117" s="0" t="str">
        <f aca="false">cleaned_data!D117</f>
        <v>Mall</v>
      </c>
      <c r="E117" s="0" t="n">
        <f aca="false">cleaned_data!E117</f>
        <v>25990.54</v>
      </c>
      <c r="F117" s="0" t="n">
        <f aca="false">cleaned_data!F117</f>
        <v>9249</v>
      </c>
      <c r="G117" s="0" t="n">
        <f aca="false">cleaned_data!G117</f>
        <v>0.139</v>
      </c>
      <c r="H117" s="0" t="n">
        <f aca="false">cleaned_data!H117</f>
        <v>23</v>
      </c>
      <c r="I117" s="0" t="n">
        <f aca="false">cleaned_data!I117</f>
        <v>92.5</v>
      </c>
      <c r="J117" s="0" t="n">
        <f aca="false">cleaned_data!J117</f>
        <v>6.37</v>
      </c>
      <c r="K117" s="0" t="n">
        <f aca="false">cleaned_data!K117</f>
        <v>0</v>
      </c>
      <c r="L117" s="0" t="n">
        <f aca="false">cleaned_data!L117</f>
        <v>3.3</v>
      </c>
      <c r="M117" s="0" t="n">
        <f aca="false">cleaned_data!M117</f>
        <v>718074.79</v>
      </c>
      <c r="N117" s="0" t="n">
        <f aca="false">cleaned_data!N117</f>
        <v>115819.87</v>
      </c>
      <c r="O117" s="0" t="n">
        <f aca="false">IF(cleaned_data!C117="North",1,0)</f>
        <v>0</v>
      </c>
      <c r="P117" s="0" t="n">
        <f aca="false">IF(cleaned_data!C117="South",1,0)</f>
        <v>0</v>
      </c>
      <c r="Q117" s="0" t="n">
        <f aca="false">IF(cleaned_data!C117="West",1,0)</f>
        <v>1</v>
      </c>
      <c r="R117" s="0" t="n">
        <f aca="false">IF(cleaned_data!D117="Airport",1,0)</f>
        <v>0</v>
      </c>
      <c r="S117" s="0" t="n">
        <f aca="false">IF(cleaned_data!D117="Mall",1,0)</f>
        <v>1</v>
      </c>
      <c r="T117" s="0" t="n">
        <f aca="false">IF(cleaned_data!D117="Residential",1,0)</f>
        <v>0</v>
      </c>
    </row>
    <row r="118" customFormat="false" ht="15" hidden="false" customHeight="false" outlineLevel="0" collapsed="false">
      <c r="A118" s="0" t="str">
        <f aca="false">cleaned_data!A118</f>
        <v>STR-1030</v>
      </c>
      <c r="B118" s="0" t="str">
        <f aca="false">cleaned_data!B118</f>
        <v>2025-01-01</v>
      </c>
      <c r="C118" s="0" t="str">
        <f aca="false">cleaned_data!C118</f>
        <v>West</v>
      </c>
      <c r="D118" s="0" t="str">
        <f aca="false">cleaned_data!D118</f>
        <v>Residential</v>
      </c>
      <c r="E118" s="0" t="n">
        <f aca="false">cleaned_data!E118</f>
        <v>43685.14</v>
      </c>
      <c r="F118" s="0" t="n">
        <f aca="false">cleaned_data!F118</f>
        <v>7821</v>
      </c>
      <c r="G118" s="0" t="n">
        <f aca="false">cleaned_data!G118</f>
        <v>0.19</v>
      </c>
      <c r="H118" s="0" t="n">
        <f aca="false">cleaned_data!H118</f>
        <v>17</v>
      </c>
      <c r="I118" s="0" t="n">
        <f aca="false">cleaned_data!I118</f>
        <v>91</v>
      </c>
      <c r="J118" s="0" t="n">
        <f aca="false">cleaned_data!J118</f>
        <v>2.49</v>
      </c>
      <c r="K118" s="0" t="n">
        <f aca="false">cleaned_data!K118</f>
        <v>1</v>
      </c>
      <c r="L118" s="0" t="n">
        <f aca="false">cleaned_data!L118</f>
        <v>4.7</v>
      </c>
      <c r="M118" s="0" t="n">
        <f aca="false">cleaned_data!M118</f>
        <v>714942.43</v>
      </c>
      <c r="N118" s="0" t="n">
        <f aca="false">cleaned_data!N118</f>
        <v>94697.71</v>
      </c>
      <c r="O118" s="0" t="n">
        <f aca="false">IF(cleaned_data!C118="North",1,0)</f>
        <v>0</v>
      </c>
      <c r="P118" s="0" t="n">
        <f aca="false">IF(cleaned_data!C118="South",1,0)</f>
        <v>0</v>
      </c>
      <c r="Q118" s="0" t="n">
        <f aca="false">IF(cleaned_data!C118="West",1,0)</f>
        <v>1</v>
      </c>
      <c r="R118" s="0" t="n">
        <f aca="false">IF(cleaned_data!D118="Airport",1,0)</f>
        <v>0</v>
      </c>
      <c r="S118" s="0" t="n">
        <f aca="false">IF(cleaned_data!D118="Mall",1,0)</f>
        <v>0</v>
      </c>
      <c r="T118" s="0" t="n">
        <f aca="false">IF(cleaned_data!D118="Residential",1,0)</f>
        <v>1</v>
      </c>
    </row>
    <row r="119" customFormat="false" ht="15" hidden="false" customHeight="false" outlineLevel="0" collapsed="false">
      <c r="A119" s="0" t="str">
        <f aca="false">cleaned_data!A119</f>
        <v>STR-1030</v>
      </c>
      <c r="B119" s="0" t="str">
        <f aca="false">cleaned_data!B119</f>
        <v>2025-02-01</v>
      </c>
      <c r="C119" s="0" t="str">
        <f aca="false">cleaned_data!C119</f>
        <v>West</v>
      </c>
      <c r="D119" s="0" t="str">
        <f aca="false">cleaned_data!D119</f>
        <v>Residential</v>
      </c>
      <c r="E119" s="0" t="n">
        <f aca="false">cleaned_data!E119</f>
        <v>57360.01</v>
      </c>
      <c r="F119" s="0" t="n">
        <f aca="false">cleaned_data!F119</f>
        <v>8434</v>
      </c>
      <c r="G119" s="0" t="n">
        <f aca="false">cleaned_data!G119</f>
        <v>0.151</v>
      </c>
      <c r="H119" s="0" t="n">
        <f aca="false">cleaned_data!H119</f>
        <v>19</v>
      </c>
      <c r="I119" s="0" t="n">
        <f aca="false">cleaned_data!I119</f>
        <v>84.1</v>
      </c>
      <c r="J119" s="0" t="n">
        <f aca="false">cleaned_data!J119</f>
        <v>1.56</v>
      </c>
      <c r="K119" s="0" t="n">
        <f aca="false">cleaned_data!K119</f>
        <v>0</v>
      </c>
      <c r="L119" s="0" t="n">
        <f aca="false">cleaned_data!L119</f>
        <v>4.7</v>
      </c>
      <c r="M119" s="0" t="n">
        <f aca="false">cleaned_data!M119</f>
        <v>820519.04</v>
      </c>
      <c r="N119" s="0" t="n">
        <f aca="false">cleaned_data!N119</f>
        <v>99035.88</v>
      </c>
      <c r="O119" s="0" t="n">
        <f aca="false">IF(cleaned_data!C119="North",1,0)</f>
        <v>0</v>
      </c>
      <c r="P119" s="0" t="n">
        <f aca="false">IF(cleaned_data!C119="South",1,0)</f>
        <v>0</v>
      </c>
      <c r="Q119" s="0" t="n">
        <f aca="false">IF(cleaned_data!C119="West",1,0)</f>
        <v>1</v>
      </c>
      <c r="R119" s="0" t="n">
        <f aca="false">IF(cleaned_data!D119="Airport",1,0)</f>
        <v>0</v>
      </c>
      <c r="S119" s="0" t="n">
        <f aca="false">IF(cleaned_data!D119="Mall",1,0)</f>
        <v>0</v>
      </c>
      <c r="T119" s="0" t="n">
        <f aca="false">IF(cleaned_data!D119="Residential",1,0)</f>
        <v>1</v>
      </c>
    </row>
    <row r="120" customFormat="false" ht="15" hidden="false" customHeight="false" outlineLevel="0" collapsed="false">
      <c r="A120" s="0" t="str">
        <f aca="false">cleaned_data!A120</f>
        <v>STR-1030</v>
      </c>
      <c r="B120" s="0" t="str">
        <f aca="false">cleaned_data!B120</f>
        <v>2025-03-01</v>
      </c>
      <c r="C120" s="0" t="str">
        <f aca="false">cleaned_data!C120</f>
        <v>West</v>
      </c>
      <c r="D120" s="0" t="str">
        <f aca="false">cleaned_data!D120</f>
        <v>Residential</v>
      </c>
      <c r="E120" s="0" t="n">
        <f aca="false">cleaned_data!E120</f>
        <v>42415.47</v>
      </c>
      <c r="F120" s="0" t="n">
        <f aca="false">cleaned_data!F120</f>
        <v>8512</v>
      </c>
      <c r="G120" s="0" t="n">
        <f aca="false">cleaned_data!G120</f>
        <v>0.133</v>
      </c>
      <c r="H120" s="0" t="n">
        <f aca="false">cleaned_data!H120</f>
        <v>18</v>
      </c>
      <c r="I120" s="0" t="n">
        <f aca="false">cleaned_data!I120</f>
        <v>96.8</v>
      </c>
      <c r="J120" s="0" t="n">
        <f aca="false">cleaned_data!J120</f>
        <v>14.95</v>
      </c>
      <c r="K120" s="0" t="n">
        <f aca="false">cleaned_data!K120</f>
        <v>0</v>
      </c>
      <c r="L120" s="0" t="n">
        <f aca="false">cleaned_data!L120</f>
        <v>4.6</v>
      </c>
      <c r="M120" s="0" t="n">
        <f aca="false">cleaned_data!M120</f>
        <v>684217.32</v>
      </c>
      <c r="N120" s="0" t="n">
        <f aca="false">cleaned_data!N120</f>
        <v>136217.19</v>
      </c>
      <c r="O120" s="0" t="n">
        <f aca="false">IF(cleaned_data!C120="North",1,0)</f>
        <v>0</v>
      </c>
      <c r="P120" s="0" t="n">
        <f aca="false">IF(cleaned_data!C120="South",1,0)</f>
        <v>0</v>
      </c>
      <c r="Q120" s="0" t="n">
        <f aca="false">IF(cleaned_data!C120="West",1,0)</f>
        <v>1</v>
      </c>
      <c r="R120" s="0" t="n">
        <f aca="false">IF(cleaned_data!D120="Airport",1,0)</f>
        <v>0</v>
      </c>
      <c r="S120" s="0" t="n">
        <f aca="false">IF(cleaned_data!D120="Mall",1,0)</f>
        <v>0</v>
      </c>
      <c r="T120" s="0" t="n">
        <f aca="false">IF(cleaned_data!D120="Residential",1,0)</f>
        <v>1</v>
      </c>
    </row>
    <row r="121" customFormat="false" ht="15" hidden="false" customHeight="false" outlineLevel="0" collapsed="false">
      <c r="A121" s="0" t="str">
        <f aca="false">cleaned_data!A121</f>
        <v>STR-1030</v>
      </c>
      <c r="B121" s="0" t="str">
        <f aca="false">cleaned_data!B121</f>
        <v>2025-04-01</v>
      </c>
      <c r="C121" s="0" t="str">
        <f aca="false">cleaned_data!C121</f>
        <v>West</v>
      </c>
      <c r="D121" s="0" t="str">
        <f aca="false">cleaned_data!D121</f>
        <v>Residential</v>
      </c>
      <c r="E121" s="0" t="n">
        <f aca="false">cleaned_data!E121</f>
        <v>54968.98</v>
      </c>
      <c r="F121" s="0" t="n">
        <f aca="false">cleaned_data!F121</f>
        <v>7816</v>
      </c>
      <c r="G121" s="0" t="n">
        <f aca="false">cleaned_data!G121</f>
        <v>0.232</v>
      </c>
      <c r="H121" s="0" t="n">
        <f aca="false">cleaned_data!H121</f>
        <v>19</v>
      </c>
      <c r="I121" s="0" t="n">
        <f aca="false">cleaned_data!I121</f>
        <v>95.7</v>
      </c>
      <c r="J121" s="0" t="n">
        <f aca="false">cleaned_data!J121</f>
        <v>7.85</v>
      </c>
      <c r="K121" s="0" t="n">
        <f aca="false">cleaned_data!K121</f>
        <v>0</v>
      </c>
      <c r="L121" s="0" t="n">
        <f aca="false">cleaned_data!L121</f>
        <v>4.7</v>
      </c>
      <c r="M121" s="0" t="n">
        <f aca="false">cleaned_data!M121</f>
        <v>735480.19</v>
      </c>
      <c r="N121" s="0" t="n">
        <f aca="false">cleaned_data!N121</f>
        <v>88342.11</v>
      </c>
      <c r="O121" s="0" t="n">
        <f aca="false">IF(cleaned_data!C121="North",1,0)</f>
        <v>0</v>
      </c>
      <c r="P121" s="0" t="n">
        <f aca="false">IF(cleaned_data!C121="South",1,0)</f>
        <v>0</v>
      </c>
      <c r="Q121" s="0" t="n">
        <f aca="false">IF(cleaned_data!C121="West",1,0)</f>
        <v>1</v>
      </c>
      <c r="R121" s="0" t="n">
        <f aca="false">IF(cleaned_data!D121="Airport",1,0)</f>
        <v>0</v>
      </c>
      <c r="S121" s="0" t="n">
        <f aca="false">IF(cleaned_data!D121="Mall",1,0)</f>
        <v>0</v>
      </c>
      <c r="T121" s="0" t="n">
        <f aca="false">IF(cleaned_data!D121="Residential",1,0)</f>
        <v>1</v>
      </c>
    </row>
    <row r="122" customFormat="false" ht="15" hidden="false" customHeight="false" outlineLevel="0" collapsed="false">
      <c r="A122" s="0" t="str">
        <f aca="false">cleaned_data!A122</f>
        <v>STR-1031</v>
      </c>
      <c r="B122" s="0" t="str">
        <f aca="false">cleaned_data!B122</f>
        <v>2025-01-01</v>
      </c>
      <c r="C122" s="0" t="str">
        <f aca="false">cleaned_data!C122</f>
        <v>North</v>
      </c>
      <c r="D122" s="0" t="str">
        <f aca="false">cleaned_data!D122</f>
        <v>High Street</v>
      </c>
      <c r="E122" s="0" t="n">
        <f aca="false">cleaned_data!E122</f>
        <v>43896.13</v>
      </c>
      <c r="F122" s="0" t="n">
        <f aca="false">cleaned_data!F122</f>
        <v>3853</v>
      </c>
      <c r="G122" s="0" t="n">
        <f aca="false">cleaned_data!G122</f>
        <v>0.088</v>
      </c>
      <c r="H122" s="0" t="n">
        <f aca="false">cleaned_data!H122</f>
        <v>13</v>
      </c>
      <c r="I122" s="0" t="n">
        <f aca="false">cleaned_data!I122</f>
        <v>83</v>
      </c>
      <c r="J122" s="0" t="n">
        <f aca="false">cleaned_data!J122</f>
        <v>6.8</v>
      </c>
      <c r="K122" s="0" t="n">
        <f aca="false">cleaned_data!K122</f>
        <v>0</v>
      </c>
      <c r="L122" s="0" t="n">
        <f aca="false">cleaned_data!L122</f>
        <v>4.4</v>
      </c>
      <c r="M122" s="0" t="n">
        <f aca="false">cleaned_data!M122</f>
        <v>509484.81</v>
      </c>
      <c r="N122" s="0" t="n">
        <f aca="false">cleaned_data!N122</f>
        <v>85742.36</v>
      </c>
      <c r="O122" s="0" t="n">
        <f aca="false">IF(cleaned_data!C122="North",1,0)</f>
        <v>1</v>
      </c>
      <c r="P122" s="0" t="n">
        <f aca="false">IF(cleaned_data!C122="South",1,0)</f>
        <v>0</v>
      </c>
      <c r="Q122" s="0" t="n">
        <f aca="false">IF(cleaned_data!C122="West",1,0)</f>
        <v>0</v>
      </c>
      <c r="R122" s="0" t="n">
        <f aca="false">IF(cleaned_data!D122="Airport",1,0)</f>
        <v>0</v>
      </c>
      <c r="S122" s="0" t="n">
        <f aca="false">IF(cleaned_data!D122="Mall",1,0)</f>
        <v>0</v>
      </c>
      <c r="T122" s="0" t="n">
        <f aca="false">IF(cleaned_data!D122="Residential",1,0)</f>
        <v>0</v>
      </c>
    </row>
    <row r="123" customFormat="false" ht="15" hidden="false" customHeight="false" outlineLevel="0" collapsed="false">
      <c r="A123" s="0" t="str">
        <f aca="false">cleaned_data!A123</f>
        <v>STR-1031</v>
      </c>
      <c r="B123" s="0" t="str">
        <f aca="false">cleaned_data!B123</f>
        <v>2025-02-01</v>
      </c>
      <c r="C123" s="0" t="str">
        <f aca="false">cleaned_data!C123</f>
        <v>North</v>
      </c>
      <c r="D123" s="0" t="str">
        <f aca="false">cleaned_data!D123</f>
        <v>High Street</v>
      </c>
      <c r="E123" s="0" t="n">
        <f aca="false">cleaned_data!E123</f>
        <v>83044.17</v>
      </c>
      <c r="F123" s="0" t="n">
        <f aca="false">cleaned_data!F123</f>
        <v>3694</v>
      </c>
      <c r="G123" s="0" t="n">
        <f aca="false">cleaned_data!G123</f>
        <v>0</v>
      </c>
      <c r="H123" s="0" t="n">
        <f aca="false">cleaned_data!H123</f>
        <v>14</v>
      </c>
      <c r="I123" s="0" t="n">
        <f aca="false">cleaned_data!I123</f>
        <v>89.4</v>
      </c>
      <c r="J123" s="0" t="n">
        <f aca="false">cleaned_data!J123</f>
        <v>2.2</v>
      </c>
      <c r="K123" s="0" t="n">
        <f aca="false">cleaned_data!K123</f>
        <v>0</v>
      </c>
      <c r="L123" s="0" t="n">
        <f aca="false">cleaned_data!L123</f>
        <v>3.7</v>
      </c>
      <c r="M123" s="0" t="n">
        <f aca="false">cleaned_data!M123</f>
        <v>654317.09</v>
      </c>
      <c r="N123" s="0" t="n">
        <f aca="false">cleaned_data!N123</f>
        <v>121446.89</v>
      </c>
      <c r="O123" s="0" t="n">
        <f aca="false">IF(cleaned_data!C123="North",1,0)</f>
        <v>1</v>
      </c>
      <c r="P123" s="0" t="n">
        <f aca="false">IF(cleaned_data!C123="South",1,0)</f>
        <v>0</v>
      </c>
      <c r="Q123" s="0" t="n">
        <f aca="false">IF(cleaned_data!C123="West",1,0)</f>
        <v>0</v>
      </c>
      <c r="R123" s="0" t="n">
        <f aca="false">IF(cleaned_data!D123="Airport",1,0)</f>
        <v>0</v>
      </c>
      <c r="S123" s="0" t="n">
        <f aca="false">IF(cleaned_data!D123="Mall",1,0)</f>
        <v>0</v>
      </c>
      <c r="T123" s="0" t="n">
        <f aca="false">IF(cleaned_data!D123="Residential",1,0)</f>
        <v>0</v>
      </c>
    </row>
    <row r="124" customFormat="false" ht="15" hidden="false" customHeight="false" outlineLevel="0" collapsed="false">
      <c r="A124" s="0" t="str">
        <f aca="false">cleaned_data!A124</f>
        <v>STR-1031</v>
      </c>
      <c r="B124" s="0" t="str">
        <f aca="false">cleaned_data!B124</f>
        <v>2025-03-01</v>
      </c>
      <c r="C124" s="0" t="str">
        <f aca="false">cleaned_data!C124</f>
        <v>North</v>
      </c>
      <c r="D124" s="0" t="str">
        <f aca="false">cleaned_data!D124</f>
        <v>High Street</v>
      </c>
      <c r="E124" s="0" t="n">
        <f aca="false">cleaned_data!E124</f>
        <v>48396.13</v>
      </c>
      <c r="F124" s="0" t="n">
        <f aca="false">cleaned_data!F124</f>
        <v>4423</v>
      </c>
      <c r="G124" s="0" t="n">
        <f aca="false">cleaned_data!G124</f>
        <v>0.069</v>
      </c>
      <c r="H124" s="0" t="n">
        <f aca="false">cleaned_data!H124</f>
        <v>15</v>
      </c>
      <c r="I124" s="0" t="n">
        <f aca="false">cleaned_data!I124</f>
        <v>85.7</v>
      </c>
      <c r="J124" s="0" t="n">
        <f aca="false">cleaned_data!J124</f>
        <v>1.88</v>
      </c>
      <c r="K124" s="0" t="n">
        <f aca="false">cleaned_data!K124</f>
        <v>0</v>
      </c>
      <c r="L124" s="0" t="n">
        <f aca="false">cleaned_data!L124</f>
        <v>3.9</v>
      </c>
      <c r="M124" s="0" t="n">
        <f aca="false">cleaned_data!M124</f>
        <v>557487.26</v>
      </c>
      <c r="N124" s="0" t="n">
        <f aca="false">cleaned_data!N124</f>
        <v>76432.19</v>
      </c>
      <c r="O124" s="0" t="n">
        <f aca="false">IF(cleaned_data!C124="North",1,0)</f>
        <v>1</v>
      </c>
      <c r="P124" s="0" t="n">
        <f aca="false">IF(cleaned_data!C124="South",1,0)</f>
        <v>0</v>
      </c>
      <c r="Q124" s="0" t="n">
        <f aca="false">IF(cleaned_data!C124="West",1,0)</f>
        <v>0</v>
      </c>
      <c r="R124" s="0" t="n">
        <f aca="false">IF(cleaned_data!D124="Airport",1,0)</f>
        <v>0</v>
      </c>
      <c r="S124" s="0" t="n">
        <f aca="false">IF(cleaned_data!D124="Mall",1,0)</f>
        <v>0</v>
      </c>
      <c r="T124" s="0" t="n">
        <f aca="false">IF(cleaned_data!D124="Residential",1,0)</f>
        <v>0</v>
      </c>
    </row>
    <row r="125" customFormat="false" ht="15" hidden="false" customHeight="false" outlineLevel="0" collapsed="false">
      <c r="A125" s="0" t="str">
        <f aca="false">cleaned_data!A125</f>
        <v>STR-1031</v>
      </c>
      <c r="B125" s="0" t="str">
        <f aca="false">cleaned_data!B125</f>
        <v>2025-04-01</v>
      </c>
      <c r="C125" s="0" t="str">
        <f aca="false">cleaned_data!C125</f>
        <v>North</v>
      </c>
      <c r="D125" s="0" t="str">
        <f aca="false">cleaned_data!D125</f>
        <v>High Street</v>
      </c>
      <c r="E125" s="0" t="n">
        <f aca="false">cleaned_data!E125</f>
        <v>19063.48</v>
      </c>
      <c r="F125" s="0" t="n">
        <f aca="false">cleaned_data!F125</f>
        <v>1906</v>
      </c>
      <c r="G125" s="0" t="n">
        <f aca="false">cleaned_data!G125</f>
        <v>0.216</v>
      </c>
      <c r="H125" s="0" t="n">
        <f aca="false">cleaned_data!H125</f>
        <v>10</v>
      </c>
      <c r="I125" s="0" t="n">
        <f aca="false">cleaned_data!I125</f>
        <v>97.8</v>
      </c>
      <c r="J125" s="0" t="n">
        <f aca="false">cleaned_data!J125</f>
        <v>15.79</v>
      </c>
      <c r="K125" s="0" t="n">
        <f aca="false">cleaned_data!K125</f>
        <v>0</v>
      </c>
      <c r="L125" s="0" t="n">
        <f aca="false">cleaned_data!L125</f>
        <v>4.4</v>
      </c>
      <c r="M125" s="0" t="n">
        <f aca="false">cleaned_data!M125</f>
        <v>441275.42</v>
      </c>
      <c r="N125" s="0" t="n">
        <f aca="false">cleaned_data!N125</f>
        <v>58234.87</v>
      </c>
      <c r="O125" s="0" t="n">
        <f aca="false">IF(cleaned_data!C125="North",1,0)</f>
        <v>1</v>
      </c>
      <c r="P125" s="0" t="n">
        <f aca="false">IF(cleaned_data!C125="South",1,0)</f>
        <v>0</v>
      </c>
      <c r="Q125" s="0" t="n">
        <f aca="false">IF(cleaned_data!C125="West",1,0)</f>
        <v>0</v>
      </c>
      <c r="R125" s="0" t="n">
        <f aca="false">IF(cleaned_data!D125="Airport",1,0)</f>
        <v>0</v>
      </c>
      <c r="S125" s="0" t="n">
        <f aca="false">IF(cleaned_data!D125="Mall",1,0)</f>
        <v>0</v>
      </c>
      <c r="T125" s="0" t="n">
        <f aca="false">IF(cleaned_data!D125="Residential",1,0)</f>
        <v>0</v>
      </c>
    </row>
    <row r="126" customFormat="false" ht="15" hidden="false" customHeight="false" outlineLevel="0" collapsed="false">
      <c r="A126" s="0" t="str">
        <f aca="false">cleaned_data!A126</f>
        <v>STR-1032</v>
      </c>
      <c r="B126" s="0" t="str">
        <f aca="false">cleaned_data!B126</f>
        <v>2025-01-01</v>
      </c>
      <c r="C126" s="0" t="str">
        <f aca="false">cleaned_data!C126</f>
        <v>South</v>
      </c>
      <c r="D126" s="0" t="str">
        <f aca="false">cleaned_data!D126</f>
        <v>High Street</v>
      </c>
      <c r="E126" s="0" t="n">
        <f aca="false">cleaned_data!E126</f>
        <v>61541.21</v>
      </c>
      <c r="F126" s="0" t="n">
        <f aca="false">cleaned_data!F126</f>
        <v>10396</v>
      </c>
      <c r="G126" s="0" t="n">
        <f aca="false">cleaned_data!G126</f>
        <v>0.123</v>
      </c>
      <c r="H126" s="0" t="n">
        <f aca="false">cleaned_data!H126</f>
        <v>25</v>
      </c>
      <c r="I126" s="0" t="n">
        <f aca="false">cleaned_data!I126</f>
        <v>88.1</v>
      </c>
      <c r="J126" s="0" t="n">
        <f aca="false">cleaned_data!J126</f>
        <v>2.34</v>
      </c>
      <c r="K126" s="0" t="n">
        <f aca="false">cleaned_data!K126</f>
        <v>1</v>
      </c>
      <c r="L126" s="0" t="n">
        <f aca="false">cleaned_data!L126</f>
        <v>4.8</v>
      </c>
      <c r="M126" s="0" t="n">
        <f aca="false">cleaned_data!M126</f>
        <v>914544.17</v>
      </c>
      <c r="N126" s="0" t="n">
        <f aca="false">cleaned_data!N126</f>
        <v>79831.73</v>
      </c>
      <c r="O126" s="0" t="n">
        <f aca="false">IF(cleaned_data!C126="North",1,0)</f>
        <v>0</v>
      </c>
      <c r="P126" s="0" t="n">
        <f aca="false">IF(cleaned_data!C126="South",1,0)</f>
        <v>1</v>
      </c>
      <c r="Q126" s="0" t="n">
        <f aca="false">IF(cleaned_data!C126="West",1,0)</f>
        <v>0</v>
      </c>
      <c r="R126" s="0" t="n">
        <f aca="false">IF(cleaned_data!D126="Airport",1,0)</f>
        <v>0</v>
      </c>
      <c r="S126" s="0" t="n">
        <f aca="false">IF(cleaned_data!D126="Mall",1,0)</f>
        <v>0</v>
      </c>
      <c r="T126" s="0" t="n">
        <f aca="false">IF(cleaned_data!D126="Residential",1,0)</f>
        <v>0</v>
      </c>
    </row>
    <row r="127" customFormat="false" ht="15" hidden="false" customHeight="false" outlineLevel="0" collapsed="false">
      <c r="A127" s="0" t="str">
        <f aca="false">cleaned_data!A127</f>
        <v>STR-1032</v>
      </c>
      <c r="B127" s="0" t="str">
        <f aca="false">cleaned_data!B127</f>
        <v>2025-02-01</v>
      </c>
      <c r="C127" s="0" t="str">
        <f aca="false">cleaned_data!C127</f>
        <v>South</v>
      </c>
      <c r="D127" s="0" t="str">
        <f aca="false">cleaned_data!D127</f>
        <v>High Street</v>
      </c>
      <c r="E127" s="0" t="n">
        <f aca="false">cleaned_data!E127</f>
        <v>44747</v>
      </c>
      <c r="F127" s="0" t="n">
        <f aca="false">cleaned_data!F127</f>
        <v>11076</v>
      </c>
      <c r="G127" s="0" t="n">
        <f aca="false">cleaned_data!G127</f>
        <v>0.176</v>
      </c>
      <c r="H127" s="0" t="n">
        <f aca="false">cleaned_data!H127</f>
        <v>27</v>
      </c>
      <c r="I127" s="0" t="n">
        <f aca="false">cleaned_data!I127</f>
        <v>98.3</v>
      </c>
      <c r="J127" s="0" t="n">
        <f aca="false">cleaned_data!J127</f>
        <v>0.54</v>
      </c>
      <c r="K127" s="0" t="n">
        <f aca="false">cleaned_data!K127</f>
        <v>0</v>
      </c>
      <c r="L127" s="0" t="n">
        <f aca="false">cleaned_data!L127</f>
        <v>4.4</v>
      </c>
      <c r="M127" s="0" t="n">
        <f aca="false">cleaned_data!M127</f>
        <v>842439.67</v>
      </c>
      <c r="N127" s="0" t="n">
        <f aca="false">cleaned_data!N127</f>
        <v>169983.63</v>
      </c>
      <c r="O127" s="0" t="n">
        <f aca="false">IF(cleaned_data!C127="North",1,0)</f>
        <v>0</v>
      </c>
      <c r="P127" s="0" t="n">
        <f aca="false">IF(cleaned_data!C127="South",1,0)</f>
        <v>1</v>
      </c>
      <c r="Q127" s="0" t="n">
        <f aca="false">IF(cleaned_data!C127="West",1,0)</f>
        <v>0</v>
      </c>
      <c r="R127" s="0" t="n">
        <f aca="false">IF(cleaned_data!D127="Airport",1,0)</f>
        <v>0</v>
      </c>
      <c r="S127" s="0" t="n">
        <f aca="false">IF(cleaned_data!D127="Mall",1,0)</f>
        <v>0</v>
      </c>
      <c r="T127" s="0" t="n">
        <f aca="false">IF(cleaned_data!D127="Residential",1,0)</f>
        <v>0</v>
      </c>
    </row>
    <row r="128" customFormat="false" ht="15" hidden="false" customHeight="false" outlineLevel="0" collapsed="false">
      <c r="A128" s="0" t="str">
        <f aca="false">cleaned_data!A128</f>
        <v>STR-1032</v>
      </c>
      <c r="B128" s="0" t="str">
        <f aca="false">cleaned_data!B128</f>
        <v>2025-03-01</v>
      </c>
      <c r="C128" s="0" t="str">
        <f aca="false">cleaned_data!C128</f>
        <v>South</v>
      </c>
      <c r="D128" s="0" t="str">
        <f aca="false">cleaned_data!D128</f>
        <v>High Street</v>
      </c>
      <c r="E128" s="0" t="n">
        <f aca="false">cleaned_data!E128</f>
        <v>56517.9</v>
      </c>
      <c r="F128" s="0" t="n">
        <f aca="false">cleaned_data!F128</f>
        <v>9574</v>
      </c>
      <c r="G128" s="0" t="n">
        <f aca="false">cleaned_data!G128</f>
        <v>0.204</v>
      </c>
      <c r="H128" s="0" t="n">
        <f aca="false">cleaned_data!H128</f>
        <v>20</v>
      </c>
      <c r="I128" s="0" t="n">
        <f aca="false">cleaned_data!I128</f>
        <v>88.2</v>
      </c>
      <c r="J128" s="0" t="n">
        <f aca="false">cleaned_data!J128</f>
        <v>5.37</v>
      </c>
      <c r="K128" s="0" t="n">
        <f aca="false">cleaned_data!K128</f>
        <v>1</v>
      </c>
      <c r="L128" s="0" t="n">
        <f aca="false">cleaned_data!L128</f>
        <v>4.9</v>
      </c>
      <c r="M128" s="0" t="n">
        <f aca="false">cleaned_data!M128</f>
        <v>842157.92</v>
      </c>
      <c r="N128" s="0" t="n">
        <f aca="false">cleaned_data!N128</f>
        <v>107348.22</v>
      </c>
      <c r="O128" s="0" t="n">
        <f aca="false">IF(cleaned_data!C128="North",1,0)</f>
        <v>0</v>
      </c>
      <c r="P128" s="0" t="n">
        <f aca="false">IF(cleaned_data!C128="South",1,0)</f>
        <v>1</v>
      </c>
      <c r="Q128" s="0" t="n">
        <f aca="false">IF(cleaned_data!C128="West",1,0)</f>
        <v>0</v>
      </c>
      <c r="R128" s="0" t="n">
        <f aca="false">IF(cleaned_data!D128="Airport",1,0)</f>
        <v>0</v>
      </c>
      <c r="S128" s="0" t="n">
        <f aca="false">IF(cleaned_data!D128="Mall",1,0)</f>
        <v>0</v>
      </c>
      <c r="T128" s="0" t="n">
        <f aca="false">IF(cleaned_data!D128="Residential",1,0)</f>
        <v>0</v>
      </c>
    </row>
    <row r="129" customFormat="false" ht="15" hidden="false" customHeight="false" outlineLevel="0" collapsed="false">
      <c r="A129" s="0" t="str">
        <f aca="false">cleaned_data!A129</f>
        <v>STR-1032</v>
      </c>
      <c r="B129" s="0" t="str">
        <f aca="false">cleaned_data!B129</f>
        <v>2025-04-01</v>
      </c>
      <c r="C129" s="0" t="str">
        <f aca="false">cleaned_data!C129</f>
        <v>South</v>
      </c>
      <c r="D129" s="0" t="str">
        <f aca="false">cleaned_data!D129</f>
        <v>High Street</v>
      </c>
      <c r="E129" s="0" t="n">
        <f aca="false">cleaned_data!E129</f>
        <v>37828.5</v>
      </c>
      <c r="F129" s="0" t="n">
        <f aca="false">cleaned_data!F129</f>
        <v>8221</v>
      </c>
      <c r="G129" s="0" t="n">
        <f aca="false">cleaned_data!G129</f>
        <v>0.096</v>
      </c>
      <c r="H129" s="0" t="n">
        <f aca="false">cleaned_data!H129</f>
        <v>19</v>
      </c>
      <c r="I129" s="0" t="n">
        <f aca="false">cleaned_data!I129</f>
        <v>81.5</v>
      </c>
      <c r="J129" s="0" t="n">
        <f aca="false">cleaned_data!J129</f>
        <v>3.19</v>
      </c>
      <c r="K129" s="0" t="n">
        <f aca="false">cleaned_data!K129</f>
        <v>0</v>
      </c>
      <c r="L129" s="0" t="n">
        <f aca="false">cleaned_data!L129</f>
        <v>4.8</v>
      </c>
      <c r="M129" s="0" t="n">
        <f aca="false">cleaned_data!M129</f>
        <v>697155.3</v>
      </c>
      <c r="N129" s="0" t="n">
        <f aca="false">cleaned_data!N129</f>
        <v>136408.54</v>
      </c>
      <c r="O129" s="0" t="n">
        <f aca="false">IF(cleaned_data!C129="North",1,0)</f>
        <v>0</v>
      </c>
      <c r="P129" s="0" t="n">
        <f aca="false">IF(cleaned_data!C129="South",1,0)</f>
        <v>1</v>
      </c>
      <c r="Q129" s="0" t="n">
        <f aca="false">IF(cleaned_data!C129="West",1,0)</f>
        <v>0</v>
      </c>
      <c r="R129" s="0" t="n">
        <f aca="false">IF(cleaned_data!D129="Airport",1,0)</f>
        <v>0</v>
      </c>
      <c r="S129" s="0" t="n">
        <f aca="false">IF(cleaned_data!D129="Mall",1,0)</f>
        <v>0</v>
      </c>
      <c r="T129" s="0" t="n">
        <f aca="false">IF(cleaned_data!D129="Residential",1,0)</f>
        <v>0</v>
      </c>
    </row>
    <row r="130" customFormat="false" ht="15" hidden="false" customHeight="false" outlineLevel="0" collapsed="false">
      <c r="A130" s="0" t="str">
        <f aca="false">cleaned_data!A130</f>
        <v>STR-1033</v>
      </c>
      <c r="B130" s="0" t="str">
        <f aca="false">cleaned_data!B130</f>
        <v>2025-01-01</v>
      </c>
      <c r="C130" s="0" t="str">
        <f aca="false">cleaned_data!C130</f>
        <v>East</v>
      </c>
      <c r="D130" s="0" t="str">
        <f aca="false">cleaned_data!D130</f>
        <v>High Street</v>
      </c>
      <c r="E130" s="0" t="n">
        <f aca="false">cleaned_data!E130</f>
        <v>66250.53</v>
      </c>
      <c r="F130" s="0" t="n">
        <f aca="false">cleaned_data!F130</f>
        <v>10618</v>
      </c>
      <c r="G130" s="0" t="n">
        <f aca="false">cleaned_data!G130</f>
        <v>0.142</v>
      </c>
      <c r="H130" s="0" t="n">
        <f aca="false">cleaned_data!H130</f>
        <v>27</v>
      </c>
      <c r="I130" s="0" t="n">
        <f aca="false">cleaned_data!I130</f>
        <v>88.3</v>
      </c>
      <c r="J130" s="0" t="n">
        <f aca="false">cleaned_data!J130</f>
        <v>1.1</v>
      </c>
      <c r="K130" s="0" t="n">
        <f aca="false">cleaned_data!K130</f>
        <v>1</v>
      </c>
      <c r="L130" s="0" t="n">
        <f aca="false">cleaned_data!L130</f>
        <v>4.4</v>
      </c>
      <c r="M130" s="0" t="n">
        <f aca="false">cleaned_data!M130</f>
        <v>849018.3</v>
      </c>
      <c r="N130" s="0" t="n">
        <f aca="false">cleaned_data!N130</f>
        <v>149035.13</v>
      </c>
      <c r="O130" s="0" t="n">
        <f aca="false">IF(cleaned_data!C130="North",1,0)</f>
        <v>0</v>
      </c>
      <c r="P130" s="0" t="n">
        <f aca="false">IF(cleaned_data!C130="South",1,0)</f>
        <v>0</v>
      </c>
      <c r="Q130" s="0" t="n">
        <f aca="false">IF(cleaned_data!C130="West",1,0)</f>
        <v>0</v>
      </c>
      <c r="R130" s="0" t="n">
        <f aca="false">IF(cleaned_data!D130="Airport",1,0)</f>
        <v>0</v>
      </c>
      <c r="S130" s="0" t="n">
        <f aca="false">IF(cleaned_data!D130="Mall",1,0)</f>
        <v>0</v>
      </c>
      <c r="T130" s="0" t="n">
        <f aca="false">IF(cleaned_data!D130="Residential",1,0)</f>
        <v>0</v>
      </c>
    </row>
    <row r="131" customFormat="false" ht="15" hidden="false" customHeight="false" outlineLevel="0" collapsed="false">
      <c r="A131" s="0" t="str">
        <f aca="false">cleaned_data!A131</f>
        <v>STR-1033</v>
      </c>
      <c r="B131" s="0" t="str">
        <f aca="false">cleaned_data!B131</f>
        <v>2025-02-01</v>
      </c>
      <c r="C131" s="0" t="str">
        <f aca="false">cleaned_data!C131</f>
        <v>East</v>
      </c>
      <c r="D131" s="0" t="str">
        <f aca="false">cleaned_data!D131</f>
        <v>High Street</v>
      </c>
      <c r="E131" s="0" t="n">
        <f aca="false">cleaned_data!E131</f>
        <v>68410.93</v>
      </c>
      <c r="F131" s="0" t="n">
        <f aca="false">cleaned_data!F131</f>
        <v>10596</v>
      </c>
      <c r="G131" s="0" t="n">
        <f aca="false">cleaned_data!G131</f>
        <v>0.207</v>
      </c>
      <c r="H131" s="0" t="n">
        <f aca="false">cleaned_data!H131</f>
        <v>25</v>
      </c>
      <c r="I131" s="0" t="n">
        <f aca="false">cleaned_data!I131</f>
        <v>81.2</v>
      </c>
      <c r="J131" s="0" t="n">
        <f aca="false">cleaned_data!J131</f>
        <v>0.21</v>
      </c>
      <c r="K131" s="0" t="n">
        <f aca="false">cleaned_data!K131</f>
        <v>0</v>
      </c>
      <c r="L131" s="0" t="n">
        <f aca="false">cleaned_data!L131</f>
        <v>4</v>
      </c>
      <c r="M131" s="0" t="n">
        <f aca="false">cleaned_data!M131</f>
        <v>801830.35</v>
      </c>
      <c r="N131" s="0" t="n">
        <f aca="false">cleaned_data!N131</f>
        <v>114875.32</v>
      </c>
      <c r="O131" s="0" t="n">
        <f aca="false">IF(cleaned_data!C131="North",1,0)</f>
        <v>0</v>
      </c>
      <c r="P131" s="0" t="n">
        <f aca="false">IF(cleaned_data!C131="South",1,0)</f>
        <v>0</v>
      </c>
      <c r="Q131" s="0" t="n">
        <f aca="false">IF(cleaned_data!C131="West",1,0)</f>
        <v>0</v>
      </c>
      <c r="R131" s="0" t="n">
        <f aca="false">IF(cleaned_data!D131="Airport",1,0)</f>
        <v>0</v>
      </c>
      <c r="S131" s="0" t="n">
        <f aca="false">IF(cleaned_data!D131="Mall",1,0)</f>
        <v>0</v>
      </c>
      <c r="T131" s="0" t="n">
        <f aca="false">IF(cleaned_data!D131="Residential",1,0)</f>
        <v>0</v>
      </c>
    </row>
    <row r="132" customFormat="false" ht="15" hidden="false" customHeight="false" outlineLevel="0" collapsed="false">
      <c r="A132" s="0" t="str">
        <f aca="false">cleaned_data!A132</f>
        <v>STR-1033</v>
      </c>
      <c r="B132" s="0" t="str">
        <f aca="false">cleaned_data!B132</f>
        <v>2025-03-01</v>
      </c>
      <c r="C132" s="0" t="str">
        <f aca="false">cleaned_data!C132</f>
        <v>East</v>
      </c>
      <c r="D132" s="0" t="str">
        <f aca="false">cleaned_data!D132</f>
        <v>High Street</v>
      </c>
      <c r="E132" s="0" t="n">
        <f aca="false">cleaned_data!E132</f>
        <v>50735.63</v>
      </c>
      <c r="F132" s="0" t="n">
        <f aca="false">cleaned_data!F132</f>
        <v>9619</v>
      </c>
      <c r="G132" s="0" t="n">
        <f aca="false">cleaned_data!G132</f>
        <v>0.144</v>
      </c>
      <c r="H132" s="0" t="n">
        <f aca="false">cleaned_data!H132</f>
        <v>19</v>
      </c>
      <c r="I132" s="0" t="n">
        <f aca="false">cleaned_data!I132</f>
        <v>93.8</v>
      </c>
      <c r="J132" s="0" t="n">
        <f aca="false">cleaned_data!J132</f>
        <v>5.12</v>
      </c>
      <c r="K132" s="0" t="n">
        <f aca="false">cleaned_data!K132</f>
        <v>1</v>
      </c>
      <c r="L132" s="0" t="n">
        <f aca="false">cleaned_data!L132</f>
        <v>4.5</v>
      </c>
      <c r="M132" s="0" t="n">
        <f aca="false">cleaned_data!M132</f>
        <v>725235.28</v>
      </c>
      <c r="N132" s="0" t="n">
        <f aca="false">cleaned_data!N132</f>
        <v>121632.24</v>
      </c>
      <c r="O132" s="0" t="n">
        <f aca="false">IF(cleaned_data!C132="North",1,0)</f>
        <v>0</v>
      </c>
      <c r="P132" s="0" t="n">
        <f aca="false">IF(cleaned_data!C132="South",1,0)</f>
        <v>0</v>
      </c>
      <c r="Q132" s="0" t="n">
        <f aca="false">IF(cleaned_data!C132="West",1,0)</f>
        <v>0</v>
      </c>
      <c r="R132" s="0" t="n">
        <f aca="false">IF(cleaned_data!D132="Airport",1,0)</f>
        <v>0</v>
      </c>
      <c r="S132" s="0" t="n">
        <f aca="false">IF(cleaned_data!D132="Mall",1,0)</f>
        <v>0</v>
      </c>
      <c r="T132" s="0" t="n">
        <f aca="false">IF(cleaned_data!D132="Residential",1,0)</f>
        <v>0</v>
      </c>
    </row>
    <row r="133" customFormat="false" ht="15" hidden="false" customHeight="false" outlineLevel="0" collapsed="false">
      <c r="A133" s="0" t="str">
        <f aca="false">cleaned_data!A133</f>
        <v>STR-1033</v>
      </c>
      <c r="B133" s="0" t="str">
        <f aca="false">cleaned_data!B133</f>
        <v>2025-04-01</v>
      </c>
      <c r="C133" s="0" t="str">
        <f aca="false">cleaned_data!C133</f>
        <v>East</v>
      </c>
      <c r="D133" s="0" t="str">
        <f aca="false">cleaned_data!D133</f>
        <v>High Street</v>
      </c>
      <c r="E133" s="0" t="n">
        <f aca="false">cleaned_data!E133</f>
        <v>66455.8</v>
      </c>
      <c r="F133" s="0" t="n">
        <f aca="false">cleaned_data!F133</f>
        <v>10836</v>
      </c>
      <c r="G133" s="0" t="n">
        <f aca="false">cleaned_data!G133</f>
        <v>0.089</v>
      </c>
      <c r="H133" s="0" t="n">
        <f aca="false">cleaned_data!H133</f>
        <v>25</v>
      </c>
      <c r="I133" s="0" t="n">
        <f aca="false">cleaned_data!I133</f>
        <v>85</v>
      </c>
      <c r="J133" s="0" t="n">
        <f aca="false">cleaned_data!J133</f>
        <v>9.77</v>
      </c>
      <c r="K133" s="0" t="n">
        <f aca="false">cleaned_data!K133</f>
        <v>0</v>
      </c>
      <c r="L133" s="0" t="n">
        <f aca="false">cleaned_data!L133</f>
        <v>4.5</v>
      </c>
      <c r="M133" s="0" t="n">
        <f aca="false">cleaned_data!M133</f>
        <v>811452.72</v>
      </c>
      <c r="N133" s="0" t="n">
        <f aca="false">cleaned_data!N133</f>
        <v>131325.67</v>
      </c>
      <c r="O133" s="0" t="n">
        <f aca="false">IF(cleaned_data!C133="North",1,0)</f>
        <v>0</v>
      </c>
      <c r="P133" s="0" t="n">
        <f aca="false">IF(cleaned_data!C133="South",1,0)</f>
        <v>0</v>
      </c>
      <c r="Q133" s="0" t="n">
        <f aca="false">IF(cleaned_data!C133="West",1,0)</f>
        <v>0</v>
      </c>
      <c r="R133" s="0" t="n">
        <f aca="false">IF(cleaned_data!D133="Airport",1,0)</f>
        <v>0</v>
      </c>
      <c r="S133" s="0" t="n">
        <f aca="false">IF(cleaned_data!D133="Mall",1,0)</f>
        <v>0</v>
      </c>
      <c r="T133" s="0" t="n">
        <f aca="false">IF(cleaned_data!D133="Residential",1,0)</f>
        <v>0</v>
      </c>
    </row>
    <row r="134" customFormat="false" ht="15" hidden="false" customHeight="false" outlineLevel="0" collapsed="false">
      <c r="A134" s="0" t="str">
        <f aca="false">cleaned_data!A134</f>
        <v>STR-1034</v>
      </c>
      <c r="B134" s="0" t="str">
        <f aca="false">cleaned_data!B134</f>
        <v>2025-01-01</v>
      </c>
      <c r="C134" s="0" t="str">
        <f aca="false">cleaned_data!C134</f>
        <v>North</v>
      </c>
      <c r="D134" s="0" t="str">
        <f aca="false">cleaned_data!D134</f>
        <v>High Street</v>
      </c>
      <c r="E134" s="0" t="n">
        <f aca="false">cleaned_data!E134</f>
        <v>70276.28</v>
      </c>
      <c r="F134" s="0" t="n">
        <f aca="false">cleaned_data!F134</f>
        <v>3043</v>
      </c>
      <c r="G134" s="0" t="n">
        <f aca="false">cleaned_data!G134</f>
        <v>0.079</v>
      </c>
      <c r="H134" s="0" t="n">
        <f aca="false">cleaned_data!H134</f>
        <v>9</v>
      </c>
      <c r="I134" s="0" t="n">
        <f aca="false">cleaned_data!I134</f>
        <v>87.9</v>
      </c>
      <c r="J134" s="0" t="n">
        <f aca="false">cleaned_data!J134</f>
        <v>3.77</v>
      </c>
      <c r="K134" s="0" t="n">
        <f aca="false">cleaned_data!K134</f>
        <v>0</v>
      </c>
      <c r="L134" s="0" t="n">
        <f aca="false">cleaned_data!L134</f>
        <v>4.4</v>
      </c>
      <c r="M134" s="0" t="n">
        <f aca="false">cleaned_data!M134</f>
        <v>527300.13</v>
      </c>
      <c r="N134" s="0" t="n">
        <f aca="false">cleaned_data!N134</f>
        <v>84197.87</v>
      </c>
      <c r="O134" s="0" t="n">
        <f aca="false">IF(cleaned_data!C134="North",1,0)</f>
        <v>1</v>
      </c>
      <c r="P134" s="0" t="n">
        <f aca="false">IF(cleaned_data!C134="South",1,0)</f>
        <v>0</v>
      </c>
      <c r="Q134" s="0" t="n">
        <f aca="false">IF(cleaned_data!C134="West",1,0)</f>
        <v>0</v>
      </c>
      <c r="R134" s="0" t="n">
        <f aca="false">IF(cleaned_data!D134="Airport",1,0)</f>
        <v>0</v>
      </c>
      <c r="S134" s="0" t="n">
        <f aca="false">IF(cleaned_data!D134="Mall",1,0)</f>
        <v>0</v>
      </c>
      <c r="T134" s="0" t="n">
        <f aca="false">IF(cleaned_data!D134="Residential",1,0)</f>
        <v>0</v>
      </c>
    </row>
    <row r="135" customFormat="false" ht="15" hidden="false" customHeight="false" outlineLevel="0" collapsed="false">
      <c r="A135" s="0" t="str">
        <f aca="false">cleaned_data!A135</f>
        <v>STR-1034</v>
      </c>
      <c r="B135" s="0" t="str">
        <f aca="false">cleaned_data!B135</f>
        <v>2025-02-01</v>
      </c>
      <c r="C135" s="0" t="str">
        <f aca="false">cleaned_data!C135</f>
        <v>North</v>
      </c>
      <c r="D135" s="0" t="str">
        <f aca="false">cleaned_data!D135</f>
        <v>High Street</v>
      </c>
      <c r="E135" s="0" t="n">
        <f aca="false">cleaned_data!E135</f>
        <v>22071.64</v>
      </c>
      <c r="F135" s="0" t="n">
        <f aca="false">cleaned_data!F135</f>
        <v>1814</v>
      </c>
      <c r="G135" s="0" t="n">
        <f aca="false">cleaned_data!G135</f>
        <v>0.196</v>
      </c>
      <c r="H135" s="0" t="n">
        <f aca="false">cleaned_data!H135</f>
        <v>8</v>
      </c>
      <c r="I135" s="0" t="n">
        <f aca="false">cleaned_data!I135</f>
        <v>81.1</v>
      </c>
      <c r="J135" s="0" t="n">
        <f aca="false">cleaned_data!J135</f>
        <v>0.78</v>
      </c>
      <c r="K135" s="0" t="n">
        <f aca="false">cleaned_data!K135</f>
        <v>0</v>
      </c>
      <c r="L135" s="0" t="n">
        <f aca="false">cleaned_data!L135</f>
        <v>3.9</v>
      </c>
      <c r="M135" s="0" t="n">
        <f aca="false">cleaned_data!M135</f>
        <v>400831.65</v>
      </c>
      <c r="N135" s="0" t="n">
        <f aca="false">cleaned_data!N135</f>
        <v>70979.31</v>
      </c>
      <c r="O135" s="0" t="n">
        <f aca="false">IF(cleaned_data!C135="North",1,0)</f>
        <v>1</v>
      </c>
      <c r="P135" s="0" t="n">
        <f aca="false">IF(cleaned_data!C135="South",1,0)</f>
        <v>0</v>
      </c>
      <c r="Q135" s="0" t="n">
        <f aca="false">IF(cleaned_data!C135="West",1,0)</f>
        <v>0</v>
      </c>
      <c r="R135" s="0" t="n">
        <f aca="false">IF(cleaned_data!D135="Airport",1,0)</f>
        <v>0</v>
      </c>
      <c r="S135" s="0" t="n">
        <f aca="false">IF(cleaned_data!D135="Mall",1,0)</f>
        <v>0</v>
      </c>
      <c r="T135" s="0" t="n">
        <f aca="false">IF(cleaned_data!D135="Residential",1,0)</f>
        <v>0</v>
      </c>
    </row>
    <row r="136" customFormat="false" ht="15" hidden="false" customHeight="false" outlineLevel="0" collapsed="false">
      <c r="A136" s="0" t="str">
        <f aca="false">cleaned_data!A136</f>
        <v>STR-1034</v>
      </c>
      <c r="B136" s="0" t="str">
        <f aca="false">cleaned_data!B136</f>
        <v>2025-03-01</v>
      </c>
      <c r="C136" s="0" t="str">
        <f aca="false">cleaned_data!C136</f>
        <v>North</v>
      </c>
      <c r="D136" s="0" t="str">
        <f aca="false">cleaned_data!D136</f>
        <v>High Street</v>
      </c>
      <c r="E136" s="0" t="n">
        <f aca="false">cleaned_data!E136</f>
        <v>52285.45</v>
      </c>
      <c r="F136" s="0" t="n">
        <f aca="false">cleaned_data!F136</f>
        <v>3618</v>
      </c>
      <c r="G136" s="0" t="n">
        <f aca="false">cleaned_data!G136</f>
        <v>0.086</v>
      </c>
      <c r="H136" s="0" t="n">
        <f aca="false">cleaned_data!H136</f>
        <v>11</v>
      </c>
      <c r="I136" s="0" t="n">
        <f aca="false">cleaned_data!I136</f>
        <v>95.6</v>
      </c>
      <c r="J136" s="0" t="n">
        <f aca="false">cleaned_data!J136</f>
        <v>5.17</v>
      </c>
      <c r="K136" s="0" t="n">
        <f aca="false">cleaned_data!K136</f>
        <v>1</v>
      </c>
      <c r="L136" s="0" t="n">
        <f aca="false">cleaned_data!L136</f>
        <v>4.4</v>
      </c>
      <c r="M136" s="0" t="n">
        <f aca="false">cleaned_data!M136</f>
        <v>593247.25</v>
      </c>
      <c r="N136" s="0" t="n">
        <f aca="false">cleaned_data!N136</f>
        <v>81240.29</v>
      </c>
      <c r="O136" s="0" t="n">
        <f aca="false">IF(cleaned_data!C136="North",1,0)</f>
        <v>1</v>
      </c>
      <c r="P136" s="0" t="n">
        <f aca="false">IF(cleaned_data!C136="South",1,0)</f>
        <v>0</v>
      </c>
      <c r="Q136" s="0" t="n">
        <f aca="false">IF(cleaned_data!C136="West",1,0)</f>
        <v>0</v>
      </c>
      <c r="R136" s="0" t="n">
        <f aca="false">IF(cleaned_data!D136="Airport",1,0)</f>
        <v>0</v>
      </c>
      <c r="S136" s="0" t="n">
        <f aca="false">IF(cleaned_data!D136="Mall",1,0)</f>
        <v>0</v>
      </c>
      <c r="T136" s="0" t="n">
        <f aca="false">IF(cleaned_data!D136="Residential",1,0)</f>
        <v>0</v>
      </c>
    </row>
    <row r="137" customFormat="false" ht="15" hidden="false" customHeight="false" outlineLevel="0" collapsed="false">
      <c r="A137" s="0" t="str">
        <f aca="false">cleaned_data!A137</f>
        <v>STR-1034</v>
      </c>
      <c r="B137" s="0" t="str">
        <f aca="false">cleaned_data!B137</f>
        <v>2025-04-01</v>
      </c>
      <c r="C137" s="0" t="str">
        <f aca="false">cleaned_data!C137</f>
        <v>North</v>
      </c>
      <c r="D137" s="0" t="str">
        <f aca="false">cleaned_data!D137</f>
        <v>High Street</v>
      </c>
      <c r="E137" s="0" t="n">
        <f aca="false">cleaned_data!E137</f>
        <v>70366.76</v>
      </c>
      <c r="F137" s="0" t="n">
        <f aca="false">cleaned_data!F137</f>
        <v>1963</v>
      </c>
      <c r="G137" s="0" t="n">
        <f aca="false">cleaned_data!G137</f>
        <v>0.182</v>
      </c>
      <c r="H137" s="0" t="n">
        <f aca="false">cleaned_data!H137</f>
        <v>8</v>
      </c>
      <c r="I137" s="0" t="n">
        <f aca="false">cleaned_data!I137</f>
        <v>89.8</v>
      </c>
      <c r="J137" s="0" t="n">
        <f aca="false">cleaned_data!J137</f>
        <v>3.2</v>
      </c>
      <c r="K137" s="0" t="n">
        <f aca="false">cleaned_data!K137</f>
        <v>0</v>
      </c>
      <c r="L137" s="0" t="n">
        <f aca="false">cleaned_data!L137</f>
        <v>4.6</v>
      </c>
      <c r="M137" s="0" t="n">
        <f aca="false">cleaned_data!M137</f>
        <v>529075.95</v>
      </c>
      <c r="N137" s="0" t="n">
        <f aca="false">cleaned_data!N137</f>
        <v>95978.83</v>
      </c>
      <c r="O137" s="0" t="n">
        <f aca="false">IF(cleaned_data!C137="North",1,0)</f>
        <v>1</v>
      </c>
      <c r="P137" s="0" t="n">
        <f aca="false">IF(cleaned_data!C137="South",1,0)</f>
        <v>0</v>
      </c>
      <c r="Q137" s="0" t="n">
        <f aca="false">IF(cleaned_data!C137="West",1,0)</f>
        <v>0</v>
      </c>
      <c r="R137" s="0" t="n">
        <f aca="false">IF(cleaned_data!D137="Airport",1,0)</f>
        <v>0</v>
      </c>
      <c r="S137" s="0" t="n">
        <f aca="false">IF(cleaned_data!D137="Mall",1,0)</f>
        <v>0</v>
      </c>
      <c r="T137" s="0" t="n">
        <f aca="false">IF(cleaned_data!D137="Residential",1,0)</f>
        <v>0</v>
      </c>
    </row>
    <row r="138" customFormat="false" ht="15" hidden="false" customHeight="false" outlineLevel="0" collapsed="false">
      <c r="A138" s="0" t="str">
        <f aca="false">cleaned_data!A138</f>
        <v>STR-1035</v>
      </c>
      <c r="B138" s="0" t="str">
        <f aca="false">cleaned_data!B138</f>
        <v>2025-01-01</v>
      </c>
      <c r="C138" s="0" t="str">
        <f aca="false">cleaned_data!C138</f>
        <v>South</v>
      </c>
      <c r="D138" s="0" t="str">
        <f aca="false">cleaned_data!D138</f>
        <v>Residential</v>
      </c>
      <c r="E138" s="0" t="n">
        <f aca="false">cleaned_data!E138</f>
        <v>71320.66</v>
      </c>
      <c r="F138" s="0" t="n">
        <f aca="false">cleaned_data!F138</f>
        <v>7888</v>
      </c>
      <c r="G138" s="0" t="n">
        <f aca="false">cleaned_data!G138</f>
        <v>0.048</v>
      </c>
      <c r="H138" s="0" t="n">
        <f aca="false">cleaned_data!H138</f>
        <v>20</v>
      </c>
      <c r="I138" s="0" t="n">
        <f aca="false">cleaned_data!I138</f>
        <v>78.1</v>
      </c>
      <c r="J138" s="0" t="n">
        <f aca="false">cleaned_data!J138</f>
        <v>3.4</v>
      </c>
      <c r="K138" s="0" t="n">
        <f aca="false">cleaned_data!K138</f>
        <v>0</v>
      </c>
      <c r="L138" s="0" t="n">
        <f aca="false">cleaned_data!L138</f>
        <v>3.9</v>
      </c>
      <c r="M138" s="0" t="n">
        <f aca="false">cleaned_data!M138</f>
        <v>633638.03</v>
      </c>
      <c r="N138" s="0" t="n">
        <f aca="false">cleaned_data!N138</f>
        <v>99402.01</v>
      </c>
      <c r="O138" s="0" t="n">
        <f aca="false">IF(cleaned_data!C138="North",1,0)</f>
        <v>0</v>
      </c>
      <c r="P138" s="0" t="n">
        <f aca="false">IF(cleaned_data!C138="South",1,0)</f>
        <v>1</v>
      </c>
      <c r="Q138" s="0" t="n">
        <f aca="false">IF(cleaned_data!C138="West",1,0)</f>
        <v>0</v>
      </c>
      <c r="R138" s="0" t="n">
        <f aca="false">IF(cleaned_data!D138="Airport",1,0)</f>
        <v>0</v>
      </c>
      <c r="S138" s="0" t="n">
        <f aca="false">IF(cleaned_data!D138="Mall",1,0)</f>
        <v>0</v>
      </c>
      <c r="T138" s="0" t="n">
        <f aca="false">IF(cleaned_data!D138="Residential",1,0)</f>
        <v>1</v>
      </c>
    </row>
    <row r="139" customFormat="false" ht="15" hidden="false" customHeight="false" outlineLevel="0" collapsed="false">
      <c r="A139" s="0" t="str">
        <f aca="false">cleaned_data!A139</f>
        <v>STR-1035</v>
      </c>
      <c r="B139" s="0" t="str">
        <f aca="false">cleaned_data!B139</f>
        <v>2025-02-01</v>
      </c>
      <c r="C139" s="0" t="str">
        <f aca="false">cleaned_data!C139</f>
        <v>South</v>
      </c>
      <c r="D139" s="0" t="str">
        <f aca="false">cleaned_data!D139</f>
        <v>Residential</v>
      </c>
      <c r="E139" s="0" t="n">
        <f aca="false">cleaned_data!E139</f>
        <v>75109.67</v>
      </c>
      <c r="F139" s="0" t="n">
        <f aca="false">cleaned_data!F139</f>
        <v>6244</v>
      </c>
      <c r="G139" s="0" t="n">
        <f aca="false">cleaned_data!G139</f>
        <v>0.079</v>
      </c>
      <c r="H139" s="0" t="n">
        <f aca="false">cleaned_data!H139</f>
        <v>15</v>
      </c>
      <c r="I139" s="0" t="n">
        <f aca="false">cleaned_data!I139</f>
        <v>96.3</v>
      </c>
      <c r="J139" s="0" t="n">
        <f aca="false">cleaned_data!J139</f>
        <v>7.38</v>
      </c>
      <c r="K139" s="0" t="n">
        <f aca="false">cleaned_data!K139</f>
        <v>0</v>
      </c>
      <c r="L139" s="0" t="n">
        <f aca="false">cleaned_data!L139</f>
        <v>3.7</v>
      </c>
      <c r="M139" s="0" t="n">
        <f aca="false">cleaned_data!M139</f>
        <v>743348.84</v>
      </c>
      <c r="N139" s="0" t="n">
        <f aca="false">cleaned_data!N139</f>
        <v>104186.09</v>
      </c>
      <c r="O139" s="0" t="n">
        <f aca="false">IF(cleaned_data!C139="North",1,0)</f>
        <v>0</v>
      </c>
      <c r="P139" s="0" t="n">
        <f aca="false">IF(cleaned_data!C139="South",1,0)</f>
        <v>1</v>
      </c>
      <c r="Q139" s="0" t="n">
        <f aca="false">IF(cleaned_data!C139="West",1,0)</f>
        <v>0</v>
      </c>
      <c r="R139" s="0" t="n">
        <f aca="false">IF(cleaned_data!D139="Airport",1,0)</f>
        <v>0</v>
      </c>
      <c r="S139" s="0" t="n">
        <f aca="false">IF(cleaned_data!D139="Mall",1,0)</f>
        <v>0</v>
      </c>
      <c r="T139" s="0" t="n">
        <f aca="false">IF(cleaned_data!D139="Residential",1,0)</f>
        <v>1</v>
      </c>
    </row>
    <row r="140" customFormat="false" ht="15" hidden="false" customHeight="false" outlineLevel="0" collapsed="false">
      <c r="A140" s="0" t="str">
        <f aca="false">cleaned_data!A140</f>
        <v>STR-1035</v>
      </c>
      <c r="B140" s="0" t="str">
        <f aca="false">cleaned_data!B140</f>
        <v>2025-03-01</v>
      </c>
      <c r="C140" s="0" t="str">
        <f aca="false">cleaned_data!C140</f>
        <v>South</v>
      </c>
      <c r="D140" s="0" t="str">
        <f aca="false">cleaned_data!D140</f>
        <v>Residential</v>
      </c>
      <c r="E140" s="0" t="n">
        <f aca="false">cleaned_data!E140</f>
        <v>69779</v>
      </c>
      <c r="F140" s="0" t="n">
        <f aca="false">cleaned_data!F140</f>
        <v>6544</v>
      </c>
      <c r="G140" s="0" t="n">
        <f aca="false">cleaned_data!G140</f>
        <v>0.152</v>
      </c>
      <c r="H140" s="0" t="n">
        <f aca="false">cleaned_data!H140</f>
        <v>18</v>
      </c>
      <c r="I140" s="0" t="n">
        <f aca="false">cleaned_data!I140</f>
        <v>90.2</v>
      </c>
      <c r="J140" s="0" t="n">
        <f aca="false">cleaned_data!J140</f>
        <v>0.85</v>
      </c>
      <c r="K140" s="0" t="n">
        <f aca="false">cleaned_data!K140</f>
        <v>1</v>
      </c>
      <c r="L140" s="0" t="n">
        <f aca="false">cleaned_data!L140</f>
        <v>3.3</v>
      </c>
      <c r="M140" s="0" t="n">
        <f aca="false">cleaned_data!M140</f>
        <v>758827.64</v>
      </c>
      <c r="N140" s="0" t="n">
        <f aca="false">cleaned_data!N140</f>
        <v>161439.48</v>
      </c>
      <c r="O140" s="0" t="n">
        <f aca="false">IF(cleaned_data!C140="North",1,0)</f>
        <v>0</v>
      </c>
      <c r="P140" s="0" t="n">
        <f aca="false">IF(cleaned_data!C140="South",1,0)</f>
        <v>1</v>
      </c>
      <c r="Q140" s="0" t="n">
        <f aca="false">IF(cleaned_data!C140="West",1,0)</f>
        <v>0</v>
      </c>
      <c r="R140" s="0" t="n">
        <f aca="false">IF(cleaned_data!D140="Airport",1,0)</f>
        <v>0</v>
      </c>
      <c r="S140" s="0" t="n">
        <f aca="false">IF(cleaned_data!D140="Mall",1,0)</f>
        <v>0</v>
      </c>
      <c r="T140" s="0" t="n">
        <f aca="false">IF(cleaned_data!D140="Residential",1,0)</f>
        <v>1</v>
      </c>
    </row>
    <row r="141" customFormat="false" ht="15" hidden="false" customHeight="false" outlineLevel="0" collapsed="false">
      <c r="A141" s="0" t="str">
        <f aca="false">cleaned_data!A141</f>
        <v>STR-1035</v>
      </c>
      <c r="B141" s="0" t="str">
        <f aca="false">cleaned_data!B141</f>
        <v>2025-04-01</v>
      </c>
      <c r="C141" s="0" t="str">
        <f aca="false">cleaned_data!C141</f>
        <v>South</v>
      </c>
      <c r="D141" s="0" t="str">
        <f aca="false">cleaned_data!D141</f>
        <v>Residential</v>
      </c>
      <c r="E141" s="0" t="n">
        <f aca="false">cleaned_data!E141</f>
        <v>44211.95</v>
      </c>
      <c r="F141" s="0" t="n">
        <f aca="false">cleaned_data!F141</f>
        <v>5465</v>
      </c>
      <c r="G141" s="0" t="n">
        <f aca="false">cleaned_data!G141</f>
        <v>0.187</v>
      </c>
      <c r="H141" s="0" t="n">
        <f aca="false">cleaned_data!H141</f>
        <v>12</v>
      </c>
      <c r="I141" s="0" t="n">
        <f aca="false">cleaned_data!I141</f>
        <v>90</v>
      </c>
      <c r="J141" s="0" t="n">
        <f aca="false">cleaned_data!J141</f>
        <v>2.89</v>
      </c>
      <c r="K141" s="0" t="n">
        <f aca="false">cleaned_data!K141</f>
        <v>0</v>
      </c>
      <c r="L141" s="0" t="n">
        <f aca="false">cleaned_data!L141</f>
        <v>3.6</v>
      </c>
      <c r="M141" s="0" t="n">
        <f aca="false">cleaned_data!M141</f>
        <v>646559.71</v>
      </c>
      <c r="N141" s="0" t="n">
        <f aca="false">cleaned_data!N141</f>
        <v>97981.75</v>
      </c>
      <c r="O141" s="0" t="n">
        <f aca="false">IF(cleaned_data!C141="North",1,0)</f>
        <v>0</v>
      </c>
      <c r="P141" s="0" t="n">
        <f aca="false">IF(cleaned_data!C141="South",1,0)</f>
        <v>1</v>
      </c>
      <c r="Q141" s="0" t="n">
        <f aca="false">IF(cleaned_data!C141="West",1,0)</f>
        <v>0</v>
      </c>
      <c r="R141" s="0" t="n">
        <f aca="false">IF(cleaned_data!D141="Airport",1,0)</f>
        <v>0</v>
      </c>
      <c r="S141" s="0" t="n">
        <f aca="false">IF(cleaned_data!D141="Mall",1,0)</f>
        <v>0</v>
      </c>
      <c r="T141" s="0" t="n">
        <f aca="false">IF(cleaned_data!D141="Residential",1,0)</f>
        <v>1</v>
      </c>
    </row>
    <row r="142" customFormat="false" ht="15" hidden="false" customHeight="false" outlineLevel="0" collapsed="false">
      <c r="A142" s="0" t="str">
        <f aca="false">cleaned_data!A142</f>
        <v>STR-1036</v>
      </c>
      <c r="B142" s="0" t="str">
        <f aca="false">cleaned_data!B142</f>
        <v>2025-01-01</v>
      </c>
      <c r="C142" s="0" t="str">
        <f aca="false">cleaned_data!C142</f>
        <v>West</v>
      </c>
      <c r="D142" s="0" t="str">
        <f aca="false">cleaned_data!D142</f>
        <v>High Street</v>
      </c>
      <c r="E142" s="0" t="n">
        <f aca="false">cleaned_data!E142</f>
        <v>51430.31</v>
      </c>
      <c r="F142" s="0" t="n">
        <f aca="false">cleaned_data!F142</f>
        <v>6427</v>
      </c>
      <c r="G142" s="0" t="n">
        <f aca="false">cleaned_data!G142</f>
        <v>0.234</v>
      </c>
      <c r="H142" s="0" t="n">
        <f aca="false">cleaned_data!H142</f>
        <v>14</v>
      </c>
      <c r="I142" s="0" t="n">
        <f aca="false">cleaned_data!I142</f>
        <v>88.8</v>
      </c>
      <c r="J142" s="0" t="n">
        <f aca="false">cleaned_data!J142</f>
        <v>0.77</v>
      </c>
      <c r="K142" s="0" t="n">
        <f aca="false">cleaned_data!K142</f>
        <v>0</v>
      </c>
      <c r="L142" s="0" t="n">
        <f aca="false">cleaned_data!L142</f>
        <v>4.1</v>
      </c>
      <c r="M142" s="0" t="n">
        <f aca="false">cleaned_data!M142</f>
        <v>715890.53</v>
      </c>
      <c r="N142" s="0" t="n">
        <f aca="false">cleaned_data!N142</f>
        <v>109032.15</v>
      </c>
      <c r="O142" s="0" t="n">
        <f aca="false">IF(cleaned_data!C142="North",1,0)</f>
        <v>0</v>
      </c>
      <c r="P142" s="0" t="n">
        <f aca="false">IF(cleaned_data!C142="South",1,0)</f>
        <v>0</v>
      </c>
      <c r="Q142" s="0" t="n">
        <f aca="false">IF(cleaned_data!C142="West",1,0)</f>
        <v>1</v>
      </c>
      <c r="R142" s="0" t="n">
        <f aca="false">IF(cleaned_data!D142="Airport",1,0)</f>
        <v>0</v>
      </c>
      <c r="S142" s="0" t="n">
        <f aca="false">IF(cleaned_data!D142="Mall",1,0)</f>
        <v>0</v>
      </c>
      <c r="T142" s="0" t="n">
        <f aca="false">IF(cleaned_data!D142="Residential",1,0)</f>
        <v>0</v>
      </c>
    </row>
    <row r="143" customFormat="false" ht="15" hidden="false" customHeight="false" outlineLevel="0" collapsed="false">
      <c r="A143" s="0" t="str">
        <f aca="false">cleaned_data!A143</f>
        <v>STR-1036</v>
      </c>
      <c r="B143" s="0" t="str">
        <f aca="false">cleaned_data!B143</f>
        <v>2025-02-01</v>
      </c>
      <c r="C143" s="0" t="str">
        <f aca="false">cleaned_data!C143</f>
        <v>West</v>
      </c>
      <c r="D143" s="0" t="str">
        <f aca="false">cleaned_data!D143</f>
        <v>High Street</v>
      </c>
      <c r="E143" s="0" t="n">
        <f aca="false">cleaned_data!E143</f>
        <v>45706.49</v>
      </c>
      <c r="F143" s="0" t="n">
        <f aca="false">cleaned_data!F143</f>
        <v>6704</v>
      </c>
      <c r="G143" s="0" t="n">
        <f aca="false">cleaned_data!G143</f>
        <v>0.038</v>
      </c>
      <c r="H143" s="0" t="n">
        <f aca="false">cleaned_data!H143</f>
        <v>15</v>
      </c>
      <c r="I143" s="0" t="n">
        <f aca="false">cleaned_data!I143</f>
        <v>94.2</v>
      </c>
      <c r="J143" s="0" t="n">
        <f aca="false">cleaned_data!J143</f>
        <v>2.92</v>
      </c>
      <c r="K143" s="0" t="n">
        <f aca="false">cleaned_data!K143</f>
        <v>0</v>
      </c>
      <c r="L143" s="0" t="n">
        <f aca="false">cleaned_data!L143</f>
        <v>4.2</v>
      </c>
      <c r="M143" s="0" t="n">
        <f aca="false">cleaned_data!M143</f>
        <v>715097.57</v>
      </c>
      <c r="N143" s="0" t="n">
        <f aca="false">cleaned_data!N143</f>
        <v>151875.86</v>
      </c>
      <c r="O143" s="0" t="n">
        <f aca="false">IF(cleaned_data!C143="North",1,0)</f>
        <v>0</v>
      </c>
      <c r="P143" s="0" t="n">
        <f aca="false">IF(cleaned_data!C143="South",1,0)</f>
        <v>0</v>
      </c>
      <c r="Q143" s="0" t="n">
        <f aca="false">IF(cleaned_data!C143="West",1,0)</f>
        <v>1</v>
      </c>
      <c r="R143" s="0" t="n">
        <f aca="false">IF(cleaned_data!D143="Airport",1,0)</f>
        <v>0</v>
      </c>
      <c r="S143" s="0" t="n">
        <f aca="false">IF(cleaned_data!D143="Mall",1,0)</f>
        <v>0</v>
      </c>
      <c r="T143" s="0" t="n">
        <f aca="false">IF(cleaned_data!D143="Residential",1,0)</f>
        <v>0</v>
      </c>
    </row>
    <row r="144" customFormat="false" ht="15" hidden="false" customHeight="false" outlineLevel="0" collapsed="false">
      <c r="A144" s="0" t="str">
        <f aca="false">cleaned_data!A144</f>
        <v>STR-1036</v>
      </c>
      <c r="B144" s="0" t="str">
        <f aca="false">cleaned_data!B144</f>
        <v>2025-03-01</v>
      </c>
      <c r="C144" s="0" t="str">
        <f aca="false">cleaned_data!C144</f>
        <v>West</v>
      </c>
      <c r="D144" s="0" t="str">
        <f aca="false">cleaned_data!D144</f>
        <v>High Street</v>
      </c>
      <c r="E144" s="0" t="n">
        <f aca="false">cleaned_data!E144</f>
        <v>44034.6</v>
      </c>
      <c r="F144" s="0" t="n">
        <f aca="false">cleaned_data!F144</f>
        <v>5645</v>
      </c>
      <c r="G144" s="0" t="n">
        <f aca="false">cleaned_data!G144</f>
        <v>0.069</v>
      </c>
      <c r="H144" s="0" t="n">
        <f aca="false">cleaned_data!H144</f>
        <v>18</v>
      </c>
      <c r="I144" s="0" t="n">
        <f aca="false">cleaned_data!I144</f>
        <v>88.5</v>
      </c>
      <c r="J144" s="0" t="n">
        <f aca="false">cleaned_data!J144</f>
        <v>3.07</v>
      </c>
      <c r="K144" s="0" t="n">
        <f aca="false">cleaned_data!K144</f>
        <v>0</v>
      </c>
      <c r="L144" s="0" t="n">
        <f aca="false">cleaned_data!L144</f>
        <v>3.8</v>
      </c>
      <c r="M144" s="0" t="n">
        <f aca="false">cleaned_data!M144</f>
        <v>682639.28</v>
      </c>
      <c r="N144" s="0" t="n">
        <f aca="false">cleaned_data!N144</f>
        <v>77557.53</v>
      </c>
      <c r="O144" s="0" t="n">
        <f aca="false">IF(cleaned_data!C144="North",1,0)</f>
        <v>0</v>
      </c>
      <c r="P144" s="0" t="n">
        <f aca="false">IF(cleaned_data!C144="South",1,0)</f>
        <v>0</v>
      </c>
      <c r="Q144" s="0" t="n">
        <f aca="false">IF(cleaned_data!C144="West",1,0)</f>
        <v>1</v>
      </c>
      <c r="R144" s="0" t="n">
        <f aca="false">IF(cleaned_data!D144="Airport",1,0)</f>
        <v>0</v>
      </c>
      <c r="S144" s="0" t="n">
        <f aca="false">IF(cleaned_data!D144="Mall",1,0)</f>
        <v>0</v>
      </c>
      <c r="T144" s="0" t="n">
        <f aca="false">IF(cleaned_data!D144="Residential",1,0)</f>
        <v>0</v>
      </c>
    </row>
    <row r="145" customFormat="false" ht="15" hidden="false" customHeight="false" outlineLevel="0" collapsed="false">
      <c r="A145" s="0" t="str">
        <f aca="false">cleaned_data!A145</f>
        <v>STR-1036</v>
      </c>
      <c r="B145" s="0" t="str">
        <f aca="false">cleaned_data!B145</f>
        <v>2025-04-01</v>
      </c>
      <c r="C145" s="0" t="str">
        <f aca="false">cleaned_data!C145</f>
        <v>West</v>
      </c>
      <c r="D145" s="0" t="str">
        <f aca="false">cleaned_data!D145</f>
        <v>High Street</v>
      </c>
      <c r="E145" s="0" t="n">
        <f aca="false">cleaned_data!E145</f>
        <v>50198.12</v>
      </c>
      <c r="F145" s="0" t="n">
        <f aca="false">cleaned_data!F145</f>
        <v>6089</v>
      </c>
      <c r="G145" s="0" t="n">
        <f aca="false">cleaned_data!G145</f>
        <v>0.182</v>
      </c>
      <c r="H145" s="0" t="n">
        <f aca="false">cleaned_data!H145</f>
        <v>19</v>
      </c>
      <c r="I145" s="0" t="n">
        <f aca="false">cleaned_data!I145</f>
        <v>94</v>
      </c>
      <c r="J145" s="0" t="n">
        <f aca="false">cleaned_data!J145</f>
        <v>9.7</v>
      </c>
      <c r="K145" s="0" t="n">
        <f aca="false">cleaned_data!K145</f>
        <v>0</v>
      </c>
      <c r="L145" s="0" t="n">
        <f aca="false">cleaned_data!L145</f>
        <v>3.9</v>
      </c>
      <c r="M145" s="0" t="n">
        <f aca="false">cleaned_data!M145</f>
        <v>695098.51</v>
      </c>
      <c r="N145" s="0" t="n">
        <f aca="false">cleaned_data!N145</f>
        <v>108192.75</v>
      </c>
      <c r="O145" s="0" t="n">
        <f aca="false">IF(cleaned_data!C145="North",1,0)</f>
        <v>0</v>
      </c>
      <c r="P145" s="0" t="n">
        <f aca="false">IF(cleaned_data!C145="South",1,0)</f>
        <v>0</v>
      </c>
      <c r="Q145" s="0" t="n">
        <f aca="false">IF(cleaned_data!C145="West",1,0)</f>
        <v>1</v>
      </c>
      <c r="R145" s="0" t="n">
        <f aca="false">IF(cleaned_data!D145="Airport",1,0)</f>
        <v>0</v>
      </c>
      <c r="S145" s="0" t="n">
        <f aca="false">IF(cleaned_data!D145="Mall",1,0)</f>
        <v>0</v>
      </c>
      <c r="T145" s="0" t="n">
        <f aca="false">IF(cleaned_data!D145="Residential",1,0)</f>
        <v>0</v>
      </c>
    </row>
    <row r="146" customFormat="false" ht="15" hidden="false" customHeight="false" outlineLevel="0" collapsed="false">
      <c r="A146" s="0" t="str">
        <f aca="false">cleaned_data!A146</f>
        <v>STR-1037</v>
      </c>
      <c r="B146" s="0" t="str">
        <f aca="false">cleaned_data!B146</f>
        <v>2025-01-01</v>
      </c>
      <c r="C146" s="0" t="str">
        <f aca="false">cleaned_data!C146</f>
        <v>North</v>
      </c>
      <c r="D146" s="0" t="str">
        <f aca="false">cleaned_data!D146</f>
        <v>Residential</v>
      </c>
      <c r="E146" s="0" t="n">
        <f aca="false">cleaned_data!E146</f>
        <v>70488.2</v>
      </c>
      <c r="F146" s="0" t="n">
        <f aca="false">cleaned_data!F146</f>
        <v>4312</v>
      </c>
      <c r="G146" s="0" t="n">
        <f aca="false">cleaned_data!G146</f>
        <v>0.169</v>
      </c>
      <c r="H146" s="0" t="n">
        <f aca="false">cleaned_data!H146</f>
        <v>12</v>
      </c>
      <c r="I146" s="0" t="n">
        <f aca="false">cleaned_data!I146</f>
        <v>90.2</v>
      </c>
      <c r="J146" s="0" t="n">
        <f aca="false">cleaned_data!J146</f>
        <v>3.71</v>
      </c>
      <c r="K146" s="0" t="n">
        <f aca="false">cleaned_data!K146</f>
        <v>0</v>
      </c>
      <c r="L146" s="0" t="n">
        <f aca="false">cleaned_data!L146</f>
        <v>3.2</v>
      </c>
      <c r="M146" s="0" t="n">
        <f aca="false">cleaned_data!M146</f>
        <v>577732.57</v>
      </c>
      <c r="N146" s="0" t="n">
        <f aca="false">cleaned_data!N146</f>
        <v>93804.27</v>
      </c>
      <c r="O146" s="0" t="n">
        <f aca="false">IF(cleaned_data!C146="North",1,0)</f>
        <v>1</v>
      </c>
      <c r="P146" s="0" t="n">
        <f aca="false">IF(cleaned_data!C146="South",1,0)</f>
        <v>0</v>
      </c>
      <c r="Q146" s="0" t="n">
        <f aca="false">IF(cleaned_data!C146="West",1,0)</f>
        <v>0</v>
      </c>
      <c r="R146" s="0" t="n">
        <f aca="false">IF(cleaned_data!D146="Airport",1,0)</f>
        <v>0</v>
      </c>
      <c r="S146" s="0" t="n">
        <f aca="false">IF(cleaned_data!D146="Mall",1,0)</f>
        <v>0</v>
      </c>
      <c r="T146" s="0" t="n">
        <f aca="false">IF(cleaned_data!D146="Residential",1,0)</f>
        <v>1</v>
      </c>
    </row>
    <row r="147" customFormat="false" ht="15" hidden="false" customHeight="false" outlineLevel="0" collapsed="false">
      <c r="A147" s="0" t="str">
        <f aca="false">cleaned_data!A147</f>
        <v>STR-1037</v>
      </c>
      <c r="B147" s="0" t="str">
        <f aca="false">cleaned_data!B147</f>
        <v>2025-02-01</v>
      </c>
      <c r="C147" s="0" t="str">
        <f aca="false">cleaned_data!C147</f>
        <v>North</v>
      </c>
      <c r="D147" s="0" t="str">
        <f aca="false">cleaned_data!D147</f>
        <v>Residential</v>
      </c>
      <c r="E147" s="0" t="n">
        <f aca="false">cleaned_data!E147</f>
        <v>50909.27</v>
      </c>
      <c r="F147" s="0" t="n">
        <f aca="false">cleaned_data!F147</f>
        <v>3152</v>
      </c>
      <c r="G147" s="0" t="n">
        <f aca="false">cleaned_data!G147</f>
        <v>0.06</v>
      </c>
      <c r="H147" s="0" t="n">
        <f aca="false">cleaned_data!H147</f>
        <v>13</v>
      </c>
      <c r="I147" s="0" t="n">
        <f aca="false">cleaned_data!I147</f>
        <v>93.7</v>
      </c>
      <c r="J147" s="0" t="n">
        <f aca="false">cleaned_data!J147</f>
        <v>10.79</v>
      </c>
      <c r="K147" s="0" t="n">
        <f aca="false">cleaned_data!K147</f>
        <v>0</v>
      </c>
      <c r="L147" s="0" t="n">
        <f aca="false">cleaned_data!L147</f>
        <v>3.5</v>
      </c>
      <c r="M147" s="0" t="n">
        <f aca="false">cleaned_data!M147</f>
        <v>537058.33</v>
      </c>
      <c r="N147" s="0" t="n">
        <f aca="false">cleaned_data!N147</f>
        <v>93555.71</v>
      </c>
      <c r="O147" s="0" t="n">
        <f aca="false">IF(cleaned_data!C147="North",1,0)</f>
        <v>1</v>
      </c>
      <c r="P147" s="0" t="n">
        <f aca="false">IF(cleaned_data!C147="South",1,0)</f>
        <v>0</v>
      </c>
      <c r="Q147" s="0" t="n">
        <f aca="false">IF(cleaned_data!C147="West",1,0)</f>
        <v>0</v>
      </c>
      <c r="R147" s="0" t="n">
        <f aca="false">IF(cleaned_data!D147="Airport",1,0)</f>
        <v>0</v>
      </c>
      <c r="S147" s="0" t="n">
        <f aca="false">IF(cleaned_data!D147="Mall",1,0)</f>
        <v>0</v>
      </c>
      <c r="T147" s="0" t="n">
        <f aca="false">IF(cleaned_data!D147="Residential",1,0)</f>
        <v>1</v>
      </c>
    </row>
    <row r="148" customFormat="false" ht="15" hidden="false" customHeight="false" outlineLevel="0" collapsed="false">
      <c r="A148" s="0" t="str">
        <f aca="false">cleaned_data!A148</f>
        <v>STR-1037</v>
      </c>
      <c r="B148" s="0" t="str">
        <f aca="false">cleaned_data!B148</f>
        <v>2025-03-01</v>
      </c>
      <c r="C148" s="0" t="str">
        <f aca="false">cleaned_data!C148</f>
        <v>North</v>
      </c>
      <c r="D148" s="0" t="str">
        <f aca="false">cleaned_data!D148</f>
        <v>Residential</v>
      </c>
      <c r="E148" s="0" t="n">
        <f aca="false">cleaned_data!E148</f>
        <v>53351.7</v>
      </c>
      <c r="F148" s="0" t="n">
        <f aca="false">cleaned_data!F148</f>
        <v>4259</v>
      </c>
      <c r="G148" s="0" t="n">
        <f aca="false">cleaned_data!G148</f>
        <v>0.156</v>
      </c>
      <c r="H148" s="0" t="n">
        <f aca="false">cleaned_data!H148</f>
        <v>15</v>
      </c>
      <c r="I148" s="0" t="n">
        <f aca="false">cleaned_data!I148</f>
        <v>93.7</v>
      </c>
      <c r="J148" s="0" t="n">
        <f aca="false">cleaned_data!J148</f>
        <v>6.03</v>
      </c>
      <c r="K148" s="0" t="n">
        <f aca="false">cleaned_data!K148</f>
        <v>0</v>
      </c>
      <c r="L148" s="0" t="n">
        <f aca="false">cleaned_data!L148</f>
        <v>3.4</v>
      </c>
      <c r="M148" s="0" t="n">
        <f aca="false">cleaned_data!M148</f>
        <v>601568.87</v>
      </c>
      <c r="N148" s="0" t="n">
        <f aca="false">cleaned_data!N148</f>
        <v>91634.82</v>
      </c>
      <c r="O148" s="0" t="n">
        <f aca="false">IF(cleaned_data!C148="North",1,0)</f>
        <v>1</v>
      </c>
      <c r="P148" s="0" t="n">
        <f aca="false">IF(cleaned_data!C148="South",1,0)</f>
        <v>0</v>
      </c>
      <c r="Q148" s="0" t="n">
        <f aca="false">IF(cleaned_data!C148="West",1,0)</f>
        <v>0</v>
      </c>
      <c r="R148" s="0" t="n">
        <f aca="false">IF(cleaned_data!D148="Airport",1,0)</f>
        <v>0</v>
      </c>
      <c r="S148" s="0" t="n">
        <f aca="false">IF(cleaned_data!D148="Mall",1,0)</f>
        <v>0</v>
      </c>
      <c r="T148" s="0" t="n">
        <f aca="false">IF(cleaned_data!D148="Residential",1,0)</f>
        <v>1</v>
      </c>
    </row>
    <row r="149" customFormat="false" ht="15" hidden="false" customHeight="false" outlineLevel="0" collapsed="false">
      <c r="A149" s="0" t="str">
        <f aca="false">cleaned_data!A149</f>
        <v>STR-1037</v>
      </c>
      <c r="B149" s="0" t="str">
        <f aca="false">cleaned_data!B149</f>
        <v>2025-04-01</v>
      </c>
      <c r="C149" s="0" t="str">
        <f aca="false">cleaned_data!C149</f>
        <v>North</v>
      </c>
      <c r="D149" s="0" t="str">
        <f aca="false">cleaned_data!D149</f>
        <v>Residential</v>
      </c>
      <c r="E149" s="0" t="n">
        <f aca="false">cleaned_data!E149</f>
        <v>60322.4</v>
      </c>
      <c r="F149" s="0" t="n">
        <f aca="false">cleaned_data!F149</f>
        <v>3350</v>
      </c>
      <c r="G149" s="0" t="n">
        <f aca="false">cleaned_data!G149</f>
        <v>0.108</v>
      </c>
      <c r="H149" s="0" t="n">
        <f aca="false">cleaned_data!H149</f>
        <v>12</v>
      </c>
      <c r="I149" s="0" t="n">
        <f aca="false">cleaned_data!I149</f>
        <v>89.4</v>
      </c>
      <c r="J149" s="0" t="n">
        <f aca="false">cleaned_data!J149</f>
        <v>4.92</v>
      </c>
      <c r="K149" s="0" t="n">
        <f aca="false">cleaned_data!K149</f>
        <v>0</v>
      </c>
      <c r="L149" s="0" t="n">
        <f aca="false">cleaned_data!L149</f>
        <v>3.4</v>
      </c>
      <c r="M149" s="0" t="n">
        <f aca="false">cleaned_data!M149</f>
        <v>570964.84</v>
      </c>
      <c r="N149" s="0" t="n">
        <f aca="false">cleaned_data!N149</f>
        <v>81331.07</v>
      </c>
      <c r="O149" s="0" t="n">
        <f aca="false">IF(cleaned_data!C149="North",1,0)</f>
        <v>1</v>
      </c>
      <c r="P149" s="0" t="n">
        <f aca="false">IF(cleaned_data!C149="South",1,0)</f>
        <v>0</v>
      </c>
      <c r="Q149" s="0" t="n">
        <f aca="false">IF(cleaned_data!C149="West",1,0)</f>
        <v>0</v>
      </c>
      <c r="R149" s="0" t="n">
        <f aca="false">IF(cleaned_data!D149="Airport",1,0)</f>
        <v>0</v>
      </c>
      <c r="S149" s="0" t="n">
        <f aca="false">IF(cleaned_data!D149="Mall",1,0)</f>
        <v>0</v>
      </c>
      <c r="T149" s="0" t="n">
        <f aca="false">IF(cleaned_data!D149="Residential",1,0)</f>
        <v>1</v>
      </c>
    </row>
    <row r="150" customFormat="false" ht="15" hidden="false" customHeight="false" outlineLevel="0" collapsed="false">
      <c r="A150" s="0" t="str">
        <f aca="false">cleaned_data!A150</f>
        <v>STR-1038</v>
      </c>
      <c r="B150" s="0" t="str">
        <f aca="false">cleaned_data!B150</f>
        <v>2025-01-01</v>
      </c>
      <c r="C150" s="0" t="str">
        <f aca="false">cleaned_data!C150</f>
        <v>South</v>
      </c>
      <c r="D150" s="0" t="str">
        <f aca="false">cleaned_data!D150</f>
        <v>Mall</v>
      </c>
      <c r="E150" s="0" t="n">
        <f aca="false">cleaned_data!E150</f>
        <v>51575.68</v>
      </c>
      <c r="F150" s="0" t="n">
        <f aca="false">cleaned_data!F150</f>
        <v>5329</v>
      </c>
      <c r="G150" s="0" t="n">
        <f aca="false">cleaned_data!G150</f>
        <v>0.047</v>
      </c>
      <c r="H150" s="0" t="n">
        <f aca="false">cleaned_data!H150</f>
        <v>17</v>
      </c>
      <c r="I150" s="0" t="n">
        <f aca="false">cleaned_data!I150</f>
        <v>88.1</v>
      </c>
      <c r="J150" s="0" t="n">
        <f aca="false">cleaned_data!J150</f>
        <v>19.78</v>
      </c>
      <c r="K150" s="0" t="n">
        <f aca="false">cleaned_data!K150</f>
        <v>0</v>
      </c>
      <c r="L150" s="0" t="n">
        <f aca="false">cleaned_data!L150</f>
        <v>3.8</v>
      </c>
      <c r="M150" s="0" t="n">
        <f aca="false">cleaned_data!M150</f>
        <v>614024.91</v>
      </c>
      <c r="N150" s="0" t="n">
        <f aca="false">cleaned_data!N150</f>
        <v>84828.93</v>
      </c>
      <c r="O150" s="0" t="n">
        <f aca="false">IF(cleaned_data!C150="North",1,0)</f>
        <v>0</v>
      </c>
      <c r="P150" s="0" t="n">
        <f aca="false">IF(cleaned_data!C150="South",1,0)</f>
        <v>1</v>
      </c>
      <c r="Q150" s="0" t="n">
        <f aca="false">IF(cleaned_data!C150="West",1,0)</f>
        <v>0</v>
      </c>
      <c r="R150" s="0" t="n">
        <f aca="false">IF(cleaned_data!D150="Airport",1,0)</f>
        <v>0</v>
      </c>
      <c r="S150" s="0" t="n">
        <f aca="false">IF(cleaned_data!D150="Mall",1,0)</f>
        <v>1</v>
      </c>
      <c r="T150" s="0" t="n">
        <f aca="false">IF(cleaned_data!D150="Residential",1,0)</f>
        <v>0</v>
      </c>
    </row>
    <row r="151" customFormat="false" ht="15" hidden="false" customHeight="false" outlineLevel="0" collapsed="false">
      <c r="A151" s="0" t="str">
        <f aca="false">cleaned_data!A151</f>
        <v>STR-1038</v>
      </c>
      <c r="B151" s="0" t="str">
        <f aca="false">cleaned_data!B151</f>
        <v>2025-02-01</v>
      </c>
      <c r="C151" s="0" t="str">
        <f aca="false">cleaned_data!C151</f>
        <v>South</v>
      </c>
      <c r="D151" s="0" t="str">
        <f aca="false">cleaned_data!D151</f>
        <v>Mall</v>
      </c>
      <c r="E151" s="0" t="n">
        <f aca="false">cleaned_data!E151</f>
        <v>43319.94</v>
      </c>
      <c r="F151" s="0" t="n">
        <f aca="false">cleaned_data!F151</f>
        <v>6551</v>
      </c>
      <c r="G151" s="0" t="n">
        <f aca="false">cleaned_data!G151</f>
        <v>0.044</v>
      </c>
      <c r="H151" s="0" t="n">
        <f aca="false">cleaned_data!H151</f>
        <v>13</v>
      </c>
      <c r="I151" s="0" t="n">
        <f aca="false">cleaned_data!I151</f>
        <v>99</v>
      </c>
      <c r="J151" s="0" t="n">
        <f aca="false">cleaned_data!J151</f>
        <v>5.45</v>
      </c>
      <c r="K151" s="0" t="n">
        <f aca="false">cleaned_data!K151</f>
        <v>0</v>
      </c>
      <c r="L151" s="0" t="n">
        <f aca="false">cleaned_data!L151</f>
        <v>4.1</v>
      </c>
      <c r="M151" s="0" t="n">
        <f aca="false">cleaned_data!M151</f>
        <v>712868.35</v>
      </c>
      <c r="N151" s="0" t="n">
        <f aca="false">cleaned_data!N151</f>
        <v>133650.51</v>
      </c>
      <c r="O151" s="0" t="n">
        <f aca="false">IF(cleaned_data!C151="North",1,0)</f>
        <v>0</v>
      </c>
      <c r="P151" s="0" t="n">
        <f aca="false">IF(cleaned_data!C151="South",1,0)</f>
        <v>1</v>
      </c>
      <c r="Q151" s="0" t="n">
        <f aca="false">IF(cleaned_data!C151="West",1,0)</f>
        <v>0</v>
      </c>
      <c r="R151" s="0" t="n">
        <f aca="false">IF(cleaned_data!D151="Airport",1,0)</f>
        <v>0</v>
      </c>
      <c r="S151" s="0" t="n">
        <f aca="false">IF(cleaned_data!D151="Mall",1,0)</f>
        <v>1</v>
      </c>
      <c r="T151" s="0" t="n">
        <f aca="false">IF(cleaned_data!D151="Residential",1,0)</f>
        <v>0</v>
      </c>
    </row>
    <row r="152" customFormat="false" ht="15" hidden="false" customHeight="false" outlineLevel="0" collapsed="false">
      <c r="A152" s="0" t="str">
        <f aca="false">cleaned_data!A152</f>
        <v>STR-1038</v>
      </c>
      <c r="B152" s="0" t="str">
        <f aca="false">cleaned_data!B152</f>
        <v>2025-03-01</v>
      </c>
      <c r="C152" s="0" t="str">
        <f aca="false">cleaned_data!C152</f>
        <v>South</v>
      </c>
      <c r="D152" s="0" t="str">
        <f aca="false">cleaned_data!D152</f>
        <v>Mall</v>
      </c>
      <c r="E152" s="0" t="n">
        <f aca="false">cleaned_data!E152</f>
        <v>47093.55</v>
      </c>
      <c r="F152" s="0" t="n">
        <f aca="false">cleaned_data!F152</f>
        <v>5550</v>
      </c>
      <c r="G152" s="0" t="n">
        <f aca="false">cleaned_data!G152</f>
        <v>0.1</v>
      </c>
      <c r="H152" s="0" t="n">
        <f aca="false">cleaned_data!H152</f>
        <v>12</v>
      </c>
      <c r="I152" s="0" t="n">
        <f aca="false">cleaned_data!I152</f>
        <v>95</v>
      </c>
      <c r="J152" s="0" t="n">
        <f aca="false">cleaned_data!J152</f>
        <v>2.33</v>
      </c>
      <c r="K152" s="0" t="n">
        <f aca="false">cleaned_data!K152</f>
        <v>1</v>
      </c>
      <c r="L152" s="0" t="n">
        <f aca="false">cleaned_data!L152</f>
        <v>3.7</v>
      </c>
      <c r="M152" s="0" t="n">
        <f aca="false">cleaned_data!M152</f>
        <v>696744.15</v>
      </c>
      <c r="N152" s="0" t="n">
        <f aca="false">cleaned_data!N152</f>
        <v>152230.09</v>
      </c>
      <c r="O152" s="0" t="n">
        <f aca="false">IF(cleaned_data!C152="North",1,0)</f>
        <v>0</v>
      </c>
      <c r="P152" s="0" t="n">
        <f aca="false">IF(cleaned_data!C152="South",1,0)</f>
        <v>1</v>
      </c>
      <c r="Q152" s="0" t="n">
        <f aca="false">IF(cleaned_data!C152="West",1,0)</f>
        <v>0</v>
      </c>
      <c r="R152" s="0" t="n">
        <f aca="false">IF(cleaned_data!D152="Airport",1,0)</f>
        <v>0</v>
      </c>
      <c r="S152" s="0" t="n">
        <f aca="false">IF(cleaned_data!D152="Mall",1,0)</f>
        <v>1</v>
      </c>
      <c r="T152" s="0" t="n">
        <f aca="false">IF(cleaned_data!D152="Residential",1,0)</f>
        <v>0</v>
      </c>
    </row>
    <row r="153" customFormat="false" ht="15" hidden="false" customHeight="false" outlineLevel="0" collapsed="false">
      <c r="A153" s="0" t="str">
        <f aca="false">cleaned_data!A153</f>
        <v>STR-1038</v>
      </c>
      <c r="B153" s="0" t="str">
        <f aca="false">cleaned_data!B153</f>
        <v>2025-04-01</v>
      </c>
      <c r="C153" s="0" t="str">
        <f aca="false">cleaned_data!C153</f>
        <v>South</v>
      </c>
      <c r="D153" s="0" t="str">
        <f aca="false">cleaned_data!D153</f>
        <v>Mall</v>
      </c>
      <c r="E153" s="0" t="n">
        <f aca="false">cleaned_data!E153</f>
        <v>71855.09</v>
      </c>
      <c r="F153" s="0" t="n">
        <f aca="false">cleaned_data!F153</f>
        <v>5911</v>
      </c>
      <c r="G153" s="0" t="n">
        <f aca="false">cleaned_data!G153</f>
        <v>0.197</v>
      </c>
      <c r="H153" s="0" t="n">
        <f aca="false">cleaned_data!H153</f>
        <v>15</v>
      </c>
      <c r="I153" s="0" t="n">
        <f aca="false">cleaned_data!I153</f>
        <v>94.3</v>
      </c>
      <c r="J153" s="0" t="n">
        <f aca="false">cleaned_data!J153</f>
        <v>3.55</v>
      </c>
      <c r="K153" s="0" t="n">
        <f aca="false">cleaned_data!K153</f>
        <v>0</v>
      </c>
      <c r="L153" s="0" t="n">
        <f aca="false">cleaned_data!L153</f>
        <v>4.1</v>
      </c>
      <c r="M153" s="0" t="n">
        <f aca="false">cleaned_data!M153</f>
        <v>725847.99</v>
      </c>
      <c r="N153" s="0" t="n">
        <f aca="false">cleaned_data!N153</f>
        <v>122698.73</v>
      </c>
      <c r="O153" s="0" t="n">
        <f aca="false">IF(cleaned_data!C153="North",1,0)</f>
        <v>0</v>
      </c>
      <c r="P153" s="0" t="n">
        <f aca="false">IF(cleaned_data!C153="South",1,0)</f>
        <v>1</v>
      </c>
      <c r="Q153" s="0" t="n">
        <f aca="false">IF(cleaned_data!C153="West",1,0)</f>
        <v>0</v>
      </c>
      <c r="R153" s="0" t="n">
        <f aca="false">IF(cleaned_data!D153="Airport",1,0)</f>
        <v>0</v>
      </c>
      <c r="S153" s="0" t="n">
        <f aca="false">IF(cleaned_data!D153="Mall",1,0)</f>
        <v>1</v>
      </c>
      <c r="T153" s="0" t="n">
        <f aca="false">IF(cleaned_data!D153="Residential",1,0)</f>
        <v>0</v>
      </c>
    </row>
    <row r="154" customFormat="false" ht="15" hidden="false" customHeight="false" outlineLevel="0" collapsed="false">
      <c r="A154" s="0" t="str">
        <f aca="false">cleaned_data!A154</f>
        <v>STR-1039</v>
      </c>
      <c r="B154" s="0" t="str">
        <f aca="false">cleaned_data!B154</f>
        <v>2025-01-01</v>
      </c>
      <c r="C154" s="0" t="str">
        <f aca="false">cleaned_data!C154</f>
        <v>East</v>
      </c>
      <c r="D154" s="0" t="str">
        <f aca="false">cleaned_data!D154</f>
        <v>High Street</v>
      </c>
      <c r="E154" s="0" t="n">
        <f aca="false">cleaned_data!E154</f>
        <v>75645.23</v>
      </c>
      <c r="F154" s="0" t="n">
        <f aca="false">cleaned_data!F154</f>
        <v>9674</v>
      </c>
      <c r="G154" s="0" t="n">
        <f aca="false">cleaned_data!G154</f>
        <v>0.234</v>
      </c>
      <c r="H154" s="0" t="n">
        <f aca="false">cleaned_data!H154</f>
        <v>21</v>
      </c>
      <c r="I154" s="0" t="n">
        <f aca="false">cleaned_data!I154</f>
        <v>87.4</v>
      </c>
      <c r="J154" s="0" t="n">
        <f aca="false">cleaned_data!J154</f>
        <v>0.2</v>
      </c>
      <c r="K154" s="0" t="n">
        <f aca="false">cleaned_data!K154</f>
        <v>0</v>
      </c>
      <c r="L154" s="0" t="n">
        <f aca="false">cleaned_data!L154</f>
        <v>4.5</v>
      </c>
      <c r="M154" s="0" t="n">
        <f aca="false">cleaned_data!M154</f>
        <v>785028.25</v>
      </c>
      <c r="N154" s="0" t="n">
        <f aca="false">cleaned_data!N154</f>
        <v>110726.44</v>
      </c>
      <c r="O154" s="0" t="n">
        <f aca="false">IF(cleaned_data!C154="North",1,0)</f>
        <v>0</v>
      </c>
      <c r="P154" s="0" t="n">
        <f aca="false">IF(cleaned_data!C154="South",1,0)</f>
        <v>0</v>
      </c>
      <c r="Q154" s="0" t="n">
        <f aca="false">IF(cleaned_data!C154="West",1,0)</f>
        <v>0</v>
      </c>
      <c r="R154" s="0" t="n">
        <f aca="false">IF(cleaned_data!D154="Airport",1,0)</f>
        <v>0</v>
      </c>
      <c r="S154" s="0" t="n">
        <f aca="false">IF(cleaned_data!D154="Mall",1,0)</f>
        <v>0</v>
      </c>
      <c r="T154" s="0" t="n">
        <f aca="false">IF(cleaned_data!D154="Residential",1,0)</f>
        <v>0</v>
      </c>
    </row>
    <row r="155" customFormat="false" ht="15" hidden="false" customHeight="false" outlineLevel="0" collapsed="false">
      <c r="A155" s="0" t="str">
        <f aca="false">cleaned_data!A155</f>
        <v>STR-1039</v>
      </c>
      <c r="B155" s="0" t="str">
        <f aca="false">cleaned_data!B155</f>
        <v>2025-02-01</v>
      </c>
      <c r="C155" s="0" t="str">
        <f aca="false">cleaned_data!C155</f>
        <v>East</v>
      </c>
      <c r="D155" s="0" t="str">
        <f aca="false">cleaned_data!D155</f>
        <v>High Street</v>
      </c>
      <c r="E155" s="0" t="n">
        <f aca="false">cleaned_data!E155</f>
        <v>64374.75</v>
      </c>
      <c r="F155" s="0" t="n">
        <f aca="false">cleaned_data!F155</f>
        <v>6740</v>
      </c>
      <c r="G155" s="0" t="n">
        <f aca="false">cleaned_data!G155</f>
        <v>0.169</v>
      </c>
      <c r="H155" s="0" t="n">
        <f aca="false">cleaned_data!H155</f>
        <v>18</v>
      </c>
      <c r="I155" s="0" t="n">
        <f aca="false">cleaned_data!I155</f>
        <v>87</v>
      </c>
      <c r="J155" s="0" t="n">
        <f aca="false">cleaned_data!J155</f>
        <v>2.09</v>
      </c>
      <c r="K155" s="0" t="n">
        <f aca="false">cleaned_data!K155</f>
        <v>0</v>
      </c>
      <c r="L155" s="0" t="n">
        <f aca="false">cleaned_data!L155</f>
        <v>4.2</v>
      </c>
      <c r="M155" s="0" t="n">
        <f aca="false">cleaned_data!M155</f>
        <v>698492.67</v>
      </c>
      <c r="N155" s="0" t="n">
        <f aca="false">cleaned_data!N155</f>
        <v>117319.32</v>
      </c>
      <c r="O155" s="0" t="n">
        <f aca="false">IF(cleaned_data!C155="North",1,0)</f>
        <v>0</v>
      </c>
      <c r="P155" s="0" t="n">
        <f aca="false">IF(cleaned_data!C155="South",1,0)</f>
        <v>0</v>
      </c>
      <c r="Q155" s="0" t="n">
        <f aca="false">IF(cleaned_data!C155="West",1,0)</f>
        <v>0</v>
      </c>
      <c r="R155" s="0" t="n">
        <f aca="false">IF(cleaned_data!D155="Airport",1,0)</f>
        <v>0</v>
      </c>
      <c r="S155" s="0" t="n">
        <f aca="false">IF(cleaned_data!D155="Mall",1,0)</f>
        <v>0</v>
      </c>
      <c r="T155" s="0" t="n">
        <f aca="false">IF(cleaned_data!D155="Residential",1,0)</f>
        <v>0</v>
      </c>
    </row>
    <row r="156" customFormat="false" ht="15" hidden="false" customHeight="false" outlineLevel="0" collapsed="false">
      <c r="A156" s="0" t="str">
        <f aca="false">cleaned_data!A156</f>
        <v>STR-1039</v>
      </c>
      <c r="B156" s="0" t="str">
        <f aca="false">cleaned_data!B156</f>
        <v>2025-03-01</v>
      </c>
      <c r="C156" s="0" t="str">
        <f aca="false">cleaned_data!C156</f>
        <v>East</v>
      </c>
      <c r="D156" s="0" t="str">
        <f aca="false">cleaned_data!D156</f>
        <v>High Street</v>
      </c>
      <c r="E156" s="0" t="n">
        <f aca="false">cleaned_data!E156</f>
        <v>61433.84</v>
      </c>
      <c r="F156" s="0" t="n">
        <f aca="false">cleaned_data!F156</f>
        <v>7745</v>
      </c>
      <c r="G156" s="0" t="n">
        <f aca="false">cleaned_data!G156</f>
        <v>0.18</v>
      </c>
      <c r="H156" s="0" t="n">
        <f aca="false">cleaned_data!H156</f>
        <v>16</v>
      </c>
      <c r="I156" s="0" t="n">
        <f aca="false">cleaned_data!I156</f>
        <v>90.5</v>
      </c>
      <c r="J156" s="0" t="n">
        <f aca="false">cleaned_data!J156</f>
        <v>2.26</v>
      </c>
      <c r="K156" s="0" t="n">
        <f aca="false">cleaned_data!K156</f>
        <v>0</v>
      </c>
      <c r="L156" s="0" t="n">
        <f aca="false">cleaned_data!L156</f>
        <v>4.2</v>
      </c>
      <c r="M156" s="0" t="n">
        <f aca="false">cleaned_data!M156</f>
        <v>685830.24</v>
      </c>
      <c r="N156" s="0" t="n">
        <f aca="false">cleaned_data!N156</f>
        <v>128736.18</v>
      </c>
      <c r="O156" s="0" t="n">
        <f aca="false">IF(cleaned_data!C156="North",1,0)</f>
        <v>0</v>
      </c>
      <c r="P156" s="0" t="n">
        <f aca="false">IF(cleaned_data!C156="South",1,0)</f>
        <v>0</v>
      </c>
      <c r="Q156" s="0" t="n">
        <f aca="false">IF(cleaned_data!C156="West",1,0)</f>
        <v>0</v>
      </c>
      <c r="R156" s="0" t="n">
        <f aca="false">IF(cleaned_data!D156="Airport",1,0)</f>
        <v>0</v>
      </c>
      <c r="S156" s="0" t="n">
        <f aca="false">IF(cleaned_data!D156="Mall",1,0)</f>
        <v>0</v>
      </c>
      <c r="T156" s="0" t="n">
        <f aca="false">IF(cleaned_data!D156="Residential",1,0)</f>
        <v>0</v>
      </c>
    </row>
    <row r="157" customFormat="false" ht="15" hidden="false" customHeight="false" outlineLevel="0" collapsed="false">
      <c r="A157" s="0" t="str">
        <f aca="false">cleaned_data!A157</f>
        <v>STR-1039</v>
      </c>
      <c r="B157" s="0" t="str">
        <f aca="false">cleaned_data!B157</f>
        <v>2025-04-01</v>
      </c>
      <c r="C157" s="0" t="str">
        <f aca="false">cleaned_data!C157</f>
        <v>East</v>
      </c>
      <c r="D157" s="0" t="str">
        <f aca="false">cleaned_data!D157</f>
        <v>High Street</v>
      </c>
      <c r="E157" s="0" t="n">
        <f aca="false">cleaned_data!E157</f>
        <v>42698.14</v>
      </c>
      <c r="F157" s="0" t="n">
        <f aca="false">cleaned_data!F157</f>
        <v>7693</v>
      </c>
      <c r="G157" s="0" t="n">
        <f aca="false">cleaned_data!G157</f>
        <v>0.187</v>
      </c>
      <c r="H157" s="0" t="n">
        <f aca="false">cleaned_data!H157</f>
        <v>19</v>
      </c>
      <c r="I157" s="0" t="n">
        <f aca="false">cleaned_data!I157</f>
        <v>90.1</v>
      </c>
      <c r="J157" s="0" t="n">
        <f aca="false">cleaned_data!J157</f>
        <v>0.44</v>
      </c>
      <c r="K157" s="0" t="n">
        <f aca="false">cleaned_data!K157</f>
        <v>0</v>
      </c>
      <c r="L157" s="0" t="n">
        <f aca="false">cleaned_data!L157</f>
        <v>4.4</v>
      </c>
      <c r="M157" s="0" t="n">
        <f aca="false">cleaned_data!M157</f>
        <v>702318.94</v>
      </c>
      <c r="N157" s="0" t="n">
        <f aca="false">cleaned_data!N157</f>
        <v>112829.29</v>
      </c>
      <c r="O157" s="0" t="n">
        <f aca="false">IF(cleaned_data!C157="North",1,0)</f>
        <v>0</v>
      </c>
      <c r="P157" s="0" t="n">
        <f aca="false">IF(cleaned_data!C157="South",1,0)</f>
        <v>0</v>
      </c>
      <c r="Q157" s="0" t="n">
        <f aca="false">IF(cleaned_data!C157="West",1,0)</f>
        <v>0</v>
      </c>
      <c r="R157" s="0" t="n">
        <f aca="false">IF(cleaned_data!D157="Airport",1,0)</f>
        <v>0</v>
      </c>
      <c r="S157" s="0" t="n">
        <f aca="false">IF(cleaned_data!D157="Mall",1,0)</f>
        <v>0</v>
      </c>
      <c r="T157" s="0" t="n">
        <f aca="false">IF(cleaned_data!D157="Residential",1,0)</f>
        <v>0</v>
      </c>
    </row>
    <row r="158" customFormat="false" ht="15" hidden="false" customHeight="false" outlineLevel="0" collapsed="false">
      <c r="A158" s="0" t="str">
        <f aca="false">cleaned_data!A158</f>
        <v>STR-1040</v>
      </c>
      <c r="B158" s="0" t="str">
        <f aca="false">cleaned_data!B158</f>
        <v>2025-01-01</v>
      </c>
      <c r="C158" s="0" t="str">
        <f aca="false">cleaned_data!C158</f>
        <v>North</v>
      </c>
      <c r="D158" s="0" t="str">
        <f aca="false">cleaned_data!D158</f>
        <v>Mall</v>
      </c>
      <c r="E158" s="0" t="n">
        <f aca="false">cleaned_data!E158</f>
        <v>86883.31</v>
      </c>
      <c r="F158" s="0" t="n">
        <f aca="false">cleaned_data!F158</f>
        <v>6424</v>
      </c>
      <c r="G158" s="0" t="n">
        <f aca="false">cleaned_data!G158</f>
        <v>0.057</v>
      </c>
      <c r="H158" s="0" t="n">
        <f aca="false">cleaned_data!H158</f>
        <v>19</v>
      </c>
      <c r="I158" s="0" t="n">
        <f aca="false">cleaned_data!I158</f>
        <v>85.2</v>
      </c>
      <c r="J158" s="0" t="n">
        <f aca="false">cleaned_data!J158</f>
        <v>3.08</v>
      </c>
      <c r="K158" s="0" t="n">
        <f aca="false">cleaned_data!K158</f>
        <v>0</v>
      </c>
      <c r="L158" s="0" t="n">
        <f aca="false">cleaned_data!L158</f>
        <v>3.9</v>
      </c>
      <c r="M158" s="0" t="n">
        <f aca="false">cleaned_data!M158</f>
        <v>700078.32</v>
      </c>
      <c r="N158" s="0" t="n">
        <f aca="false">cleaned_data!N158</f>
        <v>123707.58</v>
      </c>
      <c r="O158" s="0" t="n">
        <f aca="false">IF(cleaned_data!C158="North",1,0)</f>
        <v>1</v>
      </c>
      <c r="P158" s="0" t="n">
        <f aca="false">IF(cleaned_data!C158="South",1,0)</f>
        <v>0</v>
      </c>
      <c r="Q158" s="0" t="n">
        <f aca="false">IF(cleaned_data!C158="West",1,0)</f>
        <v>0</v>
      </c>
      <c r="R158" s="0" t="n">
        <f aca="false">IF(cleaned_data!D158="Airport",1,0)</f>
        <v>0</v>
      </c>
      <c r="S158" s="0" t="n">
        <f aca="false">IF(cleaned_data!D158="Mall",1,0)</f>
        <v>1</v>
      </c>
      <c r="T158" s="0" t="n">
        <f aca="false">IF(cleaned_data!D158="Residential",1,0)</f>
        <v>0</v>
      </c>
    </row>
    <row r="159" customFormat="false" ht="15" hidden="false" customHeight="false" outlineLevel="0" collapsed="false">
      <c r="A159" s="0" t="str">
        <f aca="false">cleaned_data!A159</f>
        <v>STR-1040</v>
      </c>
      <c r="B159" s="0" t="str">
        <f aca="false">cleaned_data!B159</f>
        <v>2025-02-01</v>
      </c>
      <c r="C159" s="0" t="str">
        <f aca="false">cleaned_data!C159</f>
        <v>North</v>
      </c>
      <c r="D159" s="0" t="str">
        <f aca="false">cleaned_data!D159</f>
        <v>Mall</v>
      </c>
      <c r="E159" s="0" t="n">
        <f aca="false">cleaned_data!E159</f>
        <v>41863.08</v>
      </c>
      <c r="F159" s="0" t="n">
        <f aca="false">cleaned_data!F159</f>
        <v>5400</v>
      </c>
      <c r="G159" s="0" t="n">
        <f aca="false">cleaned_data!G159</f>
        <v>0.114</v>
      </c>
      <c r="H159" s="0" t="n">
        <f aca="false">cleaned_data!H159</f>
        <v>11</v>
      </c>
      <c r="I159" s="0" t="n">
        <f aca="false">cleaned_data!I159</f>
        <v>91.6</v>
      </c>
      <c r="J159" s="0" t="n">
        <f aca="false">cleaned_data!J159</f>
        <v>7.99</v>
      </c>
      <c r="K159" s="0" t="n">
        <f aca="false">cleaned_data!K159</f>
        <v>0</v>
      </c>
      <c r="L159" s="0" t="n">
        <f aca="false">cleaned_data!L159</f>
        <v>3</v>
      </c>
      <c r="M159" s="0" t="n">
        <f aca="false">cleaned_data!M159</f>
        <v>602002.32</v>
      </c>
      <c r="N159" s="0" t="n">
        <f aca="false">cleaned_data!N159</f>
        <v>110453.28</v>
      </c>
      <c r="O159" s="0" t="n">
        <f aca="false">IF(cleaned_data!C159="North",1,0)</f>
        <v>1</v>
      </c>
      <c r="P159" s="0" t="n">
        <f aca="false">IF(cleaned_data!C159="South",1,0)</f>
        <v>0</v>
      </c>
      <c r="Q159" s="0" t="n">
        <f aca="false">IF(cleaned_data!C159="West",1,0)</f>
        <v>0</v>
      </c>
      <c r="R159" s="0" t="n">
        <f aca="false">IF(cleaned_data!D159="Airport",1,0)</f>
        <v>0</v>
      </c>
      <c r="S159" s="0" t="n">
        <f aca="false">IF(cleaned_data!D159="Mall",1,0)</f>
        <v>1</v>
      </c>
      <c r="T159" s="0" t="n">
        <f aca="false">IF(cleaned_data!D159="Residential",1,0)</f>
        <v>0</v>
      </c>
    </row>
    <row r="160" customFormat="false" ht="15" hidden="false" customHeight="false" outlineLevel="0" collapsed="false">
      <c r="A160" s="0" t="str">
        <f aca="false">cleaned_data!A160</f>
        <v>STR-1040</v>
      </c>
      <c r="B160" s="0" t="str">
        <f aca="false">cleaned_data!B160</f>
        <v>2025-03-01</v>
      </c>
      <c r="C160" s="0" t="str">
        <f aca="false">cleaned_data!C160</f>
        <v>North</v>
      </c>
      <c r="D160" s="0" t="str">
        <f aca="false">cleaned_data!D160</f>
        <v>Mall</v>
      </c>
      <c r="E160" s="0" t="n">
        <f aca="false">cleaned_data!E160</f>
        <v>56918.16</v>
      </c>
      <c r="F160" s="0" t="n">
        <f aca="false">cleaned_data!F160</f>
        <v>7015</v>
      </c>
      <c r="G160" s="0" t="n">
        <f aca="false">cleaned_data!G160</f>
        <v>0.158</v>
      </c>
      <c r="H160" s="0" t="n">
        <f aca="false">cleaned_data!H160</f>
        <v>18</v>
      </c>
      <c r="I160" s="0" t="n">
        <f aca="false">cleaned_data!I160</f>
        <v>74.2</v>
      </c>
      <c r="J160" s="0" t="n">
        <f aca="false">cleaned_data!J160</f>
        <v>0.2</v>
      </c>
      <c r="K160" s="0" t="n">
        <f aca="false">cleaned_data!K160</f>
        <v>0</v>
      </c>
      <c r="L160" s="0" t="n">
        <f aca="false">cleaned_data!L160</f>
        <v>3.4</v>
      </c>
      <c r="M160" s="0" t="n">
        <f aca="false">cleaned_data!M160</f>
        <v>724216.07</v>
      </c>
      <c r="N160" s="0" t="n">
        <f aca="false">cleaned_data!N160</f>
        <v>100627.56</v>
      </c>
      <c r="O160" s="0" t="n">
        <f aca="false">IF(cleaned_data!C160="North",1,0)</f>
        <v>1</v>
      </c>
      <c r="P160" s="0" t="n">
        <f aca="false">IF(cleaned_data!C160="South",1,0)</f>
        <v>0</v>
      </c>
      <c r="Q160" s="0" t="n">
        <f aca="false">IF(cleaned_data!C160="West",1,0)</f>
        <v>0</v>
      </c>
      <c r="R160" s="0" t="n">
        <f aca="false">IF(cleaned_data!D160="Airport",1,0)</f>
        <v>0</v>
      </c>
      <c r="S160" s="0" t="n">
        <f aca="false">IF(cleaned_data!D160="Mall",1,0)</f>
        <v>1</v>
      </c>
      <c r="T160" s="0" t="n">
        <f aca="false">IF(cleaned_data!D160="Residential",1,0)</f>
        <v>0</v>
      </c>
    </row>
    <row r="161" customFormat="false" ht="15" hidden="false" customHeight="false" outlineLevel="0" collapsed="false">
      <c r="A161" s="0" t="str">
        <f aca="false">cleaned_data!A161</f>
        <v>STR-1040</v>
      </c>
      <c r="B161" s="0" t="str">
        <f aca="false">cleaned_data!B161</f>
        <v>2025-04-01</v>
      </c>
      <c r="C161" s="0" t="str">
        <f aca="false">cleaned_data!C161</f>
        <v>North</v>
      </c>
      <c r="D161" s="0" t="str">
        <f aca="false">cleaned_data!D161</f>
        <v>Mall</v>
      </c>
      <c r="E161" s="0" t="n">
        <f aca="false">cleaned_data!E161</f>
        <v>23254.57</v>
      </c>
      <c r="F161" s="0" t="n">
        <f aca="false">cleaned_data!F161</f>
        <v>3847</v>
      </c>
      <c r="G161" s="0" t="n">
        <f aca="false">cleaned_data!G161</f>
        <v>0.159</v>
      </c>
      <c r="H161" s="0" t="n">
        <f aca="false">cleaned_data!H161</f>
        <v>12</v>
      </c>
      <c r="I161" s="0" t="n">
        <f aca="false">cleaned_data!I161</f>
        <v>93</v>
      </c>
      <c r="J161" s="0" t="n">
        <f aca="false">cleaned_data!J161</f>
        <v>5.46</v>
      </c>
      <c r="K161" s="0" t="n">
        <f aca="false">cleaned_data!K161</f>
        <v>0</v>
      </c>
      <c r="L161" s="0" t="n">
        <f aca="false">cleaned_data!L161</f>
        <v>3.3</v>
      </c>
      <c r="M161" s="0" t="n">
        <f aca="false">cleaned_data!M161</f>
        <v>620973.03</v>
      </c>
      <c r="N161" s="0" t="n">
        <f aca="false">cleaned_data!N161</f>
        <v>72303.85</v>
      </c>
      <c r="O161" s="0" t="n">
        <f aca="false">IF(cleaned_data!C161="North",1,0)</f>
        <v>1</v>
      </c>
      <c r="P161" s="0" t="n">
        <f aca="false">IF(cleaned_data!C161="South",1,0)</f>
        <v>0</v>
      </c>
      <c r="Q161" s="0" t="n">
        <f aca="false">IF(cleaned_data!C161="West",1,0)</f>
        <v>0</v>
      </c>
      <c r="R161" s="0" t="n">
        <f aca="false">IF(cleaned_data!D161="Airport",1,0)</f>
        <v>0</v>
      </c>
      <c r="S161" s="0" t="n">
        <f aca="false">IF(cleaned_data!D161="Mall",1,0)</f>
        <v>1</v>
      </c>
      <c r="T161" s="0" t="n">
        <f aca="false">IF(cleaned_data!D161="Residential",1,0)</f>
        <v>0</v>
      </c>
    </row>
    <row r="162" customFormat="false" ht="15" hidden="false" customHeight="false" outlineLevel="0" collapsed="false">
      <c r="A162" s="0" t="str">
        <f aca="false">cleaned_data!A162</f>
        <v>STR-1041</v>
      </c>
      <c r="B162" s="0" t="str">
        <f aca="false">cleaned_data!B162</f>
        <v>2025-01-01</v>
      </c>
      <c r="C162" s="0" t="str">
        <f aca="false">cleaned_data!C162</f>
        <v>South</v>
      </c>
      <c r="D162" s="0" t="str">
        <f aca="false">cleaned_data!D162</f>
        <v>High Street</v>
      </c>
      <c r="E162" s="0" t="n">
        <f aca="false">cleaned_data!E162</f>
        <v>41443.41</v>
      </c>
      <c r="F162" s="0" t="n">
        <f aca="false">cleaned_data!F162</f>
        <v>7455</v>
      </c>
      <c r="G162" s="0" t="n">
        <f aca="false">cleaned_data!G162</f>
        <v>0.175</v>
      </c>
      <c r="H162" s="0" t="n">
        <f aca="false">cleaned_data!H162</f>
        <v>16</v>
      </c>
      <c r="I162" s="0" t="n">
        <f aca="false">cleaned_data!I162</f>
        <v>90.1</v>
      </c>
      <c r="J162" s="0" t="n">
        <f aca="false">cleaned_data!J162</f>
        <v>4.05</v>
      </c>
      <c r="K162" s="0" t="n">
        <f aca="false">cleaned_data!K162</f>
        <v>0</v>
      </c>
      <c r="L162" s="0" t="n">
        <f aca="false">cleaned_data!L162</f>
        <v>4</v>
      </c>
      <c r="M162" s="0" t="n">
        <f aca="false">cleaned_data!M162</f>
        <v>650480.06</v>
      </c>
      <c r="N162" s="0" t="n">
        <f aca="false">cleaned_data!N162</f>
        <v>109012.07</v>
      </c>
      <c r="O162" s="0" t="n">
        <f aca="false">IF(cleaned_data!C162="North",1,0)</f>
        <v>0</v>
      </c>
      <c r="P162" s="0" t="n">
        <f aca="false">IF(cleaned_data!C162="South",1,0)</f>
        <v>1</v>
      </c>
      <c r="Q162" s="0" t="n">
        <f aca="false">IF(cleaned_data!C162="West",1,0)</f>
        <v>0</v>
      </c>
      <c r="R162" s="0" t="n">
        <f aca="false">IF(cleaned_data!D162="Airport",1,0)</f>
        <v>0</v>
      </c>
      <c r="S162" s="0" t="n">
        <f aca="false">IF(cleaned_data!D162="Mall",1,0)</f>
        <v>0</v>
      </c>
      <c r="T162" s="0" t="n">
        <f aca="false">IF(cleaned_data!D162="Residential",1,0)</f>
        <v>0</v>
      </c>
    </row>
    <row r="163" customFormat="false" ht="15" hidden="false" customHeight="false" outlineLevel="0" collapsed="false">
      <c r="A163" s="0" t="str">
        <f aca="false">cleaned_data!A163</f>
        <v>STR-1041</v>
      </c>
      <c r="B163" s="0" t="str">
        <f aca="false">cleaned_data!B163</f>
        <v>2025-02-01</v>
      </c>
      <c r="C163" s="0" t="str">
        <f aca="false">cleaned_data!C163</f>
        <v>South</v>
      </c>
      <c r="D163" s="0" t="str">
        <f aca="false">cleaned_data!D163</f>
        <v>High Street</v>
      </c>
      <c r="E163" s="0" t="n">
        <f aca="false">cleaned_data!E163</f>
        <v>48438.85</v>
      </c>
      <c r="F163" s="0" t="n">
        <f aca="false">cleaned_data!F163</f>
        <v>6992</v>
      </c>
      <c r="G163" s="0" t="n">
        <f aca="false">cleaned_data!G163</f>
        <v>0.034</v>
      </c>
      <c r="H163" s="0" t="n">
        <f aca="false">cleaned_data!H163</f>
        <v>20</v>
      </c>
      <c r="I163" s="0" t="n">
        <f aca="false">cleaned_data!I163</f>
        <v>91</v>
      </c>
      <c r="J163" s="0" t="n">
        <f aca="false">cleaned_data!J163</f>
        <v>4.36</v>
      </c>
      <c r="K163" s="0" t="n">
        <f aca="false">cleaned_data!K163</f>
        <v>0</v>
      </c>
      <c r="L163" s="0" t="n">
        <f aca="false">cleaned_data!L163</f>
        <v>4.2</v>
      </c>
      <c r="M163" s="0" t="n">
        <f aca="false">cleaned_data!M163</f>
        <v>778298.88</v>
      </c>
      <c r="N163" s="0" t="n">
        <f aca="false">cleaned_data!N163</f>
        <v>130076.72</v>
      </c>
      <c r="O163" s="0" t="n">
        <f aca="false">IF(cleaned_data!C163="North",1,0)</f>
        <v>0</v>
      </c>
      <c r="P163" s="0" t="n">
        <f aca="false">IF(cleaned_data!C163="South",1,0)</f>
        <v>1</v>
      </c>
      <c r="Q163" s="0" t="n">
        <f aca="false">IF(cleaned_data!C163="West",1,0)</f>
        <v>0</v>
      </c>
      <c r="R163" s="0" t="n">
        <f aca="false">IF(cleaned_data!D163="Airport",1,0)</f>
        <v>0</v>
      </c>
      <c r="S163" s="0" t="n">
        <f aca="false">IF(cleaned_data!D163="Mall",1,0)</f>
        <v>0</v>
      </c>
      <c r="T163" s="0" t="n">
        <f aca="false">IF(cleaned_data!D163="Residential",1,0)</f>
        <v>0</v>
      </c>
    </row>
    <row r="164" customFormat="false" ht="15" hidden="false" customHeight="false" outlineLevel="0" collapsed="false">
      <c r="A164" s="0" t="str">
        <f aca="false">cleaned_data!A164</f>
        <v>STR-1041</v>
      </c>
      <c r="B164" s="0" t="str">
        <f aca="false">cleaned_data!B164</f>
        <v>2025-03-01</v>
      </c>
      <c r="C164" s="0" t="str">
        <f aca="false">cleaned_data!C164</f>
        <v>South</v>
      </c>
      <c r="D164" s="0" t="str">
        <f aca="false">cleaned_data!D164</f>
        <v>High Street</v>
      </c>
      <c r="E164" s="0" t="n">
        <f aca="false">cleaned_data!E164</f>
        <v>57143.3</v>
      </c>
      <c r="F164" s="0" t="n">
        <f aca="false">cleaned_data!F164</f>
        <v>8038</v>
      </c>
      <c r="G164" s="0" t="n">
        <f aca="false">cleaned_data!G164</f>
        <v>0.193</v>
      </c>
      <c r="H164" s="0" t="n">
        <f aca="false">cleaned_data!H164</f>
        <v>17</v>
      </c>
      <c r="I164" s="0" t="n">
        <f aca="false">cleaned_data!I164</f>
        <v>72.6</v>
      </c>
      <c r="J164" s="0" t="n">
        <f aca="false">cleaned_data!J164</f>
        <v>3.365</v>
      </c>
      <c r="K164" s="0" t="n">
        <f aca="false">cleaned_data!K164</f>
        <v>0</v>
      </c>
      <c r="L164" s="0" t="n">
        <f aca="false">cleaned_data!L164</f>
        <v>4.2</v>
      </c>
      <c r="M164" s="0" t="n">
        <f aca="false">cleaned_data!M164</f>
        <v>677096.71</v>
      </c>
      <c r="N164" s="0" t="n">
        <f aca="false">cleaned_data!N164</f>
        <v>97174.11</v>
      </c>
      <c r="O164" s="0" t="n">
        <f aca="false">IF(cleaned_data!C164="North",1,0)</f>
        <v>0</v>
      </c>
      <c r="P164" s="0" t="n">
        <f aca="false">IF(cleaned_data!C164="South",1,0)</f>
        <v>1</v>
      </c>
      <c r="Q164" s="0" t="n">
        <f aca="false">IF(cleaned_data!C164="West",1,0)</f>
        <v>0</v>
      </c>
      <c r="R164" s="0" t="n">
        <f aca="false">IF(cleaned_data!D164="Airport",1,0)</f>
        <v>0</v>
      </c>
      <c r="S164" s="0" t="n">
        <f aca="false">IF(cleaned_data!D164="Mall",1,0)</f>
        <v>0</v>
      </c>
      <c r="T164" s="0" t="n">
        <f aca="false">IF(cleaned_data!D164="Residential",1,0)</f>
        <v>0</v>
      </c>
    </row>
    <row r="165" customFormat="false" ht="15" hidden="false" customHeight="false" outlineLevel="0" collapsed="false">
      <c r="A165" s="0" t="str">
        <f aca="false">cleaned_data!A165</f>
        <v>STR-1041</v>
      </c>
      <c r="B165" s="0" t="str">
        <f aca="false">cleaned_data!B165</f>
        <v>2025-04-01</v>
      </c>
      <c r="C165" s="0" t="str">
        <f aca="false">cleaned_data!C165</f>
        <v>South</v>
      </c>
      <c r="D165" s="0" t="str">
        <f aca="false">cleaned_data!D165</f>
        <v>High Street</v>
      </c>
      <c r="E165" s="0" t="n">
        <f aca="false">cleaned_data!E165</f>
        <v>66870.62</v>
      </c>
      <c r="F165" s="0" t="n">
        <f aca="false">cleaned_data!F165</f>
        <v>6055</v>
      </c>
      <c r="G165" s="0" t="n">
        <f aca="false">cleaned_data!G165</f>
        <v>0.075</v>
      </c>
      <c r="H165" s="0" t="n">
        <f aca="false">cleaned_data!H165</f>
        <v>19</v>
      </c>
      <c r="I165" s="0" t="n">
        <f aca="false">cleaned_data!I165</f>
        <v>93.8</v>
      </c>
      <c r="J165" s="0" t="n">
        <f aca="false">cleaned_data!J165</f>
        <v>0.54</v>
      </c>
      <c r="K165" s="0" t="n">
        <f aca="false">cleaned_data!K165</f>
        <v>0</v>
      </c>
      <c r="L165" s="0" t="n">
        <f aca="false">cleaned_data!L165</f>
        <v>4.3</v>
      </c>
      <c r="M165" s="0" t="n">
        <f aca="false">cleaned_data!M165</f>
        <v>692008.64</v>
      </c>
      <c r="N165" s="0" t="n">
        <f aca="false">cleaned_data!N165</f>
        <v>116337.87</v>
      </c>
      <c r="O165" s="0" t="n">
        <f aca="false">IF(cleaned_data!C165="North",1,0)</f>
        <v>0</v>
      </c>
      <c r="P165" s="0" t="n">
        <f aca="false">IF(cleaned_data!C165="South",1,0)</f>
        <v>1</v>
      </c>
      <c r="Q165" s="0" t="n">
        <f aca="false">IF(cleaned_data!C165="West",1,0)</f>
        <v>0</v>
      </c>
      <c r="R165" s="0" t="n">
        <f aca="false">IF(cleaned_data!D165="Airport",1,0)</f>
        <v>0</v>
      </c>
      <c r="S165" s="0" t="n">
        <f aca="false">IF(cleaned_data!D165="Mall",1,0)</f>
        <v>0</v>
      </c>
      <c r="T165" s="0" t="n">
        <f aca="false">IF(cleaned_data!D165="Residential",1,0)</f>
        <v>0</v>
      </c>
    </row>
    <row r="166" customFormat="false" ht="15" hidden="false" customHeight="false" outlineLevel="0" collapsed="false">
      <c r="A166" s="0" t="str">
        <f aca="false">cleaned_data!A166</f>
        <v>STR-1042</v>
      </c>
      <c r="B166" s="0" t="str">
        <f aca="false">cleaned_data!B166</f>
        <v>2025-01-01</v>
      </c>
      <c r="C166" s="0" t="str">
        <f aca="false">cleaned_data!C166</f>
        <v>North</v>
      </c>
      <c r="D166" s="0" t="str">
        <f aca="false">cleaned_data!D166</f>
        <v>Mall</v>
      </c>
      <c r="E166" s="0" t="n">
        <f aca="false">cleaned_data!E166</f>
        <v>72150.53</v>
      </c>
      <c r="F166" s="0" t="n">
        <f aca="false">cleaned_data!F166</f>
        <v>9323</v>
      </c>
      <c r="G166" s="0" t="n">
        <f aca="false">cleaned_data!G166</f>
        <v>0.157</v>
      </c>
      <c r="H166" s="0" t="n">
        <f aca="false">cleaned_data!H166</f>
        <v>22</v>
      </c>
      <c r="I166" s="0" t="n">
        <f aca="false">cleaned_data!I166</f>
        <v>82.9</v>
      </c>
      <c r="J166" s="0" t="n">
        <f aca="false">cleaned_data!J166</f>
        <v>11.37</v>
      </c>
      <c r="K166" s="0" t="n">
        <f aca="false">cleaned_data!K166</f>
        <v>1</v>
      </c>
      <c r="L166" s="0" t="n">
        <f aca="false">cleaned_data!L166</f>
        <v>4.3</v>
      </c>
      <c r="M166" s="0" t="n">
        <f aca="false">cleaned_data!M166</f>
        <v>825797.91</v>
      </c>
      <c r="N166" s="0" t="n">
        <f aca="false">cleaned_data!N166</f>
        <v>130945.24</v>
      </c>
      <c r="O166" s="0" t="n">
        <f aca="false">IF(cleaned_data!C166="North",1,0)</f>
        <v>1</v>
      </c>
      <c r="P166" s="0" t="n">
        <f aca="false">IF(cleaned_data!C166="South",1,0)</f>
        <v>0</v>
      </c>
      <c r="Q166" s="0" t="n">
        <f aca="false">IF(cleaned_data!C166="West",1,0)</f>
        <v>0</v>
      </c>
      <c r="R166" s="0" t="n">
        <f aca="false">IF(cleaned_data!D166="Airport",1,0)</f>
        <v>0</v>
      </c>
      <c r="S166" s="0" t="n">
        <f aca="false">IF(cleaned_data!D166="Mall",1,0)</f>
        <v>1</v>
      </c>
      <c r="T166" s="0" t="n">
        <f aca="false">IF(cleaned_data!D166="Residential",1,0)</f>
        <v>0</v>
      </c>
    </row>
    <row r="167" customFormat="false" ht="15" hidden="false" customHeight="false" outlineLevel="0" collapsed="false">
      <c r="A167" s="0" t="str">
        <f aca="false">cleaned_data!A167</f>
        <v>STR-1042</v>
      </c>
      <c r="B167" s="0" t="str">
        <f aca="false">cleaned_data!B167</f>
        <v>2025-02-01</v>
      </c>
      <c r="C167" s="0" t="str">
        <f aca="false">cleaned_data!C167</f>
        <v>North</v>
      </c>
      <c r="D167" s="0" t="str">
        <f aca="false">cleaned_data!D167</f>
        <v>Mall</v>
      </c>
      <c r="E167" s="0" t="n">
        <f aca="false">cleaned_data!E167</f>
        <v>35303.3</v>
      </c>
      <c r="F167" s="0" t="n">
        <f aca="false">cleaned_data!F167</f>
        <v>8789</v>
      </c>
      <c r="G167" s="0" t="n">
        <f aca="false">cleaned_data!G167</f>
        <v>0.123</v>
      </c>
      <c r="H167" s="0" t="n">
        <f aca="false">cleaned_data!H167</f>
        <v>22</v>
      </c>
      <c r="I167" s="0" t="n">
        <f aca="false">cleaned_data!I167</f>
        <v>86.1</v>
      </c>
      <c r="J167" s="0" t="n">
        <f aca="false">cleaned_data!J167</f>
        <v>9.43</v>
      </c>
      <c r="K167" s="0" t="n">
        <f aca="false">cleaned_data!K167</f>
        <v>0</v>
      </c>
      <c r="L167" s="0" t="n">
        <f aca="false">cleaned_data!L167</f>
        <v>4.2</v>
      </c>
      <c r="M167" s="0" t="n">
        <f aca="false">cleaned_data!M167</f>
        <v>706285.52</v>
      </c>
      <c r="N167" s="0" t="n">
        <f aca="false">cleaned_data!N167</f>
        <v>138014.72</v>
      </c>
      <c r="O167" s="0" t="n">
        <f aca="false">IF(cleaned_data!C167="North",1,0)</f>
        <v>1</v>
      </c>
      <c r="P167" s="0" t="n">
        <f aca="false">IF(cleaned_data!C167="South",1,0)</f>
        <v>0</v>
      </c>
      <c r="Q167" s="0" t="n">
        <f aca="false">IF(cleaned_data!C167="West",1,0)</f>
        <v>0</v>
      </c>
      <c r="R167" s="0" t="n">
        <f aca="false">IF(cleaned_data!D167="Airport",1,0)</f>
        <v>0</v>
      </c>
      <c r="S167" s="0" t="n">
        <f aca="false">IF(cleaned_data!D167="Mall",1,0)</f>
        <v>1</v>
      </c>
      <c r="T167" s="0" t="n">
        <f aca="false">IF(cleaned_data!D167="Residential",1,0)</f>
        <v>0</v>
      </c>
    </row>
    <row r="168" customFormat="false" ht="15" hidden="false" customHeight="false" outlineLevel="0" collapsed="false">
      <c r="A168" s="0" t="str">
        <f aca="false">cleaned_data!A168</f>
        <v>STR-1042</v>
      </c>
      <c r="B168" s="0" t="str">
        <f aca="false">cleaned_data!B168</f>
        <v>2025-03-01</v>
      </c>
      <c r="C168" s="0" t="str">
        <f aca="false">cleaned_data!C168</f>
        <v>North</v>
      </c>
      <c r="D168" s="0" t="str">
        <f aca="false">cleaned_data!D168</f>
        <v>Mall</v>
      </c>
      <c r="E168" s="0" t="n">
        <f aca="false">cleaned_data!E168</f>
        <v>30301.86</v>
      </c>
      <c r="F168" s="0" t="n">
        <f aca="false">cleaned_data!F168</f>
        <v>6939</v>
      </c>
      <c r="G168" s="0" t="n">
        <f aca="false">cleaned_data!G168</f>
        <v>0.09</v>
      </c>
      <c r="H168" s="0" t="n">
        <f aca="false">cleaned_data!H168</f>
        <v>16</v>
      </c>
      <c r="I168" s="0" t="n">
        <f aca="false">cleaned_data!I168</f>
        <v>90.3</v>
      </c>
      <c r="J168" s="0" t="n">
        <f aca="false">cleaned_data!J168</f>
        <v>3.49</v>
      </c>
      <c r="K168" s="0" t="n">
        <f aca="false">cleaned_data!K168</f>
        <v>0</v>
      </c>
      <c r="L168" s="0" t="n">
        <f aca="false">cleaned_data!L168</f>
        <v>4</v>
      </c>
      <c r="M168" s="0" t="n">
        <f aca="false">cleaned_data!M168</f>
        <v>665534.7</v>
      </c>
      <c r="N168" s="0" t="n">
        <f aca="false">cleaned_data!N168</f>
        <v>113167.73</v>
      </c>
      <c r="O168" s="0" t="n">
        <f aca="false">IF(cleaned_data!C168="North",1,0)</f>
        <v>1</v>
      </c>
      <c r="P168" s="0" t="n">
        <f aca="false">IF(cleaned_data!C168="South",1,0)</f>
        <v>0</v>
      </c>
      <c r="Q168" s="0" t="n">
        <f aca="false">IF(cleaned_data!C168="West",1,0)</f>
        <v>0</v>
      </c>
      <c r="R168" s="0" t="n">
        <f aca="false">IF(cleaned_data!D168="Airport",1,0)</f>
        <v>0</v>
      </c>
      <c r="S168" s="0" t="n">
        <f aca="false">IF(cleaned_data!D168="Mall",1,0)</f>
        <v>1</v>
      </c>
      <c r="T168" s="0" t="n">
        <f aca="false">IF(cleaned_data!D168="Residential",1,0)</f>
        <v>0</v>
      </c>
    </row>
    <row r="169" customFormat="false" ht="15" hidden="false" customHeight="false" outlineLevel="0" collapsed="false">
      <c r="A169" s="0" t="str">
        <f aca="false">cleaned_data!A169</f>
        <v>STR-1042</v>
      </c>
      <c r="B169" s="0" t="str">
        <f aca="false">cleaned_data!B169</f>
        <v>2025-04-01</v>
      </c>
      <c r="C169" s="0" t="str">
        <f aca="false">cleaned_data!C169</f>
        <v>North</v>
      </c>
      <c r="D169" s="0" t="str">
        <f aca="false">cleaned_data!D169</f>
        <v>Mall</v>
      </c>
      <c r="E169" s="0" t="n">
        <f aca="false">cleaned_data!E169</f>
        <v>78432.14</v>
      </c>
      <c r="F169" s="0" t="n">
        <f aca="false">cleaned_data!F169</f>
        <v>9440</v>
      </c>
      <c r="G169" s="0" t="n">
        <f aca="false">cleaned_data!G169</f>
        <v>0.126</v>
      </c>
      <c r="H169" s="0" t="n">
        <f aca="false">cleaned_data!H169</f>
        <v>23</v>
      </c>
      <c r="I169" s="0" t="n">
        <f aca="false">cleaned_data!I169</f>
        <v>89.2</v>
      </c>
      <c r="J169" s="0" t="n">
        <f aca="false">cleaned_data!J169</f>
        <v>7.86</v>
      </c>
      <c r="K169" s="0" t="n">
        <f aca="false">cleaned_data!K169</f>
        <v>0</v>
      </c>
      <c r="L169" s="0" t="n">
        <f aca="false">cleaned_data!L169</f>
        <v>4.1</v>
      </c>
      <c r="M169" s="0" t="n">
        <f aca="false">cleaned_data!M169</f>
        <v>820729.29</v>
      </c>
      <c r="N169" s="0" t="n">
        <f aca="false">cleaned_data!N169</f>
        <v>159325.47</v>
      </c>
      <c r="O169" s="0" t="n">
        <f aca="false">IF(cleaned_data!C169="North",1,0)</f>
        <v>1</v>
      </c>
      <c r="P169" s="0" t="n">
        <f aca="false">IF(cleaned_data!C169="South",1,0)</f>
        <v>0</v>
      </c>
      <c r="Q169" s="0" t="n">
        <f aca="false">IF(cleaned_data!C169="West",1,0)</f>
        <v>0</v>
      </c>
      <c r="R169" s="0" t="n">
        <f aca="false">IF(cleaned_data!D169="Airport",1,0)</f>
        <v>0</v>
      </c>
      <c r="S169" s="0" t="n">
        <f aca="false">IF(cleaned_data!D169="Mall",1,0)</f>
        <v>1</v>
      </c>
      <c r="T169" s="0" t="n">
        <f aca="false">IF(cleaned_data!D169="Residential",1,0)</f>
        <v>0</v>
      </c>
    </row>
    <row r="170" customFormat="false" ht="15" hidden="false" customHeight="false" outlineLevel="0" collapsed="false">
      <c r="A170" s="0" t="str">
        <f aca="false">cleaned_data!A170</f>
        <v>STR-1043</v>
      </c>
      <c r="B170" s="0" t="str">
        <f aca="false">cleaned_data!B170</f>
        <v>2025-01-01</v>
      </c>
      <c r="C170" s="0" t="str">
        <f aca="false">cleaned_data!C170</f>
        <v>East</v>
      </c>
      <c r="D170" s="0" t="str">
        <f aca="false">cleaned_data!D170</f>
        <v>Residential</v>
      </c>
      <c r="E170" s="0" t="n">
        <f aca="false">cleaned_data!E170</f>
        <v>62059.18</v>
      </c>
      <c r="F170" s="0" t="n">
        <f aca="false">cleaned_data!F170</f>
        <v>9374</v>
      </c>
      <c r="G170" s="0" t="n">
        <f aca="false">cleaned_data!G170</f>
        <v>0.136</v>
      </c>
      <c r="H170" s="0" t="n">
        <f aca="false">cleaned_data!H170</f>
        <v>25</v>
      </c>
      <c r="I170" s="0" t="n">
        <f aca="false">cleaned_data!I170</f>
        <v>87.1</v>
      </c>
      <c r="J170" s="0" t="n">
        <f aca="false">cleaned_data!J170</f>
        <v>12.55</v>
      </c>
      <c r="K170" s="0" t="n">
        <f aca="false">cleaned_data!K170</f>
        <v>0</v>
      </c>
      <c r="L170" s="0" t="n">
        <f aca="false">cleaned_data!L170</f>
        <v>4.9</v>
      </c>
      <c r="M170" s="0" t="n">
        <f aca="false">cleaned_data!M170</f>
        <v>739831.73</v>
      </c>
      <c r="N170" s="0" t="n">
        <f aca="false">cleaned_data!N170</f>
        <v>119490.21</v>
      </c>
      <c r="O170" s="0" t="n">
        <f aca="false">IF(cleaned_data!C170="North",1,0)</f>
        <v>0</v>
      </c>
      <c r="P170" s="0" t="n">
        <f aca="false">IF(cleaned_data!C170="South",1,0)</f>
        <v>0</v>
      </c>
      <c r="Q170" s="0" t="n">
        <f aca="false">IF(cleaned_data!C170="West",1,0)</f>
        <v>0</v>
      </c>
      <c r="R170" s="0" t="n">
        <f aca="false">IF(cleaned_data!D170="Airport",1,0)</f>
        <v>0</v>
      </c>
      <c r="S170" s="0" t="n">
        <f aca="false">IF(cleaned_data!D170="Mall",1,0)</f>
        <v>0</v>
      </c>
      <c r="T170" s="0" t="n">
        <f aca="false">IF(cleaned_data!D170="Residential",1,0)</f>
        <v>1</v>
      </c>
    </row>
    <row r="171" customFormat="false" ht="15" hidden="false" customHeight="false" outlineLevel="0" collapsed="false">
      <c r="A171" s="0" t="str">
        <f aca="false">cleaned_data!A171</f>
        <v>STR-1043</v>
      </c>
      <c r="B171" s="0" t="str">
        <f aca="false">cleaned_data!B171</f>
        <v>2025-02-01</v>
      </c>
      <c r="C171" s="0" t="str">
        <f aca="false">cleaned_data!C171</f>
        <v>East</v>
      </c>
      <c r="D171" s="0" t="str">
        <f aca="false">cleaned_data!D171</f>
        <v>Residential</v>
      </c>
      <c r="E171" s="0" t="n">
        <f aca="false">cleaned_data!E171</f>
        <v>32834.48</v>
      </c>
      <c r="F171" s="0" t="n">
        <f aca="false">cleaned_data!F171</f>
        <v>7576</v>
      </c>
      <c r="G171" s="0" t="n">
        <f aca="false">cleaned_data!G171</f>
        <v>0.099</v>
      </c>
      <c r="H171" s="0" t="n">
        <f aca="false">cleaned_data!H171</f>
        <v>15</v>
      </c>
      <c r="I171" s="0" t="n">
        <f aca="false">cleaned_data!I171</f>
        <v>84.1</v>
      </c>
      <c r="J171" s="0" t="n">
        <f aca="false">cleaned_data!J171</f>
        <v>3.48</v>
      </c>
      <c r="K171" s="0" t="n">
        <f aca="false">cleaned_data!K171</f>
        <v>0</v>
      </c>
      <c r="L171" s="0" t="n">
        <f aca="false">cleaned_data!L171</f>
        <v>5</v>
      </c>
      <c r="M171" s="0" t="n">
        <f aca="false">cleaned_data!M171</f>
        <v>593637.14</v>
      </c>
      <c r="N171" s="0" t="n">
        <f aca="false">cleaned_data!N171</f>
        <v>106648.14</v>
      </c>
      <c r="O171" s="0" t="n">
        <f aca="false">IF(cleaned_data!C171="North",1,0)</f>
        <v>0</v>
      </c>
      <c r="P171" s="0" t="n">
        <f aca="false">IF(cleaned_data!C171="South",1,0)</f>
        <v>0</v>
      </c>
      <c r="Q171" s="0" t="n">
        <f aca="false">IF(cleaned_data!C171="West",1,0)</f>
        <v>0</v>
      </c>
      <c r="R171" s="0" t="n">
        <f aca="false">IF(cleaned_data!D171="Airport",1,0)</f>
        <v>0</v>
      </c>
      <c r="S171" s="0" t="n">
        <f aca="false">IF(cleaned_data!D171="Mall",1,0)</f>
        <v>0</v>
      </c>
      <c r="T171" s="0" t="n">
        <f aca="false">IF(cleaned_data!D171="Residential",1,0)</f>
        <v>1</v>
      </c>
    </row>
    <row r="172" customFormat="false" ht="15" hidden="false" customHeight="false" outlineLevel="0" collapsed="false">
      <c r="A172" s="0" t="str">
        <f aca="false">cleaned_data!A172</f>
        <v>STR-1043</v>
      </c>
      <c r="B172" s="0" t="str">
        <f aca="false">cleaned_data!B172</f>
        <v>2025-03-01</v>
      </c>
      <c r="C172" s="0" t="str">
        <f aca="false">cleaned_data!C172</f>
        <v>East</v>
      </c>
      <c r="D172" s="0" t="str">
        <f aca="false">cleaned_data!D172</f>
        <v>Residential</v>
      </c>
      <c r="E172" s="0" t="n">
        <f aca="false">cleaned_data!E172</f>
        <v>50825.08</v>
      </c>
      <c r="F172" s="0" t="n">
        <f aca="false">cleaned_data!F172</f>
        <v>8949</v>
      </c>
      <c r="G172" s="0" t="n">
        <f aca="false">cleaned_data!G172</f>
        <v>0.157</v>
      </c>
      <c r="H172" s="0" t="n">
        <f aca="false">cleaned_data!H172</f>
        <v>21</v>
      </c>
      <c r="I172" s="0" t="n">
        <f aca="false">cleaned_data!I172</f>
        <v>84.7</v>
      </c>
      <c r="J172" s="0" t="n">
        <f aca="false">cleaned_data!J172</f>
        <v>7.73</v>
      </c>
      <c r="K172" s="0" t="n">
        <f aca="false">cleaned_data!K172</f>
        <v>0</v>
      </c>
      <c r="L172" s="0" t="n">
        <f aca="false">cleaned_data!L172</f>
        <v>4.9</v>
      </c>
      <c r="M172" s="0" t="n">
        <f aca="false">cleaned_data!M172</f>
        <v>769702.76</v>
      </c>
      <c r="N172" s="0" t="n">
        <f aca="false">cleaned_data!N172</f>
        <v>158697</v>
      </c>
      <c r="O172" s="0" t="n">
        <f aca="false">IF(cleaned_data!C172="North",1,0)</f>
        <v>0</v>
      </c>
      <c r="P172" s="0" t="n">
        <f aca="false">IF(cleaned_data!C172="South",1,0)</f>
        <v>0</v>
      </c>
      <c r="Q172" s="0" t="n">
        <f aca="false">IF(cleaned_data!C172="West",1,0)</f>
        <v>0</v>
      </c>
      <c r="R172" s="0" t="n">
        <f aca="false">IF(cleaned_data!D172="Airport",1,0)</f>
        <v>0</v>
      </c>
      <c r="S172" s="0" t="n">
        <f aca="false">IF(cleaned_data!D172="Mall",1,0)</f>
        <v>0</v>
      </c>
      <c r="T172" s="0" t="n">
        <f aca="false">IF(cleaned_data!D172="Residential",1,0)</f>
        <v>1</v>
      </c>
    </row>
    <row r="173" customFormat="false" ht="15" hidden="false" customHeight="false" outlineLevel="0" collapsed="false">
      <c r="A173" s="0" t="str">
        <f aca="false">cleaned_data!A173</f>
        <v>STR-1043</v>
      </c>
      <c r="B173" s="0" t="str">
        <f aca="false">cleaned_data!B173</f>
        <v>2025-04-01</v>
      </c>
      <c r="C173" s="0" t="str">
        <f aca="false">cleaned_data!C173</f>
        <v>East</v>
      </c>
      <c r="D173" s="0" t="str">
        <f aca="false">cleaned_data!D173</f>
        <v>Residential</v>
      </c>
      <c r="E173" s="0" t="n">
        <f aca="false">cleaned_data!E173</f>
        <v>36606.51</v>
      </c>
      <c r="F173" s="0" t="n">
        <f aca="false">cleaned_data!F173</f>
        <v>7671</v>
      </c>
      <c r="G173" s="0" t="n">
        <f aca="false">cleaned_data!G173</f>
        <v>0.118</v>
      </c>
      <c r="H173" s="0" t="n">
        <f aca="false">cleaned_data!H173</f>
        <v>18</v>
      </c>
      <c r="I173" s="0" t="n">
        <f aca="false">cleaned_data!I173</f>
        <v>89.8</v>
      </c>
      <c r="J173" s="0" t="n">
        <f aca="false">cleaned_data!J173</f>
        <v>0.25</v>
      </c>
      <c r="K173" s="0" t="n">
        <f aca="false">cleaned_data!K173</f>
        <v>0</v>
      </c>
      <c r="L173" s="0" t="n">
        <f aca="false">cleaned_data!L173</f>
        <v>4.4</v>
      </c>
      <c r="M173" s="0" t="n">
        <f aca="false">cleaned_data!M173</f>
        <v>679731.57</v>
      </c>
      <c r="N173" s="0" t="n">
        <f aca="false">cleaned_data!N173</f>
        <v>121546.42</v>
      </c>
      <c r="O173" s="0" t="n">
        <f aca="false">IF(cleaned_data!C173="North",1,0)</f>
        <v>0</v>
      </c>
      <c r="P173" s="0" t="n">
        <f aca="false">IF(cleaned_data!C173="South",1,0)</f>
        <v>0</v>
      </c>
      <c r="Q173" s="0" t="n">
        <f aca="false">IF(cleaned_data!C173="West",1,0)</f>
        <v>0</v>
      </c>
      <c r="R173" s="0" t="n">
        <f aca="false">IF(cleaned_data!D173="Airport",1,0)</f>
        <v>0</v>
      </c>
      <c r="S173" s="0" t="n">
        <f aca="false">IF(cleaned_data!D173="Mall",1,0)</f>
        <v>0</v>
      </c>
      <c r="T173" s="0" t="n">
        <f aca="false">IF(cleaned_data!D173="Residential",1,0)</f>
        <v>1</v>
      </c>
    </row>
    <row r="174" customFormat="false" ht="15" hidden="false" customHeight="false" outlineLevel="0" collapsed="false">
      <c r="A174" s="0" t="str">
        <f aca="false">cleaned_data!A174</f>
        <v>STR-1044</v>
      </c>
      <c r="B174" s="0" t="str">
        <f aca="false">cleaned_data!B174</f>
        <v>2025-01-01</v>
      </c>
      <c r="C174" s="0" t="str">
        <f aca="false">cleaned_data!C174</f>
        <v>East</v>
      </c>
      <c r="D174" s="0" t="str">
        <f aca="false">cleaned_data!D174</f>
        <v>Residential</v>
      </c>
      <c r="E174" s="0" t="n">
        <f aca="false">cleaned_data!E174</f>
        <v>65237.79</v>
      </c>
      <c r="F174" s="0" t="n">
        <f aca="false">cleaned_data!F174</f>
        <v>8741</v>
      </c>
      <c r="G174" s="0" t="n">
        <f aca="false">cleaned_data!G174</f>
        <v>0.157</v>
      </c>
      <c r="H174" s="0" t="n">
        <f aca="false">cleaned_data!H174</f>
        <v>20</v>
      </c>
      <c r="I174" s="0" t="n">
        <f aca="false">cleaned_data!I174</f>
        <v>94.4</v>
      </c>
      <c r="J174" s="0" t="n">
        <f aca="false">cleaned_data!J174</f>
        <v>6.43</v>
      </c>
      <c r="K174" s="0" t="n">
        <f aca="false">cleaned_data!K174</f>
        <v>0</v>
      </c>
      <c r="L174" s="0" t="n">
        <f aca="false">cleaned_data!L174</f>
        <v>3.3</v>
      </c>
      <c r="M174" s="0" t="n">
        <f aca="false">cleaned_data!M174</f>
        <v>780344.18</v>
      </c>
      <c r="N174" s="0" t="n">
        <f aca="false">cleaned_data!N174</f>
        <v>118239.09</v>
      </c>
      <c r="O174" s="0" t="n">
        <f aca="false">IF(cleaned_data!C174="North",1,0)</f>
        <v>0</v>
      </c>
      <c r="P174" s="0" t="n">
        <f aca="false">IF(cleaned_data!C174="South",1,0)</f>
        <v>0</v>
      </c>
      <c r="Q174" s="0" t="n">
        <f aca="false">IF(cleaned_data!C174="West",1,0)</f>
        <v>0</v>
      </c>
      <c r="R174" s="0" t="n">
        <f aca="false">IF(cleaned_data!D174="Airport",1,0)</f>
        <v>0</v>
      </c>
      <c r="S174" s="0" t="n">
        <f aca="false">IF(cleaned_data!D174="Mall",1,0)</f>
        <v>0</v>
      </c>
      <c r="T174" s="0" t="n">
        <f aca="false">IF(cleaned_data!D174="Residential",1,0)</f>
        <v>1</v>
      </c>
    </row>
    <row r="175" customFormat="false" ht="15" hidden="false" customHeight="false" outlineLevel="0" collapsed="false">
      <c r="A175" s="0" t="str">
        <f aca="false">cleaned_data!A175</f>
        <v>STR-1044</v>
      </c>
      <c r="B175" s="0" t="str">
        <f aca="false">cleaned_data!B175</f>
        <v>2025-02-01</v>
      </c>
      <c r="C175" s="0" t="str">
        <f aca="false">cleaned_data!C175</f>
        <v>East</v>
      </c>
      <c r="D175" s="0" t="str">
        <f aca="false">cleaned_data!D175</f>
        <v>Residential</v>
      </c>
      <c r="E175" s="0" t="n">
        <f aca="false">cleaned_data!E175</f>
        <v>43645.98</v>
      </c>
      <c r="F175" s="0" t="n">
        <f aca="false">cleaned_data!F175</f>
        <v>9480</v>
      </c>
      <c r="G175" s="0" t="n">
        <f aca="false">cleaned_data!G175</f>
        <v>0.109</v>
      </c>
      <c r="H175" s="0" t="n">
        <f aca="false">cleaned_data!H175</f>
        <v>22</v>
      </c>
      <c r="I175" s="0" t="n">
        <f aca="false">cleaned_data!I175</f>
        <v>89</v>
      </c>
      <c r="J175" s="0" t="n">
        <f aca="false">cleaned_data!J175</f>
        <v>2.11</v>
      </c>
      <c r="K175" s="0" t="n">
        <f aca="false">cleaned_data!K175</f>
        <v>0</v>
      </c>
      <c r="L175" s="0" t="n">
        <f aca="false">cleaned_data!L175</f>
        <v>3.1</v>
      </c>
      <c r="M175" s="0" t="n">
        <f aca="false">cleaned_data!M175</f>
        <v>721364.11</v>
      </c>
      <c r="N175" s="0" t="n">
        <f aca="false">cleaned_data!N175</f>
        <v>147272.81</v>
      </c>
      <c r="O175" s="0" t="n">
        <f aca="false">IF(cleaned_data!C175="North",1,0)</f>
        <v>0</v>
      </c>
      <c r="P175" s="0" t="n">
        <f aca="false">IF(cleaned_data!C175="South",1,0)</f>
        <v>0</v>
      </c>
      <c r="Q175" s="0" t="n">
        <f aca="false">IF(cleaned_data!C175="West",1,0)</f>
        <v>0</v>
      </c>
      <c r="R175" s="0" t="n">
        <f aca="false">IF(cleaned_data!D175="Airport",1,0)</f>
        <v>0</v>
      </c>
      <c r="S175" s="0" t="n">
        <f aca="false">IF(cleaned_data!D175="Mall",1,0)</f>
        <v>0</v>
      </c>
      <c r="T175" s="0" t="n">
        <f aca="false">IF(cleaned_data!D175="Residential",1,0)</f>
        <v>1</v>
      </c>
    </row>
    <row r="176" customFormat="false" ht="15" hidden="false" customHeight="false" outlineLevel="0" collapsed="false">
      <c r="A176" s="0" t="str">
        <f aca="false">cleaned_data!A176</f>
        <v>STR-1044</v>
      </c>
      <c r="B176" s="0" t="str">
        <f aca="false">cleaned_data!B176</f>
        <v>2025-03-01</v>
      </c>
      <c r="C176" s="0" t="str">
        <f aca="false">cleaned_data!C176</f>
        <v>East</v>
      </c>
      <c r="D176" s="0" t="str">
        <f aca="false">cleaned_data!D176</f>
        <v>Residential</v>
      </c>
      <c r="E176" s="0" t="n">
        <f aca="false">cleaned_data!E176</f>
        <v>68040.15</v>
      </c>
      <c r="F176" s="0" t="n">
        <f aca="false">cleaned_data!F176</f>
        <v>9826</v>
      </c>
      <c r="G176" s="0" t="n">
        <f aca="false">cleaned_data!G176</f>
        <v>0.125</v>
      </c>
      <c r="H176" s="0" t="n">
        <f aca="false">cleaned_data!H176</f>
        <v>20</v>
      </c>
      <c r="I176" s="0" t="n">
        <f aca="false">cleaned_data!I176</f>
        <v>83.9</v>
      </c>
      <c r="J176" s="0" t="n">
        <f aca="false">cleaned_data!J176</f>
        <v>9.12</v>
      </c>
      <c r="K176" s="0" t="n">
        <f aca="false">cleaned_data!K176</f>
        <v>0</v>
      </c>
      <c r="L176" s="0" t="n">
        <f aca="false">cleaned_data!L176</f>
        <v>3.6</v>
      </c>
      <c r="M176" s="0" t="n">
        <f aca="false">cleaned_data!M176</f>
        <v>758138.29</v>
      </c>
      <c r="N176" s="0" t="n">
        <f aca="false">cleaned_data!N176</f>
        <v>132975.26</v>
      </c>
      <c r="O176" s="0" t="n">
        <f aca="false">IF(cleaned_data!C176="North",1,0)</f>
        <v>0</v>
      </c>
      <c r="P176" s="0" t="n">
        <f aca="false">IF(cleaned_data!C176="South",1,0)</f>
        <v>0</v>
      </c>
      <c r="Q176" s="0" t="n">
        <f aca="false">IF(cleaned_data!C176="West",1,0)</f>
        <v>0</v>
      </c>
      <c r="R176" s="0" t="n">
        <f aca="false">IF(cleaned_data!D176="Airport",1,0)</f>
        <v>0</v>
      </c>
      <c r="S176" s="0" t="n">
        <f aca="false">IF(cleaned_data!D176="Mall",1,0)</f>
        <v>0</v>
      </c>
      <c r="T176" s="0" t="n">
        <f aca="false">IF(cleaned_data!D176="Residential",1,0)</f>
        <v>1</v>
      </c>
    </row>
    <row r="177" customFormat="false" ht="15" hidden="false" customHeight="false" outlineLevel="0" collapsed="false">
      <c r="A177" s="0" t="str">
        <f aca="false">cleaned_data!A177</f>
        <v>STR-1044</v>
      </c>
      <c r="B177" s="0" t="str">
        <f aca="false">cleaned_data!B177</f>
        <v>2025-04-01</v>
      </c>
      <c r="C177" s="0" t="str">
        <f aca="false">cleaned_data!C177</f>
        <v>East</v>
      </c>
      <c r="D177" s="0" t="str">
        <f aca="false">cleaned_data!D177</f>
        <v>Residential</v>
      </c>
      <c r="E177" s="0" t="n">
        <f aca="false">cleaned_data!E177</f>
        <v>63043.94</v>
      </c>
      <c r="F177" s="0" t="n">
        <f aca="false">cleaned_data!F177</f>
        <v>10402</v>
      </c>
      <c r="G177" s="0" t="n">
        <f aca="false">cleaned_data!G177</f>
        <v>0.159</v>
      </c>
      <c r="H177" s="0" t="n">
        <f aca="false">cleaned_data!H177</f>
        <v>23</v>
      </c>
      <c r="I177" s="0" t="n">
        <f aca="false">cleaned_data!I177</f>
        <v>93.9</v>
      </c>
      <c r="J177" s="0" t="n">
        <f aca="false">cleaned_data!J177</f>
        <v>2.71</v>
      </c>
      <c r="K177" s="0" t="n">
        <f aca="false">cleaned_data!K177</f>
        <v>0</v>
      </c>
      <c r="L177" s="0" t="n">
        <f aca="false">cleaned_data!L177</f>
        <v>3.1</v>
      </c>
      <c r="M177" s="0" t="n">
        <f aca="false">cleaned_data!M177</f>
        <v>804264</v>
      </c>
      <c r="N177" s="0" t="n">
        <f aca="false">cleaned_data!N177</f>
        <v>167117.91</v>
      </c>
      <c r="O177" s="0" t="n">
        <f aca="false">IF(cleaned_data!C177="North",1,0)</f>
        <v>0</v>
      </c>
      <c r="P177" s="0" t="n">
        <f aca="false">IF(cleaned_data!C177="South",1,0)</f>
        <v>0</v>
      </c>
      <c r="Q177" s="0" t="n">
        <f aca="false">IF(cleaned_data!C177="West",1,0)</f>
        <v>0</v>
      </c>
      <c r="R177" s="0" t="n">
        <f aca="false">IF(cleaned_data!D177="Airport",1,0)</f>
        <v>0</v>
      </c>
      <c r="S177" s="0" t="n">
        <f aca="false">IF(cleaned_data!D177="Mall",1,0)</f>
        <v>0</v>
      </c>
      <c r="T177" s="0" t="n">
        <f aca="false">IF(cleaned_data!D177="Residential",1,0)</f>
        <v>1</v>
      </c>
    </row>
    <row r="178" customFormat="false" ht="15" hidden="false" customHeight="false" outlineLevel="0" collapsed="false">
      <c r="A178" s="0" t="str">
        <f aca="false">cleaned_data!A178</f>
        <v>STR-1045</v>
      </c>
      <c r="B178" s="0" t="str">
        <f aca="false">cleaned_data!B178</f>
        <v>2025-01-01</v>
      </c>
      <c r="C178" s="0" t="str">
        <f aca="false">cleaned_data!C178</f>
        <v>West</v>
      </c>
      <c r="D178" s="0" t="str">
        <f aca="false">cleaned_data!D178</f>
        <v>Airport</v>
      </c>
      <c r="E178" s="0" t="n">
        <f aca="false">cleaned_data!E178</f>
        <v>67494.09</v>
      </c>
      <c r="F178" s="0" t="n">
        <f aca="false">cleaned_data!F178</f>
        <v>12361</v>
      </c>
      <c r="G178" s="0" t="n">
        <f aca="false">cleaned_data!G178</f>
        <v>0.046</v>
      </c>
      <c r="H178" s="0" t="n">
        <f aca="false">cleaned_data!H178</f>
        <v>24</v>
      </c>
      <c r="I178" s="0" t="n">
        <f aca="false">cleaned_data!I178</f>
        <v>76.6</v>
      </c>
      <c r="J178" s="0" t="n">
        <f aca="false">cleaned_data!J178</f>
        <v>3.65</v>
      </c>
      <c r="K178" s="0" t="n">
        <f aca="false">cleaned_data!K178</f>
        <v>1</v>
      </c>
      <c r="L178" s="0" t="n">
        <f aca="false">cleaned_data!L178</f>
        <v>3.7</v>
      </c>
      <c r="M178" s="0" t="n">
        <f aca="false">cleaned_data!M178</f>
        <v>887537.75</v>
      </c>
      <c r="N178" s="0" t="n">
        <f aca="false">cleaned_data!N178</f>
        <v>160362.92</v>
      </c>
      <c r="O178" s="0" t="n">
        <f aca="false">IF(cleaned_data!C178="North",1,0)</f>
        <v>0</v>
      </c>
      <c r="P178" s="0" t="n">
        <f aca="false">IF(cleaned_data!C178="South",1,0)</f>
        <v>0</v>
      </c>
      <c r="Q178" s="0" t="n">
        <f aca="false">IF(cleaned_data!C178="West",1,0)</f>
        <v>1</v>
      </c>
      <c r="R178" s="0" t="n">
        <f aca="false">IF(cleaned_data!D178="Airport",1,0)</f>
        <v>1</v>
      </c>
      <c r="S178" s="0" t="n">
        <f aca="false">IF(cleaned_data!D178="Mall",1,0)</f>
        <v>0</v>
      </c>
      <c r="T178" s="0" t="n">
        <f aca="false">IF(cleaned_data!D178="Residential",1,0)</f>
        <v>0</v>
      </c>
    </row>
    <row r="179" customFormat="false" ht="15" hidden="false" customHeight="false" outlineLevel="0" collapsed="false">
      <c r="A179" s="0" t="str">
        <f aca="false">cleaned_data!A179</f>
        <v>STR-1045</v>
      </c>
      <c r="B179" s="0" t="str">
        <f aca="false">cleaned_data!B179</f>
        <v>2025-02-01</v>
      </c>
      <c r="C179" s="0" t="str">
        <f aca="false">cleaned_data!C179</f>
        <v>West</v>
      </c>
      <c r="D179" s="0" t="str">
        <f aca="false">cleaned_data!D179</f>
        <v>Airport</v>
      </c>
      <c r="E179" s="0" t="n">
        <f aca="false">cleaned_data!E179</f>
        <v>29389.32</v>
      </c>
      <c r="F179" s="0" t="n">
        <f aca="false">cleaned_data!F179</f>
        <v>7925</v>
      </c>
      <c r="G179" s="0" t="n">
        <f aca="false">cleaned_data!G179</f>
        <v>0.177</v>
      </c>
      <c r="H179" s="0" t="n">
        <f aca="false">cleaned_data!H179</f>
        <v>21</v>
      </c>
      <c r="I179" s="0" t="n">
        <f aca="false">cleaned_data!I179</f>
        <v>90.9</v>
      </c>
      <c r="J179" s="0" t="n">
        <f aca="false">cleaned_data!J179</f>
        <v>7.86</v>
      </c>
      <c r="K179" s="0" t="n">
        <f aca="false">cleaned_data!K179</f>
        <v>0</v>
      </c>
      <c r="L179" s="0" t="n">
        <f aca="false">cleaned_data!L179</f>
        <v>4</v>
      </c>
      <c r="M179" s="0" t="n">
        <f aca="false">cleaned_data!M179</f>
        <v>783582</v>
      </c>
      <c r="N179" s="0" t="n">
        <f aca="false">cleaned_data!N179</f>
        <v>130670.93</v>
      </c>
      <c r="O179" s="0" t="n">
        <f aca="false">IF(cleaned_data!C179="North",1,0)</f>
        <v>0</v>
      </c>
      <c r="P179" s="0" t="n">
        <f aca="false">IF(cleaned_data!C179="South",1,0)</f>
        <v>0</v>
      </c>
      <c r="Q179" s="0" t="n">
        <f aca="false">IF(cleaned_data!C179="West",1,0)</f>
        <v>1</v>
      </c>
      <c r="R179" s="0" t="n">
        <f aca="false">IF(cleaned_data!D179="Airport",1,0)</f>
        <v>1</v>
      </c>
      <c r="S179" s="0" t="n">
        <f aca="false">IF(cleaned_data!D179="Mall",1,0)</f>
        <v>0</v>
      </c>
      <c r="T179" s="0" t="n">
        <f aca="false">IF(cleaned_data!D179="Residential",1,0)</f>
        <v>0</v>
      </c>
    </row>
    <row r="180" customFormat="false" ht="15" hidden="false" customHeight="false" outlineLevel="0" collapsed="false">
      <c r="A180" s="0" t="str">
        <f aca="false">cleaned_data!A180</f>
        <v>STR-1045</v>
      </c>
      <c r="B180" s="0" t="str">
        <f aca="false">cleaned_data!B180</f>
        <v>2025-03-01</v>
      </c>
      <c r="C180" s="0" t="str">
        <f aca="false">cleaned_data!C180</f>
        <v>West</v>
      </c>
      <c r="D180" s="0" t="str">
        <f aca="false">cleaned_data!D180</f>
        <v>Airport</v>
      </c>
      <c r="E180" s="0" t="n">
        <f aca="false">cleaned_data!E180</f>
        <v>40535.09</v>
      </c>
      <c r="F180" s="0" t="n">
        <f aca="false">cleaned_data!F180</f>
        <v>8870</v>
      </c>
      <c r="G180" s="0" t="n">
        <f aca="false">cleaned_data!G180</f>
        <v>0.041</v>
      </c>
      <c r="H180" s="0" t="n">
        <f aca="false">cleaned_data!H180</f>
        <v>21</v>
      </c>
      <c r="I180" s="0" t="n">
        <f aca="false">cleaned_data!I180</f>
        <v>86.6</v>
      </c>
      <c r="J180" s="0" t="n">
        <f aca="false">cleaned_data!J180</f>
        <v>0.3</v>
      </c>
      <c r="K180" s="0" t="n">
        <f aca="false">cleaned_data!K180</f>
        <v>0</v>
      </c>
      <c r="L180" s="0" t="n">
        <f aca="false">cleaned_data!L180</f>
        <v>4.1</v>
      </c>
      <c r="M180" s="0" t="n">
        <f aca="false">cleaned_data!M180</f>
        <v>781955.52</v>
      </c>
      <c r="N180" s="0" t="n">
        <f aca="false">cleaned_data!N180</f>
        <v>152578.71</v>
      </c>
      <c r="O180" s="0" t="n">
        <f aca="false">IF(cleaned_data!C180="North",1,0)</f>
        <v>0</v>
      </c>
      <c r="P180" s="0" t="n">
        <f aca="false">IF(cleaned_data!C180="South",1,0)</f>
        <v>0</v>
      </c>
      <c r="Q180" s="0" t="n">
        <f aca="false">IF(cleaned_data!C180="West",1,0)</f>
        <v>1</v>
      </c>
      <c r="R180" s="0" t="n">
        <f aca="false">IF(cleaned_data!D180="Airport",1,0)</f>
        <v>1</v>
      </c>
      <c r="S180" s="0" t="n">
        <f aca="false">IF(cleaned_data!D180="Mall",1,0)</f>
        <v>0</v>
      </c>
      <c r="T180" s="0" t="n">
        <f aca="false">IF(cleaned_data!D180="Residential",1,0)</f>
        <v>0</v>
      </c>
    </row>
    <row r="181" customFormat="false" ht="15" hidden="false" customHeight="false" outlineLevel="0" collapsed="false">
      <c r="A181" s="0" t="str">
        <f aca="false">cleaned_data!A181</f>
        <v>STR-1045</v>
      </c>
      <c r="B181" s="0" t="str">
        <f aca="false">cleaned_data!B181</f>
        <v>2025-04-01</v>
      </c>
      <c r="C181" s="0" t="str">
        <f aca="false">cleaned_data!C181</f>
        <v>West</v>
      </c>
      <c r="D181" s="0" t="str">
        <f aca="false">cleaned_data!D181</f>
        <v>Airport</v>
      </c>
      <c r="E181" s="0" t="n">
        <f aca="false">cleaned_data!E181</f>
        <v>74881.56</v>
      </c>
      <c r="F181" s="0" t="n">
        <f aca="false">cleaned_data!F181</f>
        <v>9999</v>
      </c>
      <c r="G181" s="0" t="n">
        <f aca="false">cleaned_data!G181</f>
        <v>0.013</v>
      </c>
      <c r="H181" s="0" t="n">
        <f aca="false">cleaned_data!H181</f>
        <v>20</v>
      </c>
      <c r="I181" s="0" t="n">
        <f aca="false">cleaned_data!I181</f>
        <v>89.6</v>
      </c>
      <c r="J181" s="0" t="n">
        <f aca="false">cleaned_data!J181</f>
        <v>8.44</v>
      </c>
      <c r="K181" s="0" t="n">
        <f aca="false">cleaned_data!K181</f>
        <v>0</v>
      </c>
      <c r="L181" s="0" t="n">
        <f aca="false">cleaned_data!L181</f>
        <v>4.1</v>
      </c>
      <c r="M181" s="0" t="n">
        <f aca="false">cleaned_data!M181</f>
        <v>898031.04</v>
      </c>
      <c r="N181" s="0" t="n">
        <f aca="false">cleaned_data!N181</f>
        <v>138666.5</v>
      </c>
      <c r="O181" s="0" t="n">
        <f aca="false">IF(cleaned_data!C181="North",1,0)</f>
        <v>0</v>
      </c>
      <c r="P181" s="0" t="n">
        <f aca="false">IF(cleaned_data!C181="South",1,0)</f>
        <v>0</v>
      </c>
      <c r="Q181" s="0" t="n">
        <f aca="false">IF(cleaned_data!C181="West",1,0)</f>
        <v>1</v>
      </c>
      <c r="R181" s="0" t="n">
        <f aca="false">IF(cleaned_data!D181="Airport",1,0)</f>
        <v>1</v>
      </c>
      <c r="S181" s="0" t="n">
        <f aca="false">IF(cleaned_data!D181="Mall",1,0)</f>
        <v>0</v>
      </c>
      <c r="T181" s="0" t="n">
        <f aca="false">IF(cleaned_data!D181="Residential",1,0)</f>
        <v>0</v>
      </c>
    </row>
    <row r="182" customFormat="false" ht="15" hidden="false" customHeight="false" outlineLevel="0" collapsed="false">
      <c r="A182" s="0" t="str">
        <f aca="false">cleaned_data!A182</f>
        <v>STR-1046</v>
      </c>
      <c r="B182" s="0" t="str">
        <f aca="false">cleaned_data!B182</f>
        <v>2025-01-01</v>
      </c>
      <c r="C182" s="0" t="str">
        <f aca="false">cleaned_data!C182</f>
        <v>West</v>
      </c>
      <c r="D182" s="0" t="str">
        <f aca="false">cleaned_data!D182</f>
        <v>Residential</v>
      </c>
      <c r="E182" s="0" t="n">
        <f aca="false">cleaned_data!E182</f>
        <v>68491.11</v>
      </c>
      <c r="F182" s="0" t="n">
        <f aca="false">cleaned_data!F182</f>
        <v>11154</v>
      </c>
      <c r="G182" s="0" t="n">
        <f aca="false">cleaned_data!G182</f>
        <v>0.001</v>
      </c>
      <c r="H182" s="0" t="n">
        <f aca="false">cleaned_data!H182</f>
        <v>24</v>
      </c>
      <c r="I182" s="0" t="n">
        <f aca="false">cleaned_data!I182</f>
        <v>89.4</v>
      </c>
      <c r="J182" s="0" t="n">
        <f aca="false">cleaned_data!J182</f>
        <v>5.27</v>
      </c>
      <c r="K182" s="0" t="n">
        <f aca="false">cleaned_data!K182</f>
        <v>1</v>
      </c>
      <c r="L182" s="0" t="n">
        <f aca="false">cleaned_data!L182</f>
        <v>3.9</v>
      </c>
      <c r="M182" s="0" t="n">
        <f aca="false">cleaned_data!M182</f>
        <v>855341.28</v>
      </c>
      <c r="N182" s="0" t="n">
        <f aca="false">cleaned_data!N182</f>
        <v>175823.8</v>
      </c>
      <c r="O182" s="0" t="n">
        <f aca="false">IF(cleaned_data!C182="North",1,0)</f>
        <v>0</v>
      </c>
      <c r="P182" s="0" t="n">
        <f aca="false">IF(cleaned_data!C182="South",1,0)</f>
        <v>0</v>
      </c>
      <c r="Q182" s="0" t="n">
        <f aca="false">IF(cleaned_data!C182="West",1,0)</f>
        <v>1</v>
      </c>
      <c r="R182" s="0" t="n">
        <f aca="false">IF(cleaned_data!D182="Airport",1,0)</f>
        <v>0</v>
      </c>
      <c r="S182" s="0" t="n">
        <f aca="false">IF(cleaned_data!D182="Mall",1,0)</f>
        <v>0</v>
      </c>
      <c r="T182" s="0" t="n">
        <f aca="false">IF(cleaned_data!D182="Residential",1,0)</f>
        <v>1</v>
      </c>
    </row>
    <row r="183" customFormat="false" ht="15" hidden="false" customHeight="false" outlineLevel="0" collapsed="false">
      <c r="A183" s="0" t="str">
        <f aca="false">cleaned_data!A183</f>
        <v>STR-1046</v>
      </c>
      <c r="B183" s="0" t="str">
        <f aca="false">cleaned_data!B183</f>
        <v>2025-02-01</v>
      </c>
      <c r="C183" s="0" t="str">
        <f aca="false">cleaned_data!C183</f>
        <v>West</v>
      </c>
      <c r="D183" s="0" t="str">
        <f aca="false">cleaned_data!D183</f>
        <v>Residential</v>
      </c>
      <c r="E183" s="0" t="n">
        <f aca="false">cleaned_data!E183</f>
        <v>45209.25</v>
      </c>
      <c r="F183" s="0" t="n">
        <f aca="false">cleaned_data!F183</f>
        <v>9287</v>
      </c>
      <c r="G183" s="0" t="n">
        <f aca="false">cleaned_data!G183</f>
        <v>0.141</v>
      </c>
      <c r="H183" s="0" t="n">
        <f aca="false">cleaned_data!H183</f>
        <v>22</v>
      </c>
      <c r="I183" s="0" t="n">
        <f aca="false">cleaned_data!I183</f>
        <v>86.4</v>
      </c>
      <c r="J183" s="0" t="n">
        <f aca="false">cleaned_data!J183</f>
        <v>13.22</v>
      </c>
      <c r="K183" s="0" t="n">
        <f aca="false">cleaned_data!K183</f>
        <v>0</v>
      </c>
      <c r="L183" s="0" t="n">
        <f aca="false">cleaned_data!L183</f>
        <v>3.6</v>
      </c>
      <c r="M183" s="0" t="n">
        <f aca="false">cleaned_data!M183</f>
        <v>751393.88</v>
      </c>
      <c r="N183" s="0" t="n">
        <f aca="false">cleaned_data!N183</f>
        <v>91480.32</v>
      </c>
      <c r="O183" s="0" t="n">
        <f aca="false">IF(cleaned_data!C183="North",1,0)</f>
        <v>0</v>
      </c>
      <c r="P183" s="0" t="n">
        <f aca="false">IF(cleaned_data!C183="South",1,0)</f>
        <v>0</v>
      </c>
      <c r="Q183" s="0" t="n">
        <f aca="false">IF(cleaned_data!C183="West",1,0)</f>
        <v>1</v>
      </c>
      <c r="R183" s="0" t="n">
        <f aca="false">IF(cleaned_data!D183="Airport",1,0)</f>
        <v>0</v>
      </c>
      <c r="S183" s="0" t="n">
        <f aca="false">IF(cleaned_data!D183="Mall",1,0)</f>
        <v>0</v>
      </c>
      <c r="T183" s="0" t="n">
        <f aca="false">IF(cleaned_data!D183="Residential",1,0)</f>
        <v>1</v>
      </c>
    </row>
    <row r="184" customFormat="false" ht="15" hidden="false" customHeight="false" outlineLevel="0" collapsed="false">
      <c r="A184" s="0" t="str">
        <f aca="false">cleaned_data!A184</f>
        <v>STR-1046</v>
      </c>
      <c r="B184" s="0" t="str">
        <f aca="false">cleaned_data!B184</f>
        <v>2025-03-01</v>
      </c>
      <c r="C184" s="0" t="str">
        <f aca="false">cleaned_data!C184</f>
        <v>West</v>
      </c>
      <c r="D184" s="0" t="str">
        <f aca="false">cleaned_data!D184</f>
        <v>Residential</v>
      </c>
      <c r="E184" s="0" t="n">
        <f aca="false">cleaned_data!E184</f>
        <v>63010.23</v>
      </c>
      <c r="F184" s="0" t="n">
        <f aca="false">cleaned_data!F184</f>
        <v>9812</v>
      </c>
      <c r="G184" s="0" t="n">
        <f aca="false">cleaned_data!G184</f>
        <v>0.113</v>
      </c>
      <c r="H184" s="0" t="n">
        <f aca="false">cleaned_data!H184</f>
        <v>24</v>
      </c>
      <c r="I184" s="0" t="n">
        <f aca="false">cleaned_data!I184</f>
        <v>76.8</v>
      </c>
      <c r="J184" s="0" t="n">
        <f aca="false">cleaned_data!J184</f>
        <v>1.02</v>
      </c>
      <c r="K184" s="0" t="n">
        <f aca="false">cleaned_data!K184</f>
        <v>1</v>
      </c>
      <c r="L184" s="0" t="n">
        <f aca="false">cleaned_data!L184</f>
        <v>3.8</v>
      </c>
      <c r="M184" s="0" t="n">
        <f aca="false">cleaned_data!M184</f>
        <v>761077.08</v>
      </c>
      <c r="N184" s="0" t="n">
        <f aca="false">cleaned_data!N184</f>
        <v>113605.93</v>
      </c>
      <c r="O184" s="0" t="n">
        <f aca="false">IF(cleaned_data!C184="North",1,0)</f>
        <v>0</v>
      </c>
      <c r="P184" s="0" t="n">
        <f aca="false">IF(cleaned_data!C184="South",1,0)</f>
        <v>0</v>
      </c>
      <c r="Q184" s="0" t="n">
        <f aca="false">IF(cleaned_data!C184="West",1,0)</f>
        <v>1</v>
      </c>
      <c r="R184" s="0" t="n">
        <f aca="false">IF(cleaned_data!D184="Airport",1,0)</f>
        <v>0</v>
      </c>
      <c r="S184" s="0" t="n">
        <f aca="false">IF(cleaned_data!D184="Mall",1,0)</f>
        <v>0</v>
      </c>
      <c r="T184" s="0" t="n">
        <f aca="false">IF(cleaned_data!D184="Residential",1,0)</f>
        <v>1</v>
      </c>
    </row>
    <row r="185" customFormat="false" ht="15" hidden="false" customHeight="false" outlineLevel="0" collapsed="false">
      <c r="A185" s="0" t="str">
        <f aca="false">cleaned_data!A185</f>
        <v>STR-1046</v>
      </c>
      <c r="B185" s="0" t="str">
        <f aca="false">cleaned_data!B185</f>
        <v>2025-04-01</v>
      </c>
      <c r="C185" s="0" t="str">
        <f aca="false">cleaned_data!C185</f>
        <v>West</v>
      </c>
      <c r="D185" s="0" t="str">
        <f aca="false">cleaned_data!D185</f>
        <v>Residential</v>
      </c>
      <c r="E185" s="0" t="n">
        <f aca="false">cleaned_data!E185</f>
        <v>57948.88</v>
      </c>
      <c r="F185" s="0" t="n">
        <f aca="false">cleaned_data!F185</f>
        <v>10741</v>
      </c>
      <c r="G185" s="0" t="n">
        <f aca="false">cleaned_data!G185</f>
        <v>0.07</v>
      </c>
      <c r="H185" s="0" t="n">
        <f aca="false">cleaned_data!H185</f>
        <v>25</v>
      </c>
      <c r="I185" s="0" t="n">
        <f aca="false">cleaned_data!I185</f>
        <v>90.1</v>
      </c>
      <c r="J185" s="0" t="n">
        <f aca="false">cleaned_data!J185</f>
        <v>4.03</v>
      </c>
      <c r="K185" s="0" t="n">
        <f aca="false">cleaned_data!K185</f>
        <v>0</v>
      </c>
      <c r="L185" s="0" t="n">
        <f aca="false">cleaned_data!L185</f>
        <v>3.1</v>
      </c>
      <c r="M185" s="0" t="n">
        <f aca="false">cleaned_data!M185</f>
        <v>819660.59</v>
      </c>
      <c r="N185" s="0" t="n">
        <f aca="false">cleaned_data!N185</f>
        <v>172699.95</v>
      </c>
      <c r="O185" s="0" t="n">
        <f aca="false">IF(cleaned_data!C185="North",1,0)</f>
        <v>0</v>
      </c>
      <c r="P185" s="0" t="n">
        <f aca="false">IF(cleaned_data!C185="South",1,0)</f>
        <v>0</v>
      </c>
      <c r="Q185" s="0" t="n">
        <f aca="false">IF(cleaned_data!C185="West",1,0)</f>
        <v>1</v>
      </c>
      <c r="R185" s="0" t="n">
        <f aca="false">IF(cleaned_data!D185="Airport",1,0)</f>
        <v>0</v>
      </c>
      <c r="S185" s="0" t="n">
        <f aca="false">IF(cleaned_data!D185="Mall",1,0)</f>
        <v>0</v>
      </c>
      <c r="T185" s="0" t="n">
        <f aca="false">IF(cleaned_data!D185="Residential",1,0)</f>
        <v>1</v>
      </c>
    </row>
    <row r="186" customFormat="false" ht="15" hidden="false" customHeight="false" outlineLevel="0" collapsed="false">
      <c r="A186" s="0" t="str">
        <f aca="false">cleaned_data!A186</f>
        <v>STR-1047</v>
      </c>
      <c r="B186" s="0" t="str">
        <f aca="false">cleaned_data!B186</f>
        <v>2025-01-01</v>
      </c>
      <c r="C186" s="0" t="str">
        <f aca="false">cleaned_data!C186</f>
        <v>North</v>
      </c>
      <c r="D186" s="0" t="str">
        <f aca="false">cleaned_data!D186</f>
        <v>High Street</v>
      </c>
      <c r="E186" s="0" t="n">
        <f aca="false">cleaned_data!E186</f>
        <v>71941.62</v>
      </c>
      <c r="F186" s="0" t="n">
        <f aca="false">cleaned_data!F186</f>
        <v>6084</v>
      </c>
      <c r="G186" s="0" t="n">
        <f aca="false">cleaned_data!G186</f>
        <v>0.072</v>
      </c>
      <c r="H186" s="0" t="n">
        <f aca="false">cleaned_data!H186</f>
        <v>13</v>
      </c>
      <c r="I186" s="0" t="n">
        <f aca="false">cleaned_data!I186</f>
        <v>93.7</v>
      </c>
      <c r="J186" s="0" t="n">
        <f aca="false">cleaned_data!J186</f>
        <v>2.34</v>
      </c>
      <c r="K186" s="0" t="n">
        <f aca="false">cleaned_data!K186</f>
        <v>0</v>
      </c>
      <c r="L186" s="0" t="n">
        <f aca="false">cleaned_data!L186</f>
        <v>4.4</v>
      </c>
      <c r="M186" s="0" t="n">
        <f aca="false">cleaned_data!M186</f>
        <v>681855.56</v>
      </c>
      <c r="N186" s="0" t="n">
        <f aca="false">cleaned_data!N186</f>
        <v>117645.61</v>
      </c>
      <c r="O186" s="0" t="n">
        <f aca="false">IF(cleaned_data!C186="North",1,0)</f>
        <v>1</v>
      </c>
      <c r="P186" s="0" t="n">
        <f aca="false">IF(cleaned_data!C186="South",1,0)</f>
        <v>0</v>
      </c>
      <c r="Q186" s="0" t="n">
        <f aca="false">IF(cleaned_data!C186="West",1,0)</f>
        <v>0</v>
      </c>
      <c r="R186" s="0" t="n">
        <f aca="false">IF(cleaned_data!D186="Airport",1,0)</f>
        <v>0</v>
      </c>
      <c r="S186" s="0" t="n">
        <f aca="false">IF(cleaned_data!D186="Mall",1,0)</f>
        <v>0</v>
      </c>
      <c r="T186" s="0" t="n">
        <f aca="false">IF(cleaned_data!D186="Residential",1,0)</f>
        <v>0</v>
      </c>
    </row>
    <row r="187" customFormat="false" ht="15" hidden="false" customHeight="false" outlineLevel="0" collapsed="false">
      <c r="A187" s="0" t="str">
        <f aca="false">cleaned_data!A187</f>
        <v>STR-1047</v>
      </c>
      <c r="B187" s="0" t="str">
        <f aca="false">cleaned_data!B187</f>
        <v>2025-02-01</v>
      </c>
      <c r="C187" s="0" t="str">
        <f aca="false">cleaned_data!C187</f>
        <v>North</v>
      </c>
      <c r="D187" s="0" t="str">
        <f aca="false">cleaned_data!D187</f>
        <v>High Street</v>
      </c>
      <c r="E187" s="0" t="n">
        <f aca="false">cleaned_data!E187</f>
        <v>57147.88</v>
      </c>
      <c r="F187" s="0" t="n">
        <f aca="false">cleaned_data!F187</f>
        <v>5252</v>
      </c>
      <c r="G187" s="0" t="n">
        <f aca="false">cleaned_data!G187</f>
        <v>0.161</v>
      </c>
      <c r="H187" s="0" t="n">
        <f aca="false">cleaned_data!H187</f>
        <v>15</v>
      </c>
      <c r="I187" s="0" t="n">
        <f aca="false">cleaned_data!I187</f>
        <v>95.5</v>
      </c>
      <c r="J187" s="0" t="n">
        <f aca="false">cleaned_data!J187</f>
        <v>8.51</v>
      </c>
      <c r="K187" s="0" t="n">
        <f aca="false">cleaned_data!K187</f>
        <v>0</v>
      </c>
      <c r="L187" s="0" t="n">
        <f aca="false">cleaned_data!L187</f>
        <v>4.4</v>
      </c>
      <c r="M187" s="0" t="n">
        <f aca="false">cleaned_data!M187</f>
        <v>678311.17</v>
      </c>
      <c r="N187" s="0" t="n">
        <f aca="false">cleaned_data!N187</f>
        <v>132029.76</v>
      </c>
      <c r="O187" s="0" t="n">
        <f aca="false">IF(cleaned_data!C187="North",1,0)</f>
        <v>1</v>
      </c>
      <c r="P187" s="0" t="n">
        <f aca="false">IF(cleaned_data!C187="South",1,0)</f>
        <v>0</v>
      </c>
      <c r="Q187" s="0" t="n">
        <f aca="false">IF(cleaned_data!C187="West",1,0)</f>
        <v>0</v>
      </c>
      <c r="R187" s="0" t="n">
        <f aca="false">IF(cleaned_data!D187="Airport",1,0)</f>
        <v>0</v>
      </c>
      <c r="S187" s="0" t="n">
        <f aca="false">IF(cleaned_data!D187="Mall",1,0)</f>
        <v>0</v>
      </c>
      <c r="T187" s="0" t="n">
        <f aca="false">IF(cleaned_data!D187="Residential",1,0)</f>
        <v>0</v>
      </c>
    </row>
    <row r="188" customFormat="false" ht="15" hidden="false" customHeight="false" outlineLevel="0" collapsed="false">
      <c r="A188" s="0" t="str">
        <f aca="false">cleaned_data!A188</f>
        <v>STR-1047</v>
      </c>
      <c r="B188" s="0" t="str">
        <f aca="false">cleaned_data!B188</f>
        <v>2025-03-01</v>
      </c>
      <c r="C188" s="0" t="str">
        <f aca="false">cleaned_data!C188</f>
        <v>North</v>
      </c>
      <c r="D188" s="0" t="str">
        <f aca="false">cleaned_data!D188</f>
        <v>High Street</v>
      </c>
      <c r="E188" s="0" t="n">
        <f aca="false">cleaned_data!E188</f>
        <v>48031.74</v>
      </c>
      <c r="F188" s="0" t="n">
        <f aca="false">cleaned_data!F188</f>
        <v>6516</v>
      </c>
      <c r="G188" s="0" t="n">
        <f aca="false">cleaned_data!G188</f>
        <v>0.067</v>
      </c>
      <c r="H188" s="0" t="n">
        <f aca="false">cleaned_data!H188</f>
        <v>14</v>
      </c>
      <c r="I188" s="0" t="n">
        <f aca="false">cleaned_data!I188</f>
        <v>99</v>
      </c>
      <c r="J188" s="0" t="n">
        <f aca="false">cleaned_data!J188</f>
        <v>0.48</v>
      </c>
      <c r="K188" s="0" t="n">
        <f aca="false">cleaned_data!K188</f>
        <v>1</v>
      </c>
      <c r="L188" s="0" t="n">
        <f aca="false">cleaned_data!L188</f>
        <v>4.3</v>
      </c>
      <c r="M188" s="0" t="n">
        <f aca="false">cleaned_data!M188</f>
        <v>765906.95</v>
      </c>
      <c r="N188" s="0" t="n">
        <f aca="false">cleaned_data!N188</f>
        <v>114005.9</v>
      </c>
      <c r="O188" s="0" t="n">
        <f aca="false">IF(cleaned_data!C188="North",1,0)</f>
        <v>1</v>
      </c>
      <c r="P188" s="0" t="n">
        <f aca="false">IF(cleaned_data!C188="South",1,0)</f>
        <v>0</v>
      </c>
      <c r="Q188" s="0" t="n">
        <f aca="false">IF(cleaned_data!C188="West",1,0)</f>
        <v>0</v>
      </c>
      <c r="R188" s="0" t="n">
        <f aca="false">IF(cleaned_data!D188="Airport",1,0)</f>
        <v>0</v>
      </c>
      <c r="S188" s="0" t="n">
        <f aca="false">IF(cleaned_data!D188="Mall",1,0)</f>
        <v>0</v>
      </c>
      <c r="T188" s="0" t="n">
        <f aca="false">IF(cleaned_data!D188="Residential",1,0)</f>
        <v>0</v>
      </c>
    </row>
    <row r="189" customFormat="false" ht="15" hidden="false" customHeight="false" outlineLevel="0" collapsed="false">
      <c r="A189" s="0" t="str">
        <f aca="false">cleaned_data!A189</f>
        <v>STR-1047</v>
      </c>
      <c r="B189" s="0" t="str">
        <f aca="false">cleaned_data!B189</f>
        <v>2025-04-01</v>
      </c>
      <c r="C189" s="0" t="str">
        <f aca="false">cleaned_data!C189</f>
        <v>North</v>
      </c>
      <c r="D189" s="0" t="str">
        <f aca="false">cleaned_data!D189</f>
        <v>High Street</v>
      </c>
      <c r="E189" s="0" t="n">
        <f aca="false">cleaned_data!E189</f>
        <v>72784.8</v>
      </c>
      <c r="F189" s="0" t="n">
        <f aca="false">cleaned_data!F189</f>
        <v>7932</v>
      </c>
      <c r="G189" s="0" t="n">
        <f aca="false">cleaned_data!G189</f>
        <v>0.094</v>
      </c>
      <c r="H189" s="0" t="n">
        <f aca="false">cleaned_data!H189</f>
        <v>20</v>
      </c>
      <c r="I189" s="0" t="n">
        <f aca="false">cleaned_data!I189</f>
        <v>74.9</v>
      </c>
      <c r="J189" s="0" t="n">
        <f aca="false">cleaned_data!J189</f>
        <v>13.62</v>
      </c>
      <c r="K189" s="0" t="n">
        <f aca="false">cleaned_data!K189</f>
        <v>0</v>
      </c>
      <c r="L189" s="0" t="n">
        <f aca="false">cleaned_data!L189</f>
        <v>4.2</v>
      </c>
      <c r="M189" s="0" t="n">
        <f aca="false">cleaned_data!M189</f>
        <v>712546.38</v>
      </c>
      <c r="N189" s="0" t="n">
        <f aca="false">cleaned_data!N189</f>
        <v>101480.04</v>
      </c>
      <c r="O189" s="0" t="n">
        <f aca="false">IF(cleaned_data!C189="North",1,0)</f>
        <v>1</v>
      </c>
      <c r="P189" s="0" t="n">
        <f aca="false">IF(cleaned_data!C189="South",1,0)</f>
        <v>0</v>
      </c>
      <c r="Q189" s="0" t="n">
        <f aca="false">IF(cleaned_data!C189="West",1,0)</f>
        <v>0</v>
      </c>
      <c r="R189" s="0" t="n">
        <f aca="false">IF(cleaned_data!D189="Airport",1,0)</f>
        <v>0</v>
      </c>
      <c r="S189" s="0" t="n">
        <f aca="false">IF(cleaned_data!D189="Mall",1,0)</f>
        <v>0</v>
      </c>
      <c r="T189" s="0" t="n">
        <f aca="false">IF(cleaned_data!D189="Residential",1,0)</f>
        <v>0</v>
      </c>
    </row>
    <row r="190" customFormat="false" ht="15" hidden="false" customHeight="false" outlineLevel="0" collapsed="false">
      <c r="A190" s="0" t="str">
        <f aca="false">cleaned_data!A190</f>
        <v>STR-1048</v>
      </c>
      <c r="B190" s="0" t="str">
        <f aca="false">cleaned_data!B190</f>
        <v>2025-01-01</v>
      </c>
      <c r="C190" s="0" t="str">
        <f aca="false">cleaned_data!C190</f>
        <v>East</v>
      </c>
      <c r="D190" s="0" t="str">
        <f aca="false">cleaned_data!D190</f>
        <v>High Street</v>
      </c>
      <c r="E190" s="0" t="n">
        <f aca="false">cleaned_data!E190</f>
        <v>71641.9</v>
      </c>
      <c r="F190" s="0" t="n">
        <f aca="false">cleaned_data!F190</f>
        <v>3506</v>
      </c>
      <c r="G190" s="0" t="n">
        <f aca="false">cleaned_data!G190</f>
        <v>0</v>
      </c>
      <c r="H190" s="0" t="n">
        <f aca="false">cleaned_data!H190</f>
        <v>11</v>
      </c>
      <c r="I190" s="0" t="n">
        <f aca="false">cleaned_data!I190</f>
        <v>86.4</v>
      </c>
      <c r="J190" s="0" t="n">
        <f aca="false">cleaned_data!J190</f>
        <v>7.77</v>
      </c>
      <c r="K190" s="0" t="n">
        <f aca="false">cleaned_data!K190</f>
        <v>0</v>
      </c>
      <c r="L190" s="0" t="n">
        <f aca="false">cleaned_data!L190</f>
        <v>4.1</v>
      </c>
      <c r="M190" s="0" t="n">
        <f aca="false">cleaned_data!M190</f>
        <v>625993.83</v>
      </c>
      <c r="N190" s="0" t="n">
        <f aca="false">cleaned_data!N190</f>
        <v>98960.32</v>
      </c>
      <c r="O190" s="0" t="n">
        <f aca="false">IF(cleaned_data!C190="North",1,0)</f>
        <v>0</v>
      </c>
      <c r="P190" s="0" t="n">
        <f aca="false">IF(cleaned_data!C190="South",1,0)</f>
        <v>0</v>
      </c>
      <c r="Q190" s="0" t="n">
        <f aca="false">IF(cleaned_data!C190="West",1,0)</f>
        <v>0</v>
      </c>
      <c r="R190" s="0" t="n">
        <f aca="false">IF(cleaned_data!D190="Airport",1,0)</f>
        <v>0</v>
      </c>
      <c r="S190" s="0" t="n">
        <f aca="false">IF(cleaned_data!D190="Mall",1,0)</f>
        <v>0</v>
      </c>
      <c r="T190" s="0" t="n">
        <f aca="false">IF(cleaned_data!D190="Residential",1,0)</f>
        <v>0</v>
      </c>
    </row>
    <row r="191" customFormat="false" ht="15" hidden="false" customHeight="false" outlineLevel="0" collapsed="false">
      <c r="A191" s="0" t="str">
        <f aca="false">cleaned_data!A191</f>
        <v>STR-1048</v>
      </c>
      <c r="B191" s="0" t="str">
        <f aca="false">cleaned_data!B191</f>
        <v>2025-02-01</v>
      </c>
      <c r="C191" s="0" t="str">
        <f aca="false">cleaned_data!C191</f>
        <v>East</v>
      </c>
      <c r="D191" s="0" t="str">
        <f aca="false">cleaned_data!D191</f>
        <v>High Street</v>
      </c>
      <c r="E191" s="0" t="n">
        <f aca="false">cleaned_data!E191</f>
        <v>55788.61</v>
      </c>
      <c r="F191" s="0" t="n">
        <f aca="false">cleaned_data!F191</f>
        <v>2312</v>
      </c>
      <c r="G191" s="0" t="n">
        <f aca="false">cleaned_data!G191</f>
        <v>0.058</v>
      </c>
      <c r="H191" s="0" t="n">
        <f aca="false">cleaned_data!H191</f>
        <v>10</v>
      </c>
      <c r="I191" s="0" t="n">
        <f aca="false">cleaned_data!I191</f>
        <v>91.3</v>
      </c>
      <c r="J191" s="0" t="n">
        <f aca="false">cleaned_data!J191</f>
        <v>1.99</v>
      </c>
      <c r="K191" s="0" t="n">
        <f aca="false">cleaned_data!K191</f>
        <v>0</v>
      </c>
      <c r="L191" s="0" t="n">
        <f aca="false">cleaned_data!L191</f>
        <v>3.8</v>
      </c>
      <c r="M191" s="0" t="n">
        <f aca="false">cleaned_data!M191</f>
        <v>550962.93</v>
      </c>
      <c r="N191" s="0" t="n">
        <f aca="false">cleaned_data!N191</f>
        <v>97144.58</v>
      </c>
      <c r="O191" s="0" t="n">
        <f aca="false">IF(cleaned_data!C191="North",1,0)</f>
        <v>0</v>
      </c>
      <c r="P191" s="0" t="n">
        <f aca="false">IF(cleaned_data!C191="South",1,0)</f>
        <v>0</v>
      </c>
      <c r="Q191" s="0" t="n">
        <f aca="false">IF(cleaned_data!C191="West",1,0)</f>
        <v>0</v>
      </c>
      <c r="R191" s="0" t="n">
        <f aca="false">IF(cleaned_data!D191="Airport",1,0)</f>
        <v>0</v>
      </c>
      <c r="S191" s="0" t="n">
        <f aca="false">IF(cleaned_data!D191="Mall",1,0)</f>
        <v>0</v>
      </c>
      <c r="T191" s="0" t="n">
        <f aca="false">IF(cleaned_data!D191="Residential",1,0)</f>
        <v>0</v>
      </c>
    </row>
    <row r="192" customFormat="false" ht="15" hidden="false" customHeight="false" outlineLevel="0" collapsed="false">
      <c r="A192" s="0" t="str">
        <f aca="false">cleaned_data!A192</f>
        <v>STR-1048</v>
      </c>
      <c r="B192" s="0" t="str">
        <f aca="false">cleaned_data!B192</f>
        <v>2025-03-01</v>
      </c>
      <c r="C192" s="0" t="str">
        <f aca="false">cleaned_data!C192</f>
        <v>East</v>
      </c>
      <c r="D192" s="0" t="str">
        <f aca="false">cleaned_data!D192</f>
        <v>High Street</v>
      </c>
      <c r="E192" s="0" t="n">
        <f aca="false">cleaned_data!E192</f>
        <v>37705.88</v>
      </c>
      <c r="F192" s="0" t="n">
        <f aca="false">cleaned_data!F192</f>
        <v>1268</v>
      </c>
      <c r="G192" s="0" t="n">
        <f aca="false">cleaned_data!G192</f>
        <v>0.259</v>
      </c>
      <c r="H192" s="0" t="n">
        <f aca="false">cleaned_data!H192</f>
        <v>9</v>
      </c>
      <c r="I192" s="0" t="n">
        <f aca="false">cleaned_data!I192</f>
        <v>84.1</v>
      </c>
      <c r="J192" s="0" t="n">
        <f aca="false">cleaned_data!J192</f>
        <v>4.77</v>
      </c>
      <c r="K192" s="0" t="n">
        <f aca="false">cleaned_data!K192</f>
        <v>0</v>
      </c>
      <c r="L192" s="0" t="n">
        <f aca="false">cleaned_data!L192</f>
        <v>3.8</v>
      </c>
      <c r="M192" s="0" t="n">
        <f aca="false">cleaned_data!M192</f>
        <v>443275.59</v>
      </c>
      <c r="N192" s="0" t="n">
        <f aca="false">cleaned_data!N192</f>
        <v>53544.36</v>
      </c>
      <c r="O192" s="0" t="n">
        <f aca="false">IF(cleaned_data!C192="North",1,0)</f>
        <v>0</v>
      </c>
      <c r="P192" s="0" t="n">
        <f aca="false">IF(cleaned_data!C192="South",1,0)</f>
        <v>0</v>
      </c>
      <c r="Q192" s="0" t="n">
        <f aca="false">IF(cleaned_data!C192="West",1,0)</f>
        <v>0</v>
      </c>
      <c r="R192" s="0" t="n">
        <f aca="false">IF(cleaned_data!D192="Airport",1,0)</f>
        <v>0</v>
      </c>
      <c r="S192" s="0" t="n">
        <f aca="false">IF(cleaned_data!D192="Mall",1,0)</f>
        <v>0</v>
      </c>
      <c r="T192" s="0" t="n">
        <f aca="false">IF(cleaned_data!D192="Residential",1,0)</f>
        <v>0</v>
      </c>
    </row>
    <row r="193" customFormat="false" ht="15" hidden="false" customHeight="false" outlineLevel="0" collapsed="false">
      <c r="A193" s="0" t="str">
        <f aca="false">cleaned_data!A193</f>
        <v>STR-1048</v>
      </c>
      <c r="B193" s="0" t="str">
        <f aca="false">cleaned_data!B193</f>
        <v>2025-04-01</v>
      </c>
      <c r="C193" s="0" t="str">
        <f aca="false">cleaned_data!C193</f>
        <v>East</v>
      </c>
      <c r="D193" s="0" t="str">
        <f aca="false">cleaned_data!D193</f>
        <v>High Street</v>
      </c>
      <c r="E193" s="0" t="n">
        <f aca="false">cleaned_data!E193</f>
        <v>54966.18</v>
      </c>
      <c r="F193" s="0" t="n">
        <f aca="false">cleaned_data!F193</f>
        <v>4423</v>
      </c>
      <c r="G193" s="0" t="n">
        <f aca="false">cleaned_data!G193</f>
        <v>0.186</v>
      </c>
      <c r="H193" s="0" t="n">
        <f aca="false">cleaned_data!H193</f>
        <v>13</v>
      </c>
      <c r="I193" s="0" t="n">
        <f aca="false">cleaned_data!I193</f>
        <v>88.7</v>
      </c>
      <c r="J193" s="0" t="n">
        <f aca="false">cleaned_data!J193</f>
        <v>0.2</v>
      </c>
      <c r="K193" s="0" t="n">
        <f aca="false">cleaned_data!K193</f>
        <v>0</v>
      </c>
      <c r="L193" s="0" t="n">
        <f aca="false">cleaned_data!L193</f>
        <v>4.4</v>
      </c>
      <c r="M193" s="0" t="n">
        <f aca="false">cleaned_data!M193</f>
        <v>554012.07</v>
      </c>
      <c r="N193" s="0" t="n">
        <f aca="false">cleaned_data!N193</f>
        <v>81101.62</v>
      </c>
      <c r="O193" s="0" t="n">
        <f aca="false">IF(cleaned_data!C193="North",1,0)</f>
        <v>0</v>
      </c>
      <c r="P193" s="0" t="n">
        <f aca="false">IF(cleaned_data!C193="South",1,0)</f>
        <v>0</v>
      </c>
      <c r="Q193" s="0" t="n">
        <f aca="false">IF(cleaned_data!C193="West",1,0)</f>
        <v>0</v>
      </c>
      <c r="R193" s="0" t="n">
        <f aca="false">IF(cleaned_data!D193="Airport",1,0)</f>
        <v>0</v>
      </c>
      <c r="S193" s="0" t="n">
        <f aca="false">IF(cleaned_data!D193="Mall",1,0)</f>
        <v>0</v>
      </c>
      <c r="T193" s="0" t="n">
        <f aca="false">IF(cleaned_data!D193="Residential",1,0)</f>
        <v>0</v>
      </c>
    </row>
    <row r="194" customFormat="false" ht="15" hidden="false" customHeight="false" outlineLevel="0" collapsed="false">
      <c r="A194" s="0" t="str">
        <f aca="false">cleaned_data!A194</f>
        <v>STR-1049</v>
      </c>
      <c r="B194" s="0" t="str">
        <f aca="false">cleaned_data!B194</f>
        <v>2025-01-01</v>
      </c>
      <c r="C194" s="0" t="str">
        <f aca="false">cleaned_data!C194</f>
        <v>West</v>
      </c>
      <c r="D194" s="0" t="str">
        <f aca="false">cleaned_data!D194</f>
        <v>Residential</v>
      </c>
      <c r="E194" s="0" t="n">
        <f aca="false">cleaned_data!E194</f>
        <v>81796.74</v>
      </c>
      <c r="F194" s="0" t="n">
        <f aca="false">cleaned_data!F194</f>
        <v>6177</v>
      </c>
      <c r="G194" s="0" t="n">
        <f aca="false">cleaned_data!G194</f>
        <v>0.164</v>
      </c>
      <c r="H194" s="0" t="n">
        <f aca="false">cleaned_data!H194</f>
        <v>14</v>
      </c>
      <c r="I194" s="0" t="n">
        <f aca="false">cleaned_data!I194</f>
        <v>87.9</v>
      </c>
      <c r="J194" s="0" t="n">
        <f aca="false">cleaned_data!J194</f>
        <v>0.53</v>
      </c>
      <c r="K194" s="0" t="n">
        <f aca="false">cleaned_data!K194</f>
        <v>0</v>
      </c>
      <c r="L194" s="0" t="n">
        <f aca="false">cleaned_data!L194</f>
        <v>3.2</v>
      </c>
      <c r="M194" s="0" t="n">
        <f aca="false">cleaned_data!M194</f>
        <v>643428.85</v>
      </c>
      <c r="N194" s="0" t="n">
        <f aca="false">cleaned_data!N194</f>
        <v>94477.63</v>
      </c>
      <c r="O194" s="0" t="n">
        <f aca="false">IF(cleaned_data!C194="North",1,0)</f>
        <v>0</v>
      </c>
      <c r="P194" s="0" t="n">
        <f aca="false">IF(cleaned_data!C194="South",1,0)</f>
        <v>0</v>
      </c>
      <c r="Q194" s="0" t="n">
        <f aca="false">IF(cleaned_data!C194="West",1,0)</f>
        <v>1</v>
      </c>
      <c r="R194" s="0" t="n">
        <f aca="false">IF(cleaned_data!D194="Airport",1,0)</f>
        <v>0</v>
      </c>
      <c r="S194" s="0" t="n">
        <f aca="false">IF(cleaned_data!D194="Mall",1,0)</f>
        <v>0</v>
      </c>
      <c r="T194" s="0" t="n">
        <f aca="false">IF(cleaned_data!D194="Residential",1,0)</f>
        <v>1</v>
      </c>
    </row>
    <row r="195" customFormat="false" ht="15" hidden="false" customHeight="false" outlineLevel="0" collapsed="false">
      <c r="A195" s="0" t="str">
        <f aca="false">cleaned_data!A195</f>
        <v>STR-1049</v>
      </c>
      <c r="B195" s="0" t="str">
        <f aca="false">cleaned_data!B195</f>
        <v>2025-02-01</v>
      </c>
      <c r="C195" s="0" t="str">
        <f aca="false">cleaned_data!C195</f>
        <v>West</v>
      </c>
      <c r="D195" s="0" t="str">
        <f aca="false">cleaned_data!D195</f>
        <v>Residential</v>
      </c>
      <c r="E195" s="0" t="n">
        <f aca="false">cleaned_data!E195</f>
        <v>51133.43</v>
      </c>
      <c r="F195" s="0" t="n">
        <f aca="false">cleaned_data!F195</f>
        <v>5150</v>
      </c>
      <c r="G195" s="0" t="n">
        <f aca="false">cleaned_data!G195</f>
        <v>0.15</v>
      </c>
      <c r="H195" s="0" t="n">
        <f aca="false">cleaned_data!H195</f>
        <v>12</v>
      </c>
      <c r="I195" s="0" t="n">
        <f aca="false">cleaned_data!I195</f>
        <v>88.5</v>
      </c>
      <c r="J195" s="0" t="n">
        <f aca="false">cleaned_data!J195</f>
        <v>1.54</v>
      </c>
      <c r="K195" s="0" t="n">
        <f aca="false">cleaned_data!K195</f>
        <v>0</v>
      </c>
      <c r="L195" s="0" t="n">
        <f aca="false">cleaned_data!L195</f>
        <v>3.2</v>
      </c>
      <c r="M195" s="0" t="n">
        <f aca="false">cleaned_data!M195</f>
        <v>611924.27</v>
      </c>
      <c r="N195" s="0" t="n">
        <f aca="false">cleaned_data!N195</f>
        <v>115488.75</v>
      </c>
      <c r="O195" s="0" t="n">
        <f aca="false">IF(cleaned_data!C195="North",1,0)</f>
        <v>0</v>
      </c>
      <c r="P195" s="0" t="n">
        <f aca="false">IF(cleaned_data!C195="South",1,0)</f>
        <v>0</v>
      </c>
      <c r="Q195" s="0" t="n">
        <f aca="false">IF(cleaned_data!C195="West",1,0)</f>
        <v>1</v>
      </c>
      <c r="R195" s="0" t="n">
        <f aca="false">IF(cleaned_data!D195="Airport",1,0)</f>
        <v>0</v>
      </c>
      <c r="S195" s="0" t="n">
        <f aca="false">IF(cleaned_data!D195="Mall",1,0)</f>
        <v>0</v>
      </c>
      <c r="T195" s="0" t="n">
        <f aca="false">IF(cleaned_data!D195="Residential",1,0)</f>
        <v>1</v>
      </c>
    </row>
    <row r="196" customFormat="false" ht="15" hidden="false" customHeight="false" outlineLevel="0" collapsed="false">
      <c r="A196" s="0" t="str">
        <f aca="false">cleaned_data!A196</f>
        <v>STR-1049</v>
      </c>
      <c r="B196" s="0" t="str">
        <f aca="false">cleaned_data!B196</f>
        <v>2025-03-01</v>
      </c>
      <c r="C196" s="0" t="str">
        <f aca="false">cleaned_data!C196</f>
        <v>West</v>
      </c>
      <c r="D196" s="0" t="str">
        <f aca="false">cleaned_data!D196</f>
        <v>Residential</v>
      </c>
      <c r="E196" s="0" t="n">
        <f aca="false">cleaned_data!E196</f>
        <v>40220.18</v>
      </c>
      <c r="F196" s="0" t="n">
        <f aca="false">cleaned_data!F196</f>
        <v>3783</v>
      </c>
      <c r="G196" s="0" t="n">
        <f aca="false">cleaned_data!G196</f>
        <v>0.089</v>
      </c>
      <c r="H196" s="0" t="n">
        <f aca="false">cleaned_data!H196</f>
        <v>14</v>
      </c>
      <c r="I196" s="0" t="n">
        <f aca="false">cleaned_data!I196</f>
        <v>86.6</v>
      </c>
      <c r="J196" s="0" t="n">
        <f aca="false">cleaned_data!J196</f>
        <v>3.63</v>
      </c>
      <c r="K196" s="0" t="n">
        <f aca="false">cleaned_data!K196</f>
        <v>0</v>
      </c>
      <c r="L196" s="0" t="n">
        <f aca="false">cleaned_data!L196</f>
        <v>3.7</v>
      </c>
      <c r="M196" s="0" t="n">
        <f aca="false">cleaned_data!M196</f>
        <v>559422.02</v>
      </c>
      <c r="N196" s="0" t="n">
        <f aca="false">cleaned_data!N196</f>
        <v>73528.74</v>
      </c>
      <c r="O196" s="0" t="n">
        <f aca="false">IF(cleaned_data!C196="North",1,0)</f>
        <v>0</v>
      </c>
      <c r="P196" s="0" t="n">
        <f aca="false">IF(cleaned_data!C196="South",1,0)</f>
        <v>0</v>
      </c>
      <c r="Q196" s="0" t="n">
        <f aca="false">IF(cleaned_data!C196="West",1,0)</f>
        <v>1</v>
      </c>
      <c r="R196" s="0" t="n">
        <f aca="false">IF(cleaned_data!D196="Airport",1,0)</f>
        <v>0</v>
      </c>
      <c r="S196" s="0" t="n">
        <f aca="false">IF(cleaned_data!D196="Mall",1,0)</f>
        <v>0</v>
      </c>
      <c r="T196" s="0" t="n">
        <f aca="false">IF(cleaned_data!D196="Residential",1,0)</f>
        <v>1</v>
      </c>
    </row>
    <row r="197" customFormat="false" ht="15" hidden="false" customHeight="false" outlineLevel="0" collapsed="false">
      <c r="A197" s="0" t="str">
        <f aca="false">cleaned_data!A197</f>
        <v>STR-1049</v>
      </c>
      <c r="B197" s="0" t="str">
        <f aca="false">cleaned_data!B197</f>
        <v>2025-04-01</v>
      </c>
      <c r="C197" s="0" t="str">
        <f aca="false">cleaned_data!C197</f>
        <v>West</v>
      </c>
      <c r="D197" s="0" t="str">
        <f aca="false">cleaned_data!D197</f>
        <v>Residential</v>
      </c>
      <c r="E197" s="0" t="n">
        <f aca="false">cleaned_data!E197</f>
        <v>41657.64</v>
      </c>
      <c r="F197" s="0" t="n">
        <f aca="false">cleaned_data!F197</f>
        <v>3135</v>
      </c>
      <c r="G197" s="0" t="n">
        <f aca="false">cleaned_data!G197</f>
        <v>0.229</v>
      </c>
      <c r="H197" s="0" t="n">
        <f aca="false">cleaned_data!H197</f>
        <v>7</v>
      </c>
      <c r="I197" s="0" t="n">
        <f aca="false">cleaned_data!I197</f>
        <v>85.4</v>
      </c>
      <c r="J197" s="0" t="n">
        <f aca="false">cleaned_data!J197</f>
        <v>13.48</v>
      </c>
      <c r="K197" s="0" t="n">
        <f aca="false">cleaned_data!K197</f>
        <v>0</v>
      </c>
      <c r="L197" s="0" t="n">
        <f aca="false">cleaned_data!L197</f>
        <v>3.9</v>
      </c>
      <c r="M197" s="0" t="n">
        <f aca="false">cleaned_data!M197</f>
        <v>449465.06</v>
      </c>
      <c r="N197" s="0" t="n">
        <f aca="false">cleaned_data!N197</f>
        <v>65694.78</v>
      </c>
      <c r="O197" s="0" t="n">
        <f aca="false">IF(cleaned_data!C197="North",1,0)</f>
        <v>0</v>
      </c>
      <c r="P197" s="0" t="n">
        <f aca="false">IF(cleaned_data!C197="South",1,0)</f>
        <v>0</v>
      </c>
      <c r="Q197" s="0" t="n">
        <f aca="false">IF(cleaned_data!C197="West",1,0)</f>
        <v>1</v>
      </c>
      <c r="R197" s="0" t="n">
        <f aca="false">IF(cleaned_data!D197="Airport",1,0)</f>
        <v>0</v>
      </c>
      <c r="S197" s="0" t="n">
        <f aca="false">IF(cleaned_data!D197="Mall",1,0)</f>
        <v>0</v>
      </c>
      <c r="T197" s="0" t="n">
        <f aca="false">IF(cleaned_data!D197="Residential",1,0)</f>
        <v>1</v>
      </c>
    </row>
    <row r="198" customFormat="false" ht="15" hidden="false" customHeight="false" outlineLevel="0" collapsed="false">
      <c r="A198" s="0" t="str">
        <f aca="false">cleaned_data!A198</f>
        <v>STR-1050</v>
      </c>
      <c r="B198" s="0" t="str">
        <f aca="false">cleaned_data!B198</f>
        <v>2025-01-01</v>
      </c>
      <c r="C198" s="0" t="str">
        <f aca="false">cleaned_data!C198</f>
        <v>North</v>
      </c>
      <c r="D198" s="0" t="str">
        <f aca="false">cleaned_data!D198</f>
        <v>Residential</v>
      </c>
      <c r="E198" s="0" t="n">
        <f aca="false">cleaned_data!E198</f>
        <v>71851.45</v>
      </c>
      <c r="F198" s="0" t="n">
        <f aca="false">cleaned_data!F198</f>
        <v>4970</v>
      </c>
      <c r="G198" s="0" t="n">
        <f aca="false">cleaned_data!G198</f>
        <v>0.098</v>
      </c>
      <c r="H198" s="0" t="n">
        <f aca="false">cleaned_data!H198</f>
        <v>11</v>
      </c>
      <c r="I198" s="0" t="n">
        <f aca="false">cleaned_data!I198</f>
        <v>89.6</v>
      </c>
      <c r="J198" s="0" t="n">
        <f aca="false">cleaned_data!J198</f>
        <v>0.2</v>
      </c>
      <c r="K198" s="0" t="n">
        <f aca="false">cleaned_data!K198</f>
        <v>0</v>
      </c>
      <c r="L198" s="0" t="n">
        <f aca="false">cleaned_data!L198</f>
        <v>4.2</v>
      </c>
      <c r="M198" s="0" t="n">
        <f aca="false">cleaned_data!M198</f>
        <v>691447.43</v>
      </c>
      <c r="N198" s="0" t="n">
        <f aca="false">cleaned_data!N198</f>
        <v>114077.69</v>
      </c>
      <c r="O198" s="0" t="n">
        <f aca="false">IF(cleaned_data!C198="North",1,0)</f>
        <v>1</v>
      </c>
      <c r="P198" s="0" t="n">
        <f aca="false">IF(cleaned_data!C198="South",1,0)</f>
        <v>0</v>
      </c>
      <c r="Q198" s="0" t="n">
        <f aca="false">IF(cleaned_data!C198="West",1,0)</f>
        <v>0</v>
      </c>
      <c r="R198" s="0" t="n">
        <f aca="false">IF(cleaned_data!D198="Airport",1,0)</f>
        <v>0</v>
      </c>
      <c r="S198" s="0" t="n">
        <f aca="false">IF(cleaned_data!D198="Mall",1,0)</f>
        <v>0</v>
      </c>
      <c r="T198" s="0" t="n">
        <f aca="false">IF(cleaned_data!D198="Residential",1,0)</f>
        <v>1</v>
      </c>
    </row>
    <row r="199" customFormat="false" ht="15" hidden="false" customHeight="false" outlineLevel="0" collapsed="false">
      <c r="A199" s="0" t="str">
        <f aca="false">cleaned_data!A199</f>
        <v>STR-1050</v>
      </c>
      <c r="B199" s="0" t="str">
        <f aca="false">cleaned_data!B199</f>
        <v>2025-02-01</v>
      </c>
      <c r="C199" s="0" t="str">
        <f aca="false">cleaned_data!C199</f>
        <v>North</v>
      </c>
      <c r="D199" s="0" t="str">
        <f aca="false">cleaned_data!D199</f>
        <v>Residential</v>
      </c>
      <c r="E199" s="0" t="n">
        <f aca="false">cleaned_data!E199</f>
        <v>54002.83</v>
      </c>
      <c r="F199" s="0" t="n">
        <f aca="false">cleaned_data!F199</f>
        <v>4366</v>
      </c>
      <c r="G199" s="0" t="n">
        <f aca="false">cleaned_data!G199</f>
        <v>0.027</v>
      </c>
      <c r="H199" s="0" t="n">
        <f aca="false">cleaned_data!H199</f>
        <v>15</v>
      </c>
      <c r="I199" s="0" t="n">
        <f aca="false">cleaned_data!I199</f>
        <v>90.6</v>
      </c>
      <c r="J199" s="0" t="n">
        <f aca="false">cleaned_data!J199</f>
        <v>12.82</v>
      </c>
      <c r="K199" s="0" t="n">
        <f aca="false">cleaned_data!K199</f>
        <v>0</v>
      </c>
      <c r="L199" s="0" t="n">
        <f aca="false">cleaned_data!L199</f>
        <v>4.6</v>
      </c>
      <c r="M199" s="0" t="n">
        <f aca="false">cleaned_data!M199</f>
        <v>574066.61</v>
      </c>
      <c r="N199" s="0" t="n">
        <f aca="false">cleaned_data!N199</f>
        <v>124674.67</v>
      </c>
      <c r="O199" s="0" t="n">
        <f aca="false">IF(cleaned_data!C199="North",1,0)</f>
        <v>1</v>
      </c>
      <c r="P199" s="0" t="n">
        <f aca="false">IF(cleaned_data!C199="South",1,0)</f>
        <v>0</v>
      </c>
      <c r="Q199" s="0" t="n">
        <f aca="false">IF(cleaned_data!C199="West",1,0)</f>
        <v>0</v>
      </c>
      <c r="R199" s="0" t="n">
        <f aca="false">IF(cleaned_data!D199="Airport",1,0)</f>
        <v>0</v>
      </c>
      <c r="S199" s="0" t="n">
        <f aca="false">IF(cleaned_data!D199="Mall",1,0)</f>
        <v>0</v>
      </c>
      <c r="T199" s="0" t="n">
        <f aca="false">IF(cleaned_data!D199="Residential",1,0)</f>
        <v>1</v>
      </c>
    </row>
    <row r="200" customFormat="false" ht="15" hidden="false" customHeight="false" outlineLevel="0" collapsed="false">
      <c r="A200" s="0" t="str">
        <f aca="false">cleaned_data!A200</f>
        <v>STR-1050</v>
      </c>
      <c r="B200" s="0" t="str">
        <f aca="false">cleaned_data!B200</f>
        <v>2025-03-01</v>
      </c>
      <c r="C200" s="0" t="str">
        <f aca="false">cleaned_data!C200</f>
        <v>North</v>
      </c>
      <c r="D200" s="0" t="str">
        <f aca="false">cleaned_data!D200</f>
        <v>Residential</v>
      </c>
      <c r="E200" s="0" t="n">
        <f aca="false">cleaned_data!E200</f>
        <v>54479.33</v>
      </c>
      <c r="F200" s="0" t="n">
        <f aca="false">cleaned_data!F200</f>
        <v>5012</v>
      </c>
      <c r="G200" s="0" t="n">
        <f aca="false">cleaned_data!G200</f>
        <v>0.284</v>
      </c>
      <c r="H200" s="0" t="n">
        <f aca="false">cleaned_data!H200</f>
        <v>13</v>
      </c>
      <c r="I200" s="0" t="n">
        <f aca="false">cleaned_data!I200</f>
        <v>86</v>
      </c>
      <c r="J200" s="0" t="n">
        <f aca="false">cleaned_data!J200</f>
        <v>2.24</v>
      </c>
      <c r="K200" s="0" t="n">
        <f aca="false">cleaned_data!K200</f>
        <v>1</v>
      </c>
      <c r="L200" s="0" t="n">
        <f aca="false">cleaned_data!L200</f>
        <v>4.3</v>
      </c>
      <c r="M200" s="0" t="n">
        <f aca="false">cleaned_data!M200</f>
        <v>578949.84</v>
      </c>
      <c r="N200" s="0" t="n">
        <f aca="false">cleaned_data!N200</f>
        <v>80253.65</v>
      </c>
      <c r="O200" s="0" t="n">
        <f aca="false">IF(cleaned_data!C200="North",1,0)</f>
        <v>1</v>
      </c>
      <c r="P200" s="0" t="n">
        <f aca="false">IF(cleaned_data!C200="South",1,0)</f>
        <v>0</v>
      </c>
      <c r="Q200" s="0" t="n">
        <f aca="false">IF(cleaned_data!C200="West",1,0)</f>
        <v>0</v>
      </c>
      <c r="R200" s="0" t="n">
        <f aca="false">IF(cleaned_data!D200="Airport",1,0)</f>
        <v>0</v>
      </c>
      <c r="S200" s="0" t="n">
        <f aca="false">IF(cleaned_data!D200="Mall",1,0)</f>
        <v>0</v>
      </c>
      <c r="T200" s="0" t="n">
        <f aca="false">IF(cleaned_data!D200="Residential",1,0)</f>
        <v>1</v>
      </c>
    </row>
    <row r="201" customFormat="false" ht="15" hidden="false" customHeight="false" outlineLevel="0" collapsed="false">
      <c r="A201" s="0" t="str">
        <f aca="false">cleaned_data!A201</f>
        <v>STR-1050</v>
      </c>
      <c r="B201" s="0" t="str">
        <f aca="false">cleaned_data!B201</f>
        <v>2025-04-01</v>
      </c>
      <c r="C201" s="0" t="str">
        <f aca="false">cleaned_data!C201</f>
        <v>North</v>
      </c>
      <c r="D201" s="0" t="str">
        <f aca="false">cleaned_data!D201</f>
        <v>Residential</v>
      </c>
      <c r="E201" s="0" t="n">
        <f aca="false">cleaned_data!E201</f>
        <v>61391.8</v>
      </c>
      <c r="F201" s="0" t="n">
        <f aca="false">cleaned_data!F201</f>
        <v>5575</v>
      </c>
      <c r="G201" s="0" t="n">
        <f aca="false">cleaned_data!G201</f>
        <v>0.189</v>
      </c>
      <c r="H201" s="0" t="n">
        <f aca="false">cleaned_data!H201</f>
        <v>18</v>
      </c>
      <c r="I201" s="0" t="n">
        <f aca="false">cleaned_data!I201</f>
        <v>90</v>
      </c>
      <c r="J201" s="0" t="n">
        <f aca="false">cleaned_data!J201</f>
        <v>1.8</v>
      </c>
      <c r="K201" s="0" t="n">
        <f aca="false">cleaned_data!K201</f>
        <v>0</v>
      </c>
      <c r="L201" s="0" t="n">
        <f aca="false">cleaned_data!L201</f>
        <v>4.8</v>
      </c>
      <c r="M201" s="0" t="n">
        <f aca="false">cleaned_data!M201</f>
        <v>735786.64</v>
      </c>
      <c r="N201" s="0" t="n">
        <f aca="false">cleaned_data!N201</f>
        <v>126540.66</v>
      </c>
      <c r="O201" s="0" t="n">
        <f aca="false">IF(cleaned_data!C201="North",1,0)</f>
        <v>1</v>
      </c>
      <c r="P201" s="0" t="n">
        <f aca="false">IF(cleaned_data!C201="South",1,0)</f>
        <v>0</v>
      </c>
      <c r="Q201" s="0" t="n">
        <f aca="false">IF(cleaned_data!C201="West",1,0)</f>
        <v>0</v>
      </c>
      <c r="R201" s="0" t="n">
        <f aca="false">IF(cleaned_data!D201="Airport",1,0)</f>
        <v>0</v>
      </c>
      <c r="S201" s="0" t="n">
        <f aca="false">IF(cleaned_data!D201="Mall",1,0)</f>
        <v>0</v>
      </c>
      <c r="T201" s="0" t="n">
        <f aca="false">IF(cleaned_data!D201="Residential",1,0)</f>
        <v>1</v>
      </c>
    </row>
    <row r="202" customFormat="false" ht="15" hidden="false" customHeight="false" outlineLevel="0" collapsed="false">
      <c r="A202" s="0" t="str">
        <f aca="false">cleaned_data!A202</f>
        <v>STR-1051</v>
      </c>
      <c r="B202" s="0" t="str">
        <f aca="false">cleaned_data!B202</f>
        <v>2025-01-01</v>
      </c>
      <c r="C202" s="0" t="str">
        <f aca="false">cleaned_data!C202</f>
        <v>East</v>
      </c>
      <c r="D202" s="0" t="str">
        <f aca="false">cleaned_data!D202</f>
        <v>Airport</v>
      </c>
      <c r="E202" s="0" t="n">
        <f aca="false">cleaned_data!E202</f>
        <v>22312.93</v>
      </c>
      <c r="F202" s="0" t="n">
        <f aca="false">cleaned_data!F202</f>
        <v>5955</v>
      </c>
      <c r="G202" s="0" t="n">
        <f aca="false">cleaned_data!G202</f>
        <v>0.123</v>
      </c>
      <c r="H202" s="0" t="n">
        <f aca="false">cleaned_data!H202</f>
        <v>13</v>
      </c>
      <c r="I202" s="0" t="n">
        <f aca="false">cleaned_data!I202</f>
        <v>84.2</v>
      </c>
      <c r="J202" s="0" t="n">
        <f aca="false">cleaned_data!J202</f>
        <v>0.41</v>
      </c>
      <c r="K202" s="0" t="n">
        <f aca="false">cleaned_data!K202</f>
        <v>1</v>
      </c>
      <c r="L202" s="0" t="n">
        <f aca="false">cleaned_data!L202</f>
        <v>4.6</v>
      </c>
      <c r="M202" s="0" t="n">
        <f aca="false">cleaned_data!M202</f>
        <v>598904.9</v>
      </c>
      <c r="N202" s="0" t="n">
        <f aca="false">cleaned_data!N202</f>
        <v>72861</v>
      </c>
      <c r="O202" s="0" t="n">
        <f aca="false">IF(cleaned_data!C202="North",1,0)</f>
        <v>0</v>
      </c>
      <c r="P202" s="0" t="n">
        <f aca="false">IF(cleaned_data!C202="South",1,0)</f>
        <v>0</v>
      </c>
      <c r="Q202" s="0" t="n">
        <f aca="false">IF(cleaned_data!C202="West",1,0)</f>
        <v>0</v>
      </c>
      <c r="R202" s="0" t="n">
        <f aca="false">IF(cleaned_data!D202="Airport",1,0)</f>
        <v>1</v>
      </c>
      <c r="S202" s="0" t="n">
        <f aca="false">IF(cleaned_data!D202="Mall",1,0)</f>
        <v>0</v>
      </c>
      <c r="T202" s="0" t="n">
        <f aca="false">IF(cleaned_data!D202="Residential",1,0)</f>
        <v>0</v>
      </c>
    </row>
    <row r="203" customFormat="false" ht="15" hidden="false" customHeight="false" outlineLevel="0" collapsed="false">
      <c r="A203" s="0" t="str">
        <f aca="false">cleaned_data!A203</f>
        <v>STR-1051</v>
      </c>
      <c r="B203" s="0" t="str">
        <f aca="false">cleaned_data!B203</f>
        <v>2025-02-01</v>
      </c>
      <c r="C203" s="0" t="str">
        <f aca="false">cleaned_data!C203</f>
        <v>East</v>
      </c>
      <c r="D203" s="0" t="str">
        <f aca="false">cleaned_data!D203</f>
        <v>Airport</v>
      </c>
      <c r="E203" s="0" t="n">
        <f aca="false">cleaned_data!E203</f>
        <v>78111.97</v>
      </c>
      <c r="F203" s="0" t="n">
        <f aca="false">cleaned_data!F203</f>
        <v>6389</v>
      </c>
      <c r="G203" s="0" t="n">
        <f aca="false">cleaned_data!G203</f>
        <v>0.15</v>
      </c>
      <c r="H203" s="0" t="n">
        <f aca="false">cleaned_data!H203</f>
        <v>13</v>
      </c>
      <c r="I203" s="0" t="n">
        <f aca="false">cleaned_data!I203</f>
        <v>83.9</v>
      </c>
      <c r="J203" s="0" t="n">
        <f aca="false">cleaned_data!J203</f>
        <v>3.05</v>
      </c>
      <c r="K203" s="0" t="n">
        <f aca="false">cleaned_data!K203</f>
        <v>0</v>
      </c>
      <c r="L203" s="0" t="n">
        <f aca="false">cleaned_data!L203</f>
        <v>4.8</v>
      </c>
      <c r="M203" s="0" t="n">
        <f aca="false">cleaned_data!M203</f>
        <v>787715.51</v>
      </c>
      <c r="N203" s="0" t="n">
        <f aca="false">cleaned_data!N203</f>
        <v>128969.62</v>
      </c>
      <c r="O203" s="0" t="n">
        <f aca="false">IF(cleaned_data!C203="North",1,0)</f>
        <v>0</v>
      </c>
      <c r="P203" s="0" t="n">
        <f aca="false">IF(cleaned_data!C203="South",1,0)</f>
        <v>0</v>
      </c>
      <c r="Q203" s="0" t="n">
        <f aca="false">IF(cleaned_data!C203="West",1,0)</f>
        <v>0</v>
      </c>
      <c r="R203" s="0" t="n">
        <f aca="false">IF(cleaned_data!D203="Airport",1,0)</f>
        <v>1</v>
      </c>
      <c r="S203" s="0" t="n">
        <f aca="false">IF(cleaned_data!D203="Mall",1,0)</f>
        <v>0</v>
      </c>
      <c r="T203" s="0" t="n">
        <f aca="false">IF(cleaned_data!D203="Residential",1,0)</f>
        <v>0</v>
      </c>
    </row>
    <row r="204" customFormat="false" ht="15" hidden="false" customHeight="false" outlineLevel="0" collapsed="false">
      <c r="A204" s="0" t="str">
        <f aca="false">cleaned_data!A204</f>
        <v>STR-1051</v>
      </c>
      <c r="B204" s="0" t="str">
        <f aca="false">cleaned_data!B204</f>
        <v>2025-03-01</v>
      </c>
      <c r="C204" s="0" t="str">
        <f aca="false">cleaned_data!C204</f>
        <v>East</v>
      </c>
      <c r="D204" s="0" t="str">
        <f aca="false">cleaned_data!D204</f>
        <v>Airport</v>
      </c>
      <c r="E204" s="0" t="n">
        <f aca="false">cleaned_data!E204</f>
        <v>35203.23</v>
      </c>
      <c r="F204" s="0" t="n">
        <f aca="false">cleaned_data!F204</f>
        <v>6896</v>
      </c>
      <c r="G204" s="0" t="n">
        <f aca="false">cleaned_data!G204</f>
        <v>0.032</v>
      </c>
      <c r="H204" s="0" t="n">
        <f aca="false">cleaned_data!H204</f>
        <v>14</v>
      </c>
      <c r="I204" s="0" t="n">
        <f aca="false">cleaned_data!I204</f>
        <v>80.8</v>
      </c>
      <c r="J204" s="0" t="n">
        <f aca="false">cleaned_data!J204</f>
        <v>8.44</v>
      </c>
      <c r="K204" s="0" t="n">
        <f aca="false">cleaned_data!K204</f>
        <v>1</v>
      </c>
      <c r="L204" s="0" t="n">
        <f aca="false">cleaned_data!L204</f>
        <v>5</v>
      </c>
      <c r="M204" s="0" t="n">
        <f aca="false">cleaned_data!M204</f>
        <v>607084.92</v>
      </c>
      <c r="N204" s="0" t="n">
        <f aca="false">cleaned_data!N204</f>
        <v>98558.49</v>
      </c>
      <c r="O204" s="0" t="n">
        <f aca="false">IF(cleaned_data!C204="North",1,0)</f>
        <v>0</v>
      </c>
      <c r="P204" s="0" t="n">
        <f aca="false">IF(cleaned_data!C204="South",1,0)</f>
        <v>0</v>
      </c>
      <c r="Q204" s="0" t="n">
        <f aca="false">IF(cleaned_data!C204="West",1,0)</f>
        <v>0</v>
      </c>
      <c r="R204" s="0" t="n">
        <f aca="false">IF(cleaned_data!D204="Airport",1,0)</f>
        <v>1</v>
      </c>
      <c r="S204" s="0" t="n">
        <f aca="false">IF(cleaned_data!D204="Mall",1,0)</f>
        <v>0</v>
      </c>
      <c r="T204" s="0" t="n">
        <f aca="false">IF(cleaned_data!D204="Residential",1,0)</f>
        <v>0</v>
      </c>
    </row>
    <row r="205" customFormat="false" ht="15" hidden="false" customHeight="false" outlineLevel="0" collapsed="false">
      <c r="A205" s="0" t="str">
        <f aca="false">cleaned_data!A205</f>
        <v>STR-1051</v>
      </c>
      <c r="B205" s="0" t="str">
        <f aca="false">cleaned_data!B205</f>
        <v>2025-04-01</v>
      </c>
      <c r="C205" s="0" t="str">
        <f aca="false">cleaned_data!C205</f>
        <v>East</v>
      </c>
      <c r="D205" s="0" t="str">
        <f aca="false">cleaned_data!D205</f>
        <v>Airport</v>
      </c>
      <c r="E205" s="0" t="n">
        <f aca="false">cleaned_data!E205</f>
        <v>64104.28</v>
      </c>
      <c r="F205" s="0" t="n">
        <f aca="false">cleaned_data!F205</f>
        <v>6015</v>
      </c>
      <c r="G205" s="0" t="n">
        <f aca="false">cleaned_data!G205</f>
        <v>0.127</v>
      </c>
      <c r="H205" s="0" t="n">
        <f aca="false">cleaned_data!H205</f>
        <v>15</v>
      </c>
      <c r="I205" s="0" t="n">
        <f aca="false">cleaned_data!I205</f>
        <v>88.7</v>
      </c>
      <c r="J205" s="0" t="n">
        <f aca="false">cleaned_data!J205</f>
        <v>0.78</v>
      </c>
      <c r="K205" s="0" t="n">
        <f aca="false">cleaned_data!K205</f>
        <v>0</v>
      </c>
      <c r="L205" s="0" t="n">
        <f aca="false">cleaned_data!L205</f>
        <v>4</v>
      </c>
      <c r="M205" s="0" t="n">
        <f aca="false">cleaned_data!M205</f>
        <v>650795.49</v>
      </c>
      <c r="N205" s="0" t="n">
        <f aca="false">cleaned_data!N205</f>
        <v>103035.89</v>
      </c>
      <c r="O205" s="0" t="n">
        <f aca="false">IF(cleaned_data!C205="North",1,0)</f>
        <v>0</v>
      </c>
      <c r="P205" s="0" t="n">
        <f aca="false">IF(cleaned_data!C205="South",1,0)</f>
        <v>0</v>
      </c>
      <c r="Q205" s="0" t="n">
        <f aca="false">IF(cleaned_data!C205="West",1,0)</f>
        <v>0</v>
      </c>
      <c r="R205" s="0" t="n">
        <f aca="false">IF(cleaned_data!D205="Airport",1,0)</f>
        <v>1</v>
      </c>
      <c r="S205" s="0" t="n">
        <f aca="false">IF(cleaned_data!D205="Mall",1,0)</f>
        <v>0</v>
      </c>
      <c r="T205" s="0" t="n">
        <f aca="false">IF(cleaned_data!D205="Residential",1,0)</f>
        <v>0</v>
      </c>
    </row>
    <row r="206" customFormat="false" ht="15" hidden="false" customHeight="false" outlineLevel="0" collapsed="false">
      <c r="A206" s="0" t="str">
        <f aca="false">cleaned_data!A206</f>
        <v>STR-1052</v>
      </c>
      <c r="B206" s="0" t="str">
        <f aca="false">cleaned_data!B206</f>
        <v>2025-01-01</v>
      </c>
      <c r="C206" s="0" t="str">
        <f aca="false">cleaned_data!C206</f>
        <v>East</v>
      </c>
      <c r="D206" s="0" t="str">
        <f aca="false">cleaned_data!D206</f>
        <v>Mall</v>
      </c>
      <c r="E206" s="0" t="n">
        <f aca="false">cleaned_data!E206</f>
        <v>92090.14</v>
      </c>
      <c r="F206" s="0" t="n">
        <f aca="false">cleaned_data!F206</f>
        <v>9476</v>
      </c>
      <c r="G206" s="0" t="n">
        <f aca="false">cleaned_data!G206</f>
        <v>0.07</v>
      </c>
      <c r="H206" s="0" t="n">
        <f aca="false">cleaned_data!H206</f>
        <v>24</v>
      </c>
      <c r="I206" s="0" t="n">
        <f aca="false">cleaned_data!I206</f>
        <v>94.3</v>
      </c>
      <c r="J206" s="0" t="n">
        <f aca="false">cleaned_data!J206</f>
        <v>0.87</v>
      </c>
      <c r="K206" s="0" t="n">
        <f aca="false">cleaned_data!K206</f>
        <v>0</v>
      </c>
      <c r="L206" s="0" t="n">
        <f aca="false">cleaned_data!L206</f>
        <v>3.7</v>
      </c>
      <c r="M206" s="0" t="n">
        <f aca="false">cleaned_data!M206</f>
        <v>825060.52</v>
      </c>
      <c r="N206" s="0" t="n">
        <f aca="false">cleaned_data!N206</f>
        <v>143613.15</v>
      </c>
      <c r="O206" s="0" t="n">
        <f aca="false">IF(cleaned_data!C206="North",1,0)</f>
        <v>0</v>
      </c>
      <c r="P206" s="0" t="n">
        <f aca="false">IF(cleaned_data!C206="South",1,0)</f>
        <v>0</v>
      </c>
      <c r="Q206" s="0" t="n">
        <f aca="false">IF(cleaned_data!C206="West",1,0)</f>
        <v>0</v>
      </c>
      <c r="R206" s="0" t="n">
        <f aca="false">IF(cleaned_data!D206="Airport",1,0)</f>
        <v>0</v>
      </c>
      <c r="S206" s="0" t="n">
        <f aca="false">IF(cleaned_data!D206="Mall",1,0)</f>
        <v>1</v>
      </c>
      <c r="T206" s="0" t="n">
        <f aca="false">IF(cleaned_data!D206="Residential",1,0)</f>
        <v>0</v>
      </c>
    </row>
    <row r="207" customFormat="false" ht="15" hidden="false" customHeight="false" outlineLevel="0" collapsed="false">
      <c r="A207" s="0" t="str">
        <f aca="false">cleaned_data!A207</f>
        <v>STR-1052</v>
      </c>
      <c r="B207" s="0" t="str">
        <f aca="false">cleaned_data!B207</f>
        <v>2025-02-01</v>
      </c>
      <c r="C207" s="0" t="str">
        <f aca="false">cleaned_data!C207</f>
        <v>East</v>
      </c>
      <c r="D207" s="0" t="str">
        <f aca="false">cleaned_data!D207</f>
        <v>Mall</v>
      </c>
      <c r="E207" s="0" t="n">
        <f aca="false">cleaned_data!E207</f>
        <v>54300.87</v>
      </c>
      <c r="F207" s="0" t="n">
        <f aca="false">cleaned_data!F207</f>
        <v>7875</v>
      </c>
      <c r="G207" s="0" t="n">
        <f aca="false">cleaned_data!G207</f>
        <v>0.107</v>
      </c>
      <c r="H207" s="0" t="n">
        <f aca="false">cleaned_data!H207</f>
        <v>19</v>
      </c>
      <c r="I207" s="0" t="n">
        <f aca="false">cleaned_data!I207</f>
        <v>94.1</v>
      </c>
      <c r="J207" s="0" t="n">
        <f aca="false">cleaned_data!J207</f>
        <v>0.95</v>
      </c>
      <c r="K207" s="0" t="n">
        <f aca="false">cleaned_data!K207</f>
        <v>0</v>
      </c>
      <c r="L207" s="0" t="n">
        <f aca="false">cleaned_data!L207</f>
        <v>3.7</v>
      </c>
      <c r="M207" s="0" t="n">
        <f aca="false">cleaned_data!M207</f>
        <v>795464.47</v>
      </c>
      <c r="N207" s="0" t="n">
        <f aca="false">cleaned_data!N207</f>
        <v>161150.52</v>
      </c>
      <c r="O207" s="0" t="n">
        <f aca="false">IF(cleaned_data!C207="North",1,0)</f>
        <v>0</v>
      </c>
      <c r="P207" s="0" t="n">
        <f aca="false">IF(cleaned_data!C207="South",1,0)</f>
        <v>0</v>
      </c>
      <c r="Q207" s="0" t="n">
        <f aca="false">IF(cleaned_data!C207="West",1,0)</f>
        <v>0</v>
      </c>
      <c r="R207" s="0" t="n">
        <f aca="false">IF(cleaned_data!D207="Airport",1,0)</f>
        <v>0</v>
      </c>
      <c r="S207" s="0" t="n">
        <f aca="false">IF(cleaned_data!D207="Mall",1,0)</f>
        <v>1</v>
      </c>
      <c r="T207" s="0" t="n">
        <f aca="false">IF(cleaned_data!D207="Residential",1,0)</f>
        <v>0</v>
      </c>
    </row>
    <row r="208" customFormat="false" ht="15" hidden="false" customHeight="false" outlineLevel="0" collapsed="false">
      <c r="A208" s="0" t="str">
        <f aca="false">cleaned_data!A208</f>
        <v>STR-1052</v>
      </c>
      <c r="B208" s="0" t="str">
        <f aca="false">cleaned_data!B208</f>
        <v>2025-03-01</v>
      </c>
      <c r="C208" s="0" t="str">
        <f aca="false">cleaned_data!C208</f>
        <v>East</v>
      </c>
      <c r="D208" s="0" t="str">
        <f aca="false">cleaned_data!D208</f>
        <v>Mall</v>
      </c>
      <c r="E208" s="0" t="n">
        <f aca="false">cleaned_data!E208</f>
        <v>37983.35</v>
      </c>
      <c r="F208" s="0" t="n">
        <f aca="false">cleaned_data!F208</f>
        <v>9283</v>
      </c>
      <c r="G208" s="0" t="n">
        <f aca="false">cleaned_data!G208</f>
        <v>0.149</v>
      </c>
      <c r="H208" s="0" t="n">
        <f aca="false">cleaned_data!H208</f>
        <v>19</v>
      </c>
      <c r="I208" s="0" t="n">
        <f aca="false">cleaned_data!I208</f>
        <v>83.2</v>
      </c>
      <c r="J208" s="0" t="n">
        <f aca="false">cleaned_data!J208</f>
        <v>3.82</v>
      </c>
      <c r="K208" s="0" t="n">
        <f aca="false">cleaned_data!K208</f>
        <v>0</v>
      </c>
      <c r="L208" s="0" t="n">
        <f aca="false">cleaned_data!L208</f>
        <v>3.7</v>
      </c>
      <c r="M208" s="0" t="n">
        <f aca="false">cleaned_data!M208</f>
        <v>671868.59</v>
      </c>
      <c r="N208" s="0" t="n">
        <f aca="false">cleaned_data!N208</f>
        <v>71003.28</v>
      </c>
      <c r="O208" s="0" t="n">
        <f aca="false">IF(cleaned_data!C208="North",1,0)</f>
        <v>0</v>
      </c>
      <c r="P208" s="0" t="n">
        <f aca="false">IF(cleaned_data!C208="South",1,0)</f>
        <v>0</v>
      </c>
      <c r="Q208" s="0" t="n">
        <f aca="false">IF(cleaned_data!C208="West",1,0)</f>
        <v>0</v>
      </c>
      <c r="R208" s="0" t="n">
        <f aca="false">IF(cleaned_data!D208="Airport",1,0)</f>
        <v>0</v>
      </c>
      <c r="S208" s="0" t="n">
        <f aca="false">IF(cleaned_data!D208="Mall",1,0)</f>
        <v>1</v>
      </c>
      <c r="T208" s="0" t="n">
        <f aca="false">IF(cleaned_data!D208="Residential",1,0)</f>
        <v>0</v>
      </c>
    </row>
    <row r="209" customFormat="false" ht="15" hidden="false" customHeight="false" outlineLevel="0" collapsed="false">
      <c r="A209" s="0" t="str">
        <f aca="false">cleaned_data!A209</f>
        <v>STR-1052</v>
      </c>
      <c r="B209" s="0" t="str">
        <f aca="false">cleaned_data!B209</f>
        <v>2025-04-01</v>
      </c>
      <c r="C209" s="0" t="str">
        <f aca="false">cleaned_data!C209</f>
        <v>East</v>
      </c>
      <c r="D209" s="0" t="str">
        <f aca="false">cleaned_data!D209</f>
        <v>Mall</v>
      </c>
      <c r="E209" s="0" t="n">
        <f aca="false">cleaned_data!E209</f>
        <v>56413.83</v>
      </c>
      <c r="F209" s="0" t="n">
        <f aca="false">cleaned_data!F209</f>
        <v>8303</v>
      </c>
      <c r="G209" s="0" t="n">
        <f aca="false">cleaned_data!G209</f>
        <v>0.116</v>
      </c>
      <c r="H209" s="0" t="n">
        <f aca="false">cleaned_data!H209</f>
        <v>18</v>
      </c>
      <c r="I209" s="0" t="n">
        <f aca="false">cleaned_data!I209</f>
        <v>93.6</v>
      </c>
      <c r="J209" s="0" t="n">
        <f aca="false">cleaned_data!J209</f>
        <v>2.7</v>
      </c>
      <c r="K209" s="0" t="n">
        <f aca="false">cleaned_data!K209</f>
        <v>0</v>
      </c>
      <c r="L209" s="0" t="n">
        <f aca="false">cleaned_data!L209</f>
        <v>3.7</v>
      </c>
      <c r="M209" s="0" t="n">
        <f aca="false">cleaned_data!M209</f>
        <v>675917.63</v>
      </c>
      <c r="N209" s="0" t="n">
        <f aca="false">cleaned_data!N209</f>
        <v>112564.75</v>
      </c>
      <c r="O209" s="0" t="n">
        <f aca="false">IF(cleaned_data!C209="North",1,0)</f>
        <v>0</v>
      </c>
      <c r="P209" s="0" t="n">
        <f aca="false">IF(cleaned_data!C209="South",1,0)</f>
        <v>0</v>
      </c>
      <c r="Q209" s="0" t="n">
        <f aca="false">IF(cleaned_data!C209="West",1,0)</f>
        <v>0</v>
      </c>
      <c r="R209" s="0" t="n">
        <f aca="false">IF(cleaned_data!D209="Airport",1,0)</f>
        <v>0</v>
      </c>
      <c r="S209" s="0" t="n">
        <f aca="false">IF(cleaned_data!D209="Mall",1,0)</f>
        <v>1</v>
      </c>
      <c r="T209" s="0" t="n">
        <f aca="false">IF(cleaned_data!D209="Residential",1,0)</f>
        <v>0</v>
      </c>
    </row>
    <row r="210" customFormat="false" ht="15" hidden="false" customHeight="false" outlineLevel="0" collapsed="false">
      <c r="A210" s="0" t="str">
        <f aca="false">cleaned_data!A210</f>
        <v>STR-1053</v>
      </c>
      <c r="B210" s="0" t="str">
        <f aca="false">cleaned_data!B210</f>
        <v>2025-01-01</v>
      </c>
      <c r="C210" s="0" t="str">
        <f aca="false">cleaned_data!C210</f>
        <v>East</v>
      </c>
      <c r="D210" s="0" t="str">
        <f aca="false">cleaned_data!D210</f>
        <v>High Street</v>
      </c>
      <c r="E210" s="0" t="n">
        <f aca="false">cleaned_data!E210</f>
        <v>63457.19</v>
      </c>
      <c r="F210" s="0" t="n">
        <f aca="false">cleaned_data!F210</f>
        <v>10125</v>
      </c>
      <c r="G210" s="0" t="n">
        <f aca="false">cleaned_data!G210</f>
        <v>0.097</v>
      </c>
      <c r="H210" s="0" t="n">
        <f aca="false">cleaned_data!H210</f>
        <v>24</v>
      </c>
      <c r="I210" s="0" t="n">
        <f aca="false">cleaned_data!I210</f>
        <v>87</v>
      </c>
      <c r="J210" s="0" t="n">
        <f aca="false">cleaned_data!J210</f>
        <v>3.84</v>
      </c>
      <c r="K210" s="0" t="n">
        <f aca="false">cleaned_data!K210</f>
        <v>1</v>
      </c>
      <c r="L210" s="0" t="n">
        <f aca="false">cleaned_data!L210</f>
        <v>3.7</v>
      </c>
      <c r="M210" s="0" t="n">
        <f aca="false">cleaned_data!M210</f>
        <v>810446.53</v>
      </c>
      <c r="N210" s="0" t="n">
        <f aca="false">cleaned_data!N210</f>
        <v>200575.34</v>
      </c>
      <c r="O210" s="0" t="n">
        <f aca="false">IF(cleaned_data!C210="North",1,0)</f>
        <v>0</v>
      </c>
      <c r="P210" s="0" t="n">
        <f aca="false">IF(cleaned_data!C210="South",1,0)</f>
        <v>0</v>
      </c>
      <c r="Q210" s="0" t="n">
        <f aca="false">IF(cleaned_data!C210="West",1,0)</f>
        <v>0</v>
      </c>
      <c r="R210" s="0" t="n">
        <f aca="false">IF(cleaned_data!D210="Airport",1,0)</f>
        <v>0</v>
      </c>
      <c r="S210" s="0" t="n">
        <f aca="false">IF(cleaned_data!D210="Mall",1,0)</f>
        <v>0</v>
      </c>
      <c r="T210" s="0" t="n">
        <f aca="false">IF(cleaned_data!D210="Residential",1,0)</f>
        <v>0</v>
      </c>
    </row>
    <row r="211" customFormat="false" ht="15" hidden="false" customHeight="false" outlineLevel="0" collapsed="false">
      <c r="A211" s="0" t="str">
        <f aca="false">cleaned_data!A211</f>
        <v>STR-1053</v>
      </c>
      <c r="B211" s="0" t="str">
        <f aca="false">cleaned_data!B211</f>
        <v>2025-02-01</v>
      </c>
      <c r="C211" s="0" t="str">
        <f aca="false">cleaned_data!C211</f>
        <v>East</v>
      </c>
      <c r="D211" s="0" t="str">
        <f aca="false">cleaned_data!D211</f>
        <v>High Street</v>
      </c>
      <c r="E211" s="0" t="n">
        <f aca="false">cleaned_data!E211</f>
        <v>62949.7</v>
      </c>
      <c r="F211" s="0" t="n">
        <f aca="false">cleaned_data!F211</f>
        <v>9458</v>
      </c>
      <c r="G211" s="0" t="n">
        <f aca="false">cleaned_data!G211</f>
        <v>0.171</v>
      </c>
      <c r="H211" s="0" t="n">
        <f aca="false">cleaned_data!H211</f>
        <v>19</v>
      </c>
      <c r="I211" s="0" t="n">
        <f aca="false">cleaned_data!I211</f>
        <v>84.9</v>
      </c>
      <c r="J211" s="0" t="n">
        <f aca="false">cleaned_data!J211</f>
        <v>5.09</v>
      </c>
      <c r="K211" s="0" t="n">
        <f aca="false">cleaned_data!K211</f>
        <v>0</v>
      </c>
      <c r="L211" s="0" t="n">
        <f aca="false">cleaned_data!L211</f>
        <v>3.3</v>
      </c>
      <c r="M211" s="0" t="n">
        <f aca="false">cleaned_data!M211</f>
        <v>691288.19</v>
      </c>
      <c r="N211" s="0" t="n">
        <f aca="false">cleaned_data!N211</f>
        <v>159074.14</v>
      </c>
      <c r="O211" s="0" t="n">
        <f aca="false">IF(cleaned_data!C211="North",1,0)</f>
        <v>0</v>
      </c>
      <c r="P211" s="0" t="n">
        <f aca="false">IF(cleaned_data!C211="South",1,0)</f>
        <v>0</v>
      </c>
      <c r="Q211" s="0" t="n">
        <f aca="false">IF(cleaned_data!C211="West",1,0)</f>
        <v>0</v>
      </c>
      <c r="R211" s="0" t="n">
        <f aca="false">IF(cleaned_data!D211="Airport",1,0)</f>
        <v>0</v>
      </c>
      <c r="S211" s="0" t="n">
        <f aca="false">IF(cleaned_data!D211="Mall",1,0)</f>
        <v>0</v>
      </c>
      <c r="T211" s="0" t="n">
        <f aca="false">IF(cleaned_data!D211="Residential",1,0)</f>
        <v>0</v>
      </c>
    </row>
    <row r="212" customFormat="false" ht="15" hidden="false" customHeight="false" outlineLevel="0" collapsed="false">
      <c r="A212" s="0" t="str">
        <f aca="false">cleaned_data!A212</f>
        <v>STR-1053</v>
      </c>
      <c r="B212" s="0" t="str">
        <f aca="false">cleaned_data!B212</f>
        <v>2025-03-01</v>
      </c>
      <c r="C212" s="0" t="str">
        <f aca="false">cleaned_data!C212</f>
        <v>East</v>
      </c>
      <c r="D212" s="0" t="str">
        <f aca="false">cleaned_data!D212</f>
        <v>High Street</v>
      </c>
      <c r="E212" s="0" t="n">
        <f aca="false">cleaned_data!E212</f>
        <v>107970.19</v>
      </c>
      <c r="F212" s="0" t="n">
        <f aca="false">cleaned_data!F212</f>
        <v>12870</v>
      </c>
      <c r="G212" s="0" t="n">
        <f aca="false">cleaned_data!G212</f>
        <v>0.029</v>
      </c>
      <c r="H212" s="0" t="n">
        <f aca="false">cleaned_data!H212</f>
        <v>31</v>
      </c>
      <c r="I212" s="0" t="n">
        <f aca="false">cleaned_data!I212</f>
        <v>91.7</v>
      </c>
      <c r="J212" s="0" t="n">
        <f aca="false">cleaned_data!J212</f>
        <v>3.82</v>
      </c>
      <c r="K212" s="0" t="n">
        <f aca="false">cleaned_data!K212</f>
        <v>1</v>
      </c>
      <c r="L212" s="0" t="n">
        <f aca="false">cleaned_data!L212</f>
        <v>3.7</v>
      </c>
      <c r="M212" s="0" t="n">
        <f aca="false">cleaned_data!M212</f>
        <v>946833.54</v>
      </c>
      <c r="N212" s="0" t="n">
        <f aca="false">cleaned_data!N212</f>
        <v>184540.31</v>
      </c>
      <c r="O212" s="0" t="n">
        <f aca="false">IF(cleaned_data!C212="North",1,0)</f>
        <v>0</v>
      </c>
      <c r="P212" s="0" t="n">
        <f aca="false">IF(cleaned_data!C212="South",1,0)</f>
        <v>0</v>
      </c>
      <c r="Q212" s="0" t="n">
        <f aca="false">IF(cleaned_data!C212="West",1,0)</f>
        <v>0</v>
      </c>
      <c r="R212" s="0" t="n">
        <f aca="false">IF(cleaned_data!D212="Airport",1,0)</f>
        <v>0</v>
      </c>
      <c r="S212" s="0" t="n">
        <f aca="false">IF(cleaned_data!D212="Mall",1,0)</f>
        <v>0</v>
      </c>
      <c r="T212" s="0" t="n">
        <f aca="false">IF(cleaned_data!D212="Residential",1,0)</f>
        <v>0</v>
      </c>
    </row>
    <row r="213" customFormat="false" ht="15" hidden="false" customHeight="false" outlineLevel="0" collapsed="false">
      <c r="A213" s="0" t="str">
        <f aca="false">cleaned_data!A213</f>
        <v>STR-1053</v>
      </c>
      <c r="B213" s="0" t="str">
        <f aca="false">cleaned_data!B213</f>
        <v>2025-04-01</v>
      </c>
      <c r="C213" s="0" t="str">
        <f aca="false">cleaned_data!C213</f>
        <v>East</v>
      </c>
      <c r="D213" s="0" t="str">
        <f aca="false">cleaned_data!D213</f>
        <v>High Street</v>
      </c>
      <c r="E213" s="0" t="n">
        <f aca="false">cleaned_data!E213</f>
        <v>49405.75</v>
      </c>
      <c r="F213" s="0" t="n">
        <f aca="false">cleaned_data!F213</f>
        <v>9752</v>
      </c>
      <c r="G213" s="0" t="n">
        <f aca="false">cleaned_data!G213</f>
        <v>0.093</v>
      </c>
      <c r="H213" s="0" t="n">
        <f aca="false">cleaned_data!H213</f>
        <v>21</v>
      </c>
      <c r="I213" s="0" t="n">
        <f aca="false">cleaned_data!I213</f>
        <v>87</v>
      </c>
      <c r="J213" s="0" t="n">
        <f aca="false">cleaned_data!J213</f>
        <v>12.28</v>
      </c>
      <c r="K213" s="0" t="n">
        <f aca="false">cleaned_data!K213</f>
        <v>0</v>
      </c>
      <c r="L213" s="0" t="n">
        <f aca="false">cleaned_data!L213</f>
        <v>4.1</v>
      </c>
      <c r="M213" s="0" t="n">
        <f aca="false">cleaned_data!M213</f>
        <v>761963.23</v>
      </c>
      <c r="N213" s="0" t="n">
        <f aca="false">cleaned_data!N213</f>
        <v>150113.61</v>
      </c>
      <c r="O213" s="0" t="n">
        <f aca="false">IF(cleaned_data!C213="North",1,0)</f>
        <v>0</v>
      </c>
      <c r="P213" s="0" t="n">
        <f aca="false">IF(cleaned_data!C213="South",1,0)</f>
        <v>0</v>
      </c>
      <c r="Q213" s="0" t="n">
        <f aca="false">IF(cleaned_data!C213="West",1,0)</f>
        <v>0</v>
      </c>
      <c r="R213" s="0" t="n">
        <f aca="false">IF(cleaned_data!D213="Airport",1,0)</f>
        <v>0</v>
      </c>
      <c r="S213" s="0" t="n">
        <f aca="false">IF(cleaned_data!D213="Mall",1,0)</f>
        <v>0</v>
      </c>
      <c r="T213" s="0" t="n">
        <f aca="false">IF(cleaned_data!D213="Residential",1,0)</f>
        <v>0</v>
      </c>
    </row>
    <row r="214" customFormat="false" ht="15" hidden="false" customHeight="false" outlineLevel="0" collapsed="false">
      <c r="A214" s="0" t="str">
        <f aca="false">cleaned_data!A214</f>
        <v>STR-1054</v>
      </c>
      <c r="B214" s="0" t="str">
        <f aca="false">cleaned_data!B214</f>
        <v>2025-01-01</v>
      </c>
      <c r="C214" s="0" t="str">
        <f aca="false">cleaned_data!C214</f>
        <v>West</v>
      </c>
      <c r="D214" s="0" t="str">
        <f aca="false">cleaned_data!D214</f>
        <v>Residential</v>
      </c>
      <c r="E214" s="0" t="n">
        <f aca="false">cleaned_data!E214</f>
        <v>50887.46</v>
      </c>
      <c r="F214" s="0" t="n">
        <f aca="false">cleaned_data!F214</f>
        <v>9505</v>
      </c>
      <c r="G214" s="0" t="n">
        <f aca="false">cleaned_data!G214</f>
        <v>0.091</v>
      </c>
      <c r="H214" s="0" t="n">
        <f aca="false">cleaned_data!H214</f>
        <v>25</v>
      </c>
      <c r="I214" s="0" t="n">
        <f aca="false">cleaned_data!I214</f>
        <v>89.7</v>
      </c>
      <c r="J214" s="0" t="n">
        <f aca="false">cleaned_data!J214</f>
        <v>2.8</v>
      </c>
      <c r="K214" s="0" t="n">
        <f aca="false">cleaned_data!K214</f>
        <v>0</v>
      </c>
      <c r="L214" s="0" t="n">
        <f aca="false">cleaned_data!L214</f>
        <v>4.3</v>
      </c>
      <c r="M214" s="0" t="n">
        <f aca="false">cleaned_data!M214</f>
        <v>812152.6</v>
      </c>
      <c r="N214" s="0" t="n">
        <f aca="false">cleaned_data!N214</f>
        <v>138419.43</v>
      </c>
      <c r="O214" s="0" t="n">
        <f aca="false">IF(cleaned_data!C214="North",1,0)</f>
        <v>0</v>
      </c>
      <c r="P214" s="0" t="n">
        <f aca="false">IF(cleaned_data!C214="South",1,0)</f>
        <v>0</v>
      </c>
      <c r="Q214" s="0" t="n">
        <f aca="false">IF(cleaned_data!C214="West",1,0)</f>
        <v>1</v>
      </c>
      <c r="R214" s="0" t="n">
        <f aca="false">IF(cleaned_data!D214="Airport",1,0)</f>
        <v>0</v>
      </c>
      <c r="S214" s="0" t="n">
        <f aca="false">IF(cleaned_data!D214="Mall",1,0)</f>
        <v>0</v>
      </c>
      <c r="T214" s="0" t="n">
        <f aca="false">IF(cleaned_data!D214="Residential",1,0)</f>
        <v>1</v>
      </c>
    </row>
    <row r="215" customFormat="false" ht="15" hidden="false" customHeight="false" outlineLevel="0" collapsed="false">
      <c r="A215" s="0" t="str">
        <f aca="false">cleaned_data!A215</f>
        <v>STR-1054</v>
      </c>
      <c r="B215" s="0" t="str">
        <f aca="false">cleaned_data!B215</f>
        <v>2025-02-01</v>
      </c>
      <c r="C215" s="0" t="str">
        <f aca="false">cleaned_data!C215</f>
        <v>West</v>
      </c>
      <c r="D215" s="0" t="str">
        <f aca="false">cleaned_data!D215</f>
        <v>Residential</v>
      </c>
      <c r="E215" s="0" t="n">
        <f aca="false">cleaned_data!E215</f>
        <v>41819.45</v>
      </c>
      <c r="F215" s="0" t="n">
        <f aca="false">cleaned_data!F215</f>
        <v>9412</v>
      </c>
      <c r="G215" s="0" t="n">
        <f aca="false">cleaned_data!G215</f>
        <v>0.15</v>
      </c>
      <c r="H215" s="0" t="n">
        <f aca="false">cleaned_data!H215</f>
        <v>22</v>
      </c>
      <c r="I215" s="0" t="n">
        <f aca="false">cleaned_data!I215</f>
        <v>91</v>
      </c>
      <c r="J215" s="0" t="n">
        <f aca="false">cleaned_data!J215</f>
        <v>3.67</v>
      </c>
      <c r="K215" s="0" t="n">
        <f aca="false">cleaned_data!K215</f>
        <v>0</v>
      </c>
      <c r="L215" s="0" t="n">
        <f aca="false">cleaned_data!L215</f>
        <v>4.2</v>
      </c>
      <c r="M215" s="0" t="n">
        <f aca="false">cleaned_data!M215</f>
        <v>804975.5</v>
      </c>
      <c r="N215" s="0" t="n">
        <f aca="false">cleaned_data!N215</f>
        <v>140054.5</v>
      </c>
      <c r="O215" s="0" t="n">
        <f aca="false">IF(cleaned_data!C215="North",1,0)</f>
        <v>0</v>
      </c>
      <c r="P215" s="0" t="n">
        <f aca="false">IF(cleaned_data!C215="South",1,0)</f>
        <v>0</v>
      </c>
      <c r="Q215" s="0" t="n">
        <f aca="false">IF(cleaned_data!C215="West",1,0)</f>
        <v>1</v>
      </c>
      <c r="R215" s="0" t="n">
        <f aca="false">IF(cleaned_data!D215="Airport",1,0)</f>
        <v>0</v>
      </c>
      <c r="S215" s="0" t="n">
        <f aca="false">IF(cleaned_data!D215="Mall",1,0)</f>
        <v>0</v>
      </c>
      <c r="T215" s="0" t="n">
        <f aca="false">IF(cleaned_data!D215="Residential",1,0)</f>
        <v>1</v>
      </c>
    </row>
    <row r="216" customFormat="false" ht="15" hidden="false" customHeight="false" outlineLevel="0" collapsed="false">
      <c r="A216" s="0" t="str">
        <f aca="false">cleaned_data!A216</f>
        <v>STR-1054</v>
      </c>
      <c r="B216" s="0" t="str">
        <f aca="false">cleaned_data!B216</f>
        <v>2025-03-01</v>
      </c>
      <c r="C216" s="0" t="str">
        <f aca="false">cleaned_data!C216</f>
        <v>West</v>
      </c>
      <c r="D216" s="0" t="str">
        <f aca="false">cleaned_data!D216</f>
        <v>Residential</v>
      </c>
      <c r="E216" s="0" t="n">
        <f aca="false">cleaned_data!E216</f>
        <v>35296.54</v>
      </c>
      <c r="F216" s="0" t="n">
        <f aca="false">cleaned_data!F216</f>
        <v>9644</v>
      </c>
      <c r="G216" s="0" t="n">
        <f aca="false">cleaned_data!G216</f>
        <v>0</v>
      </c>
      <c r="H216" s="0" t="n">
        <f aca="false">cleaned_data!H216</f>
        <v>22</v>
      </c>
      <c r="I216" s="0" t="n">
        <f aca="false">cleaned_data!I216</f>
        <v>88</v>
      </c>
      <c r="J216" s="0" t="n">
        <f aca="false">cleaned_data!J216</f>
        <v>2.81</v>
      </c>
      <c r="K216" s="0" t="n">
        <f aca="false">cleaned_data!K216</f>
        <v>0</v>
      </c>
      <c r="L216" s="0" t="n">
        <f aca="false">cleaned_data!L216</f>
        <v>4.7</v>
      </c>
      <c r="M216" s="0" t="n">
        <f aca="false">cleaned_data!M216</f>
        <v>752321.72</v>
      </c>
      <c r="N216" s="0" t="n">
        <f aca="false">cleaned_data!N216</f>
        <v>137788.51</v>
      </c>
      <c r="O216" s="0" t="n">
        <f aca="false">IF(cleaned_data!C216="North",1,0)</f>
        <v>0</v>
      </c>
      <c r="P216" s="0" t="n">
        <f aca="false">IF(cleaned_data!C216="South",1,0)</f>
        <v>0</v>
      </c>
      <c r="Q216" s="0" t="n">
        <f aca="false">IF(cleaned_data!C216="West",1,0)</f>
        <v>1</v>
      </c>
      <c r="R216" s="0" t="n">
        <f aca="false">IF(cleaned_data!D216="Airport",1,0)</f>
        <v>0</v>
      </c>
      <c r="S216" s="0" t="n">
        <f aca="false">IF(cleaned_data!D216="Mall",1,0)</f>
        <v>0</v>
      </c>
      <c r="T216" s="0" t="n">
        <f aca="false">IF(cleaned_data!D216="Residential",1,0)</f>
        <v>1</v>
      </c>
    </row>
    <row r="217" customFormat="false" ht="15" hidden="false" customHeight="false" outlineLevel="0" collapsed="false">
      <c r="A217" s="0" t="str">
        <f aca="false">cleaned_data!A217</f>
        <v>STR-1054</v>
      </c>
      <c r="B217" s="0" t="str">
        <f aca="false">cleaned_data!B217</f>
        <v>2025-04-01</v>
      </c>
      <c r="C217" s="0" t="str">
        <f aca="false">cleaned_data!C217</f>
        <v>West</v>
      </c>
      <c r="D217" s="0" t="str">
        <f aca="false">cleaned_data!D217</f>
        <v>Residential</v>
      </c>
      <c r="E217" s="0" t="n">
        <f aca="false">cleaned_data!E217</f>
        <v>47391.09</v>
      </c>
      <c r="F217" s="0" t="n">
        <f aca="false">cleaned_data!F217</f>
        <v>11224</v>
      </c>
      <c r="G217" s="0" t="n">
        <f aca="false">cleaned_data!G217</f>
        <v>0.147</v>
      </c>
      <c r="H217" s="0" t="n">
        <f aca="false">cleaned_data!H217</f>
        <v>25</v>
      </c>
      <c r="I217" s="0" t="n">
        <f aca="false">cleaned_data!I217</f>
        <v>88.4</v>
      </c>
      <c r="J217" s="0" t="n">
        <f aca="false">cleaned_data!J217</f>
        <v>2.44</v>
      </c>
      <c r="K217" s="0" t="n">
        <f aca="false">cleaned_data!K217</f>
        <v>0</v>
      </c>
      <c r="L217" s="0" t="n">
        <f aca="false">cleaned_data!L217</f>
        <v>4.9</v>
      </c>
      <c r="M217" s="0" t="n">
        <f aca="false">cleaned_data!M217</f>
        <v>836908.24</v>
      </c>
      <c r="N217" s="0" t="n">
        <f aca="false">cleaned_data!N217</f>
        <v>141090.26</v>
      </c>
      <c r="O217" s="0" t="n">
        <f aca="false">IF(cleaned_data!C217="North",1,0)</f>
        <v>0</v>
      </c>
      <c r="P217" s="0" t="n">
        <f aca="false">IF(cleaned_data!C217="South",1,0)</f>
        <v>0</v>
      </c>
      <c r="Q217" s="0" t="n">
        <f aca="false">IF(cleaned_data!C217="West",1,0)</f>
        <v>1</v>
      </c>
      <c r="R217" s="0" t="n">
        <f aca="false">IF(cleaned_data!D217="Airport",1,0)</f>
        <v>0</v>
      </c>
      <c r="S217" s="0" t="n">
        <f aca="false">IF(cleaned_data!D217="Mall",1,0)</f>
        <v>0</v>
      </c>
      <c r="T217" s="0" t="n">
        <f aca="false">IF(cleaned_data!D217="Residential",1,0)</f>
        <v>1</v>
      </c>
    </row>
    <row r="218" customFormat="false" ht="15" hidden="false" customHeight="false" outlineLevel="0" collapsed="false">
      <c r="A218" s="0" t="str">
        <f aca="false">cleaned_data!A218</f>
        <v>STR-1055</v>
      </c>
      <c r="B218" s="0" t="str">
        <f aca="false">cleaned_data!B218</f>
        <v>2025-01-01</v>
      </c>
      <c r="C218" s="0" t="str">
        <f aca="false">cleaned_data!C218</f>
        <v>North</v>
      </c>
      <c r="D218" s="0" t="str">
        <f aca="false">cleaned_data!D218</f>
        <v>Airport</v>
      </c>
      <c r="E218" s="0" t="n">
        <f aca="false">cleaned_data!E218</f>
        <v>69180.54</v>
      </c>
      <c r="F218" s="0" t="n">
        <f aca="false">cleaned_data!F218</f>
        <v>5394</v>
      </c>
      <c r="G218" s="0" t="n">
        <f aca="false">cleaned_data!G218</f>
        <v>0.126</v>
      </c>
      <c r="H218" s="0" t="n">
        <f aca="false">cleaned_data!H218</f>
        <v>12</v>
      </c>
      <c r="I218" s="0" t="n">
        <f aca="false">cleaned_data!I218</f>
        <v>82.9</v>
      </c>
      <c r="J218" s="0" t="n">
        <f aca="false">cleaned_data!J218</f>
        <v>3.27</v>
      </c>
      <c r="K218" s="0" t="n">
        <f aca="false">cleaned_data!K218</f>
        <v>0</v>
      </c>
      <c r="L218" s="0" t="n">
        <f aca="false">cleaned_data!L218</f>
        <v>3.3</v>
      </c>
      <c r="M218" s="0" t="n">
        <f aca="false">cleaned_data!M218</f>
        <v>674289.1</v>
      </c>
      <c r="N218" s="0" t="n">
        <f aca="false">cleaned_data!N218</f>
        <v>117773.79</v>
      </c>
      <c r="O218" s="0" t="n">
        <f aca="false">IF(cleaned_data!C218="North",1,0)</f>
        <v>1</v>
      </c>
      <c r="P218" s="0" t="n">
        <f aca="false">IF(cleaned_data!C218="South",1,0)</f>
        <v>0</v>
      </c>
      <c r="Q218" s="0" t="n">
        <f aca="false">IF(cleaned_data!C218="West",1,0)</f>
        <v>0</v>
      </c>
      <c r="R218" s="0" t="n">
        <f aca="false">IF(cleaned_data!D218="Airport",1,0)</f>
        <v>1</v>
      </c>
      <c r="S218" s="0" t="n">
        <f aca="false">IF(cleaned_data!D218="Mall",1,0)</f>
        <v>0</v>
      </c>
      <c r="T218" s="0" t="n">
        <f aca="false">IF(cleaned_data!D218="Residential",1,0)</f>
        <v>0</v>
      </c>
    </row>
    <row r="219" customFormat="false" ht="15" hidden="false" customHeight="false" outlineLevel="0" collapsed="false">
      <c r="A219" s="0" t="str">
        <f aca="false">cleaned_data!A219</f>
        <v>STR-1055</v>
      </c>
      <c r="B219" s="0" t="str">
        <f aca="false">cleaned_data!B219</f>
        <v>2025-02-01</v>
      </c>
      <c r="C219" s="0" t="str">
        <f aca="false">cleaned_data!C219</f>
        <v>North</v>
      </c>
      <c r="D219" s="0" t="str">
        <f aca="false">cleaned_data!D219</f>
        <v>Airport</v>
      </c>
      <c r="E219" s="0" t="n">
        <f aca="false">cleaned_data!E219</f>
        <v>33987.33</v>
      </c>
      <c r="F219" s="0" t="n">
        <f aca="false">cleaned_data!F219</f>
        <v>5014</v>
      </c>
      <c r="G219" s="0" t="n">
        <f aca="false">cleaned_data!G219</f>
        <v>0.246</v>
      </c>
      <c r="H219" s="0" t="n">
        <f aca="false">cleaned_data!H219</f>
        <v>17</v>
      </c>
      <c r="I219" s="0" t="n">
        <f aca="false">cleaned_data!I219</f>
        <v>94.3</v>
      </c>
      <c r="J219" s="0" t="n">
        <f aca="false">cleaned_data!J219</f>
        <v>10.34</v>
      </c>
      <c r="K219" s="0" t="n">
        <f aca="false">cleaned_data!K219</f>
        <v>0</v>
      </c>
      <c r="L219" s="0" t="n">
        <f aca="false">cleaned_data!L219</f>
        <v>3.9</v>
      </c>
      <c r="M219" s="0" t="n">
        <f aca="false">cleaned_data!M219</f>
        <v>622892.42</v>
      </c>
      <c r="N219" s="0" t="n">
        <f aca="false">cleaned_data!N219</f>
        <v>101032.52</v>
      </c>
      <c r="O219" s="0" t="n">
        <f aca="false">IF(cleaned_data!C219="North",1,0)</f>
        <v>1</v>
      </c>
      <c r="P219" s="0" t="n">
        <f aca="false">IF(cleaned_data!C219="South",1,0)</f>
        <v>0</v>
      </c>
      <c r="Q219" s="0" t="n">
        <f aca="false">IF(cleaned_data!C219="West",1,0)</f>
        <v>0</v>
      </c>
      <c r="R219" s="0" t="n">
        <f aca="false">IF(cleaned_data!D219="Airport",1,0)</f>
        <v>1</v>
      </c>
      <c r="S219" s="0" t="n">
        <f aca="false">IF(cleaned_data!D219="Mall",1,0)</f>
        <v>0</v>
      </c>
      <c r="T219" s="0" t="n">
        <f aca="false">IF(cleaned_data!D219="Residential",1,0)</f>
        <v>0</v>
      </c>
    </row>
    <row r="220" customFormat="false" ht="15" hidden="false" customHeight="false" outlineLevel="0" collapsed="false">
      <c r="A220" s="0" t="str">
        <f aca="false">cleaned_data!A220</f>
        <v>STR-1055</v>
      </c>
      <c r="B220" s="0" t="str">
        <f aca="false">cleaned_data!B220</f>
        <v>2025-03-01</v>
      </c>
      <c r="C220" s="0" t="str">
        <f aca="false">cleaned_data!C220</f>
        <v>North</v>
      </c>
      <c r="D220" s="0" t="str">
        <f aca="false">cleaned_data!D220</f>
        <v>Airport</v>
      </c>
      <c r="E220" s="0" t="n">
        <f aca="false">cleaned_data!E220</f>
        <v>58785.33</v>
      </c>
      <c r="F220" s="0" t="n">
        <f aca="false">cleaned_data!F220</f>
        <v>4467</v>
      </c>
      <c r="G220" s="0" t="n">
        <f aca="false">cleaned_data!G220</f>
        <v>0.229</v>
      </c>
      <c r="H220" s="0" t="n">
        <f aca="false">cleaned_data!H220</f>
        <v>14</v>
      </c>
      <c r="I220" s="0" t="n">
        <f aca="false">cleaned_data!I220</f>
        <v>90.7</v>
      </c>
      <c r="J220" s="0" t="n">
        <f aca="false">cleaned_data!J220</f>
        <v>1.92</v>
      </c>
      <c r="K220" s="0" t="n">
        <f aca="false">cleaned_data!K220</f>
        <v>0</v>
      </c>
      <c r="L220" s="0" t="n">
        <f aca="false">cleaned_data!L220</f>
        <v>3.7</v>
      </c>
      <c r="M220" s="0" t="n">
        <f aca="false">cleaned_data!M220</f>
        <v>673348.56</v>
      </c>
      <c r="N220" s="0" t="n">
        <f aca="false">cleaned_data!N220</f>
        <v>69464.59</v>
      </c>
      <c r="O220" s="0" t="n">
        <f aca="false">IF(cleaned_data!C220="North",1,0)</f>
        <v>1</v>
      </c>
      <c r="P220" s="0" t="n">
        <f aca="false">IF(cleaned_data!C220="South",1,0)</f>
        <v>0</v>
      </c>
      <c r="Q220" s="0" t="n">
        <f aca="false">IF(cleaned_data!C220="West",1,0)</f>
        <v>0</v>
      </c>
      <c r="R220" s="0" t="n">
        <f aca="false">IF(cleaned_data!D220="Airport",1,0)</f>
        <v>1</v>
      </c>
      <c r="S220" s="0" t="n">
        <f aca="false">IF(cleaned_data!D220="Mall",1,0)</f>
        <v>0</v>
      </c>
      <c r="T220" s="0" t="n">
        <f aca="false">IF(cleaned_data!D220="Residential",1,0)</f>
        <v>0</v>
      </c>
    </row>
    <row r="221" customFormat="false" ht="15" hidden="false" customHeight="false" outlineLevel="0" collapsed="false">
      <c r="A221" s="0" t="str">
        <f aca="false">cleaned_data!A221</f>
        <v>STR-1055</v>
      </c>
      <c r="B221" s="0" t="str">
        <f aca="false">cleaned_data!B221</f>
        <v>2025-04-01</v>
      </c>
      <c r="C221" s="0" t="str">
        <f aca="false">cleaned_data!C221</f>
        <v>North</v>
      </c>
      <c r="D221" s="0" t="str">
        <f aca="false">cleaned_data!D221</f>
        <v>Airport</v>
      </c>
      <c r="E221" s="0" t="n">
        <f aca="false">cleaned_data!E221</f>
        <v>16451.85</v>
      </c>
      <c r="F221" s="0" t="n">
        <f aca="false">cleaned_data!F221</f>
        <v>4678</v>
      </c>
      <c r="G221" s="0" t="n">
        <f aca="false">cleaned_data!G221</f>
        <v>0.133</v>
      </c>
      <c r="H221" s="0" t="n">
        <f aca="false">cleaned_data!H221</f>
        <v>11</v>
      </c>
      <c r="I221" s="0" t="n">
        <f aca="false">cleaned_data!I221</f>
        <v>95.9</v>
      </c>
      <c r="J221" s="0" t="n">
        <f aca="false">cleaned_data!J221</f>
        <v>3.1</v>
      </c>
      <c r="K221" s="0" t="n">
        <f aca="false">cleaned_data!K221</f>
        <v>0</v>
      </c>
      <c r="L221" s="0" t="n">
        <f aca="false">cleaned_data!L221</f>
        <v>3.9</v>
      </c>
      <c r="M221" s="0" t="n">
        <f aca="false">cleaned_data!M221</f>
        <v>606278.3</v>
      </c>
      <c r="N221" s="0" t="n">
        <f aca="false">cleaned_data!N221</f>
        <v>102213.26</v>
      </c>
      <c r="O221" s="0" t="n">
        <f aca="false">IF(cleaned_data!C221="North",1,0)</f>
        <v>1</v>
      </c>
      <c r="P221" s="0" t="n">
        <f aca="false">IF(cleaned_data!C221="South",1,0)</f>
        <v>0</v>
      </c>
      <c r="Q221" s="0" t="n">
        <f aca="false">IF(cleaned_data!C221="West",1,0)</f>
        <v>0</v>
      </c>
      <c r="R221" s="0" t="n">
        <f aca="false">IF(cleaned_data!D221="Airport",1,0)</f>
        <v>1</v>
      </c>
      <c r="S221" s="0" t="n">
        <f aca="false">IF(cleaned_data!D221="Mall",1,0)</f>
        <v>0</v>
      </c>
      <c r="T221" s="0" t="n">
        <f aca="false">IF(cleaned_data!D221="Residential",1,0)</f>
        <v>0</v>
      </c>
    </row>
    <row r="222" customFormat="false" ht="15" hidden="false" customHeight="false" outlineLevel="0" collapsed="false">
      <c r="A222" s="0" t="str">
        <f aca="false">cleaned_data!A222</f>
        <v>STR-1056</v>
      </c>
      <c r="B222" s="0" t="str">
        <f aca="false">cleaned_data!B222</f>
        <v>2025-01-01</v>
      </c>
      <c r="C222" s="0" t="str">
        <f aca="false">cleaned_data!C222</f>
        <v>East</v>
      </c>
      <c r="D222" s="0" t="str">
        <f aca="false">cleaned_data!D222</f>
        <v>High Street</v>
      </c>
      <c r="E222" s="0" t="n">
        <f aca="false">cleaned_data!E222</f>
        <v>53367.73</v>
      </c>
      <c r="F222" s="0" t="n">
        <f aca="false">cleaned_data!F222</f>
        <v>7291</v>
      </c>
      <c r="G222" s="0" t="n">
        <f aca="false">cleaned_data!G222</f>
        <v>0.146</v>
      </c>
      <c r="H222" s="0" t="n">
        <f aca="false">cleaned_data!H222</f>
        <v>18</v>
      </c>
      <c r="I222" s="0" t="n">
        <f aca="false">cleaned_data!I222</f>
        <v>90.6</v>
      </c>
      <c r="J222" s="0" t="n">
        <f aca="false">cleaned_data!J222</f>
        <v>6.34</v>
      </c>
      <c r="K222" s="0" t="n">
        <f aca="false">cleaned_data!K222</f>
        <v>1</v>
      </c>
      <c r="L222" s="0" t="n">
        <f aca="false">cleaned_data!L222</f>
        <v>3.8</v>
      </c>
      <c r="M222" s="0" t="n">
        <f aca="false">cleaned_data!M222</f>
        <v>712219.81</v>
      </c>
      <c r="N222" s="0" t="n">
        <f aca="false">cleaned_data!N222</f>
        <v>85906.54</v>
      </c>
      <c r="O222" s="0" t="n">
        <f aca="false">IF(cleaned_data!C222="North",1,0)</f>
        <v>0</v>
      </c>
      <c r="P222" s="0" t="n">
        <f aca="false">IF(cleaned_data!C222="South",1,0)</f>
        <v>0</v>
      </c>
      <c r="Q222" s="0" t="n">
        <f aca="false">IF(cleaned_data!C222="West",1,0)</f>
        <v>0</v>
      </c>
      <c r="R222" s="0" t="n">
        <f aca="false">IF(cleaned_data!D222="Airport",1,0)</f>
        <v>0</v>
      </c>
      <c r="S222" s="0" t="n">
        <f aca="false">IF(cleaned_data!D222="Mall",1,0)</f>
        <v>0</v>
      </c>
      <c r="T222" s="0" t="n">
        <f aca="false">IF(cleaned_data!D222="Residential",1,0)</f>
        <v>0</v>
      </c>
    </row>
    <row r="223" customFormat="false" ht="15" hidden="false" customHeight="false" outlineLevel="0" collapsed="false">
      <c r="A223" s="0" t="str">
        <f aca="false">cleaned_data!A223</f>
        <v>STR-1056</v>
      </c>
      <c r="B223" s="0" t="str">
        <f aca="false">cleaned_data!B223</f>
        <v>2025-02-01</v>
      </c>
      <c r="C223" s="0" t="str">
        <f aca="false">cleaned_data!C223</f>
        <v>East</v>
      </c>
      <c r="D223" s="0" t="str">
        <f aca="false">cleaned_data!D223</f>
        <v>High Street</v>
      </c>
      <c r="E223" s="0" t="n">
        <f aca="false">cleaned_data!E223</f>
        <v>27194.64</v>
      </c>
      <c r="F223" s="0" t="n">
        <f aca="false">cleaned_data!F223</f>
        <v>7404</v>
      </c>
      <c r="G223" s="0" t="n">
        <f aca="false">cleaned_data!G223</f>
        <v>0.088</v>
      </c>
      <c r="H223" s="0" t="n">
        <f aca="false">cleaned_data!H223</f>
        <v>18</v>
      </c>
      <c r="I223" s="0" t="n">
        <f aca="false">cleaned_data!I223</f>
        <v>90.2</v>
      </c>
      <c r="J223" s="0" t="n">
        <f aca="false">cleaned_data!J223</f>
        <v>1.2</v>
      </c>
      <c r="K223" s="0" t="n">
        <f aca="false">cleaned_data!K223</f>
        <v>0</v>
      </c>
      <c r="L223" s="0" t="n">
        <f aca="false">cleaned_data!L223</f>
        <v>3.4</v>
      </c>
      <c r="M223" s="0" t="n">
        <f aca="false">cleaned_data!M223</f>
        <v>672670.54</v>
      </c>
      <c r="N223" s="0" t="n">
        <f aca="false">cleaned_data!N223</f>
        <v>132684.18</v>
      </c>
      <c r="O223" s="0" t="n">
        <f aca="false">IF(cleaned_data!C223="North",1,0)</f>
        <v>0</v>
      </c>
      <c r="P223" s="0" t="n">
        <f aca="false">IF(cleaned_data!C223="South",1,0)</f>
        <v>0</v>
      </c>
      <c r="Q223" s="0" t="n">
        <f aca="false">IF(cleaned_data!C223="West",1,0)</f>
        <v>0</v>
      </c>
      <c r="R223" s="0" t="n">
        <f aca="false">IF(cleaned_data!D223="Airport",1,0)</f>
        <v>0</v>
      </c>
      <c r="S223" s="0" t="n">
        <f aca="false">IF(cleaned_data!D223="Mall",1,0)</f>
        <v>0</v>
      </c>
      <c r="T223" s="0" t="n">
        <f aca="false">IF(cleaned_data!D223="Residential",1,0)</f>
        <v>0</v>
      </c>
    </row>
    <row r="224" customFormat="false" ht="15" hidden="false" customHeight="false" outlineLevel="0" collapsed="false">
      <c r="A224" s="0" t="str">
        <f aca="false">cleaned_data!A224</f>
        <v>STR-1056</v>
      </c>
      <c r="B224" s="0" t="str">
        <f aca="false">cleaned_data!B224</f>
        <v>2025-03-01</v>
      </c>
      <c r="C224" s="0" t="str">
        <f aca="false">cleaned_data!C224</f>
        <v>East</v>
      </c>
      <c r="D224" s="0" t="str">
        <f aca="false">cleaned_data!D224</f>
        <v>High Street</v>
      </c>
      <c r="E224" s="0" t="n">
        <f aca="false">cleaned_data!E224</f>
        <v>66962.74</v>
      </c>
      <c r="F224" s="0" t="n">
        <f aca="false">cleaned_data!F224</f>
        <v>7880</v>
      </c>
      <c r="G224" s="0" t="n">
        <f aca="false">cleaned_data!G224</f>
        <v>0.116</v>
      </c>
      <c r="H224" s="0" t="n">
        <f aca="false">cleaned_data!H224</f>
        <v>19</v>
      </c>
      <c r="I224" s="0" t="n">
        <f aca="false">cleaned_data!I224</f>
        <v>90.4</v>
      </c>
      <c r="J224" s="0" t="n">
        <f aca="false">cleaned_data!J224</f>
        <v>4.5</v>
      </c>
      <c r="K224" s="0" t="n">
        <f aca="false">cleaned_data!K224</f>
        <v>0</v>
      </c>
      <c r="L224" s="0" t="n">
        <f aca="false">cleaned_data!L224</f>
        <v>3.3</v>
      </c>
      <c r="M224" s="0" t="n">
        <f aca="false">cleaned_data!M224</f>
        <v>732667.92</v>
      </c>
      <c r="N224" s="0" t="n">
        <f aca="false">cleaned_data!N224</f>
        <v>128654.46</v>
      </c>
      <c r="O224" s="0" t="n">
        <f aca="false">IF(cleaned_data!C224="North",1,0)</f>
        <v>0</v>
      </c>
      <c r="P224" s="0" t="n">
        <f aca="false">IF(cleaned_data!C224="South",1,0)</f>
        <v>0</v>
      </c>
      <c r="Q224" s="0" t="n">
        <f aca="false">IF(cleaned_data!C224="West",1,0)</f>
        <v>0</v>
      </c>
      <c r="R224" s="0" t="n">
        <f aca="false">IF(cleaned_data!D224="Airport",1,0)</f>
        <v>0</v>
      </c>
      <c r="S224" s="0" t="n">
        <f aca="false">IF(cleaned_data!D224="Mall",1,0)</f>
        <v>0</v>
      </c>
      <c r="T224" s="0" t="n">
        <f aca="false">IF(cleaned_data!D224="Residential",1,0)</f>
        <v>0</v>
      </c>
    </row>
    <row r="225" customFormat="false" ht="15" hidden="false" customHeight="false" outlineLevel="0" collapsed="false">
      <c r="A225" s="0" t="str">
        <f aca="false">cleaned_data!A225</f>
        <v>STR-1056</v>
      </c>
      <c r="B225" s="0" t="str">
        <f aca="false">cleaned_data!B225</f>
        <v>2025-04-01</v>
      </c>
      <c r="C225" s="0" t="str">
        <f aca="false">cleaned_data!C225</f>
        <v>East</v>
      </c>
      <c r="D225" s="0" t="str">
        <f aca="false">cleaned_data!D225</f>
        <v>High Street</v>
      </c>
      <c r="E225" s="0" t="n">
        <f aca="false">cleaned_data!E225</f>
        <v>73540.99</v>
      </c>
      <c r="F225" s="0" t="n">
        <f aca="false">cleaned_data!F225</f>
        <v>8773</v>
      </c>
      <c r="G225" s="0" t="n">
        <f aca="false">cleaned_data!G225</f>
        <v>0.035</v>
      </c>
      <c r="H225" s="0" t="n">
        <f aca="false">cleaned_data!H225</f>
        <v>21</v>
      </c>
      <c r="I225" s="0" t="n">
        <f aca="false">cleaned_data!I225</f>
        <v>84.4</v>
      </c>
      <c r="J225" s="0" t="n">
        <f aca="false">cleaned_data!J225</f>
        <v>6.68</v>
      </c>
      <c r="K225" s="0" t="n">
        <f aca="false">cleaned_data!K225</f>
        <v>0</v>
      </c>
      <c r="L225" s="0" t="n">
        <f aca="false">cleaned_data!L225</f>
        <v>3.6</v>
      </c>
      <c r="M225" s="0" t="n">
        <f aca="false">cleaned_data!M225</f>
        <v>723531.4</v>
      </c>
      <c r="N225" s="0" t="n">
        <f aca="false">cleaned_data!N225</f>
        <v>108794.85</v>
      </c>
      <c r="O225" s="0" t="n">
        <f aca="false">IF(cleaned_data!C225="North",1,0)</f>
        <v>0</v>
      </c>
      <c r="P225" s="0" t="n">
        <f aca="false">IF(cleaned_data!C225="South",1,0)</f>
        <v>0</v>
      </c>
      <c r="Q225" s="0" t="n">
        <f aca="false">IF(cleaned_data!C225="West",1,0)</f>
        <v>0</v>
      </c>
      <c r="R225" s="0" t="n">
        <f aca="false">IF(cleaned_data!D225="Airport",1,0)</f>
        <v>0</v>
      </c>
      <c r="S225" s="0" t="n">
        <f aca="false">IF(cleaned_data!D225="Mall",1,0)</f>
        <v>0</v>
      </c>
      <c r="T225" s="0" t="n">
        <f aca="false">IF(cleaned_data!D225="Residential",1,0)</f>
        <v>0</v>
      </c>
    </row>
    <row r="226" customFormat="false" ht="15" hidden="false" customHeight="false" outlineLevel="0" collapsed="false">
      <c r="A226" s="0" t="str">
        <f aca="false">cleaned_data!A226</f>
        <v>STR-1057</v>
      </c>
      <c r="B226" s="0" t="str">
        <f aca="false">cleaned_data!B226</f>
        <v>2025-01-01</v>
      </c>
      <c r="C226" s="0" t="str">
        <f aca="false">cleaned_data!C226</f>
        <v>East</v>
      </c>
      <c r="D226" s="0" t="str">
        <f aca="false">cleaned_data!D226</f>
        <v>Mall</v>
      </c>
      <c r="E226" s="0" t="n">
        <f aca="false">cleaned_data!E226</f>
        <v>68212.29</v>
      </c>
      <c r="F226" s="0" t="n">
        <f aca="false">cleaned_data!F226</f>
        <v>4713</v>
      </c>
      <c r="G226" s="0" t="n">
        <f aca="false">cleaned_data!G226</f>
        <v>0.198</v>
      </c>
      <c r="H226" s="0" t="n">
        <f aca="false">cleaned_data!H226</f>
        <v>15</v>
      </c>
      <c r="I226" s="0" t="n">
        <f aca="false">cleaned_data!I226</f>
        <v>82.6</v>
      </c>
      <c r="J226" s="0" t="n">
        <f aca="false">cleaned_data!J226</f>
        <v>4.07</v>
      </c>
      <c r="K226" s="0" t="n">
        <f aca="false">cleaned_data!K226</f>
        <v>1</v>
      </c>
      <c r="L226" s="0" t="n">
        <f aca="false">cleaned_data!L226</f>
        <v>3</v>
      </c>
      <c r="M226" s="0" t="n">
        <f aca="false">cleaned_data!M226</f>
        <v>641564.6</v>
      </c>
      <c r="N226" s="0" t="n">
        <f aca="false">cleaned_data!N226</f>
        <v>90468.96</v>
      </c>
      <c r="O226" s="0" t="n">
        <f aca="false">IF(cleaned_data!C226="North",1,0)</f>
        <v>0</v>
      </c>
      <c r="P226" s="0" t="n">
        <f aca="false">IF(cleaned_data!C226="South",1,0)</f>
        <v>0</v>
      </c>
      <c r="Q226" s="0" t="n">
        <f aca="false">IF(cleaned_data!C226="West",1,0)</f>
        <v>0</v>
      </c>
      <c r="R226" s="0" t="n">
        <f aca="false">IF(cleaned_data!D226="Airport",1,0)</f>
        <v>0</v>
      </c>
      <c r="S226" s="0" t="n">
        <f aca="false">IF(cleaned_data!D226="Mall",1,0)</f>
        <v>1</v>
      </c>
      <c r="T226" s="0" t="n">
        <f aca="false">IF(cleaned_data!D226="Residential",1,0)</f>
        <v>0</v>
      </c>
    </row>
    <row r="227" customFormat="false" ht="15" hidden="false" customHeight="false" outlineLevel="0" collapsed="false">
      <c r="A227" s="0" t="str">
        <f aca="false">cleaned_data!A227</f>
        <v>STR-1057</v>
      </c>
      <c r="B227" s="0" t="str">
        <f aca="false">cleaned_data!B227</f>
        <v>2025-02-01</v>
      </c>
      <c r="C227" s="0" t="str">
        <f aca="false">cleaned_data!C227</f>
        <v>East</v>
      </c>
      <c r="D227" s="0" t="str">
        <f aca="false">cleaned_data!D227</f>
        <v>Mall</v>
      </c>
      <c r="E227" s="0" t="n">
        <f aca="false">cleaned_data!E227</f>
        <v>57225.98</v>
      </c>
      <c r="F227" s="0" t="n">
        <f aca="false">cleaned_data!F227</f>
        <v>2842</v>
      </c>
      <c r="G227" s="0" t="n">
        <f aca="false">cleaned_data!G227</f>
        <v>0.112</v>
      </c>
      <c r="H227" s="0" t="n">
        <f aca="false">cleaned_data!H227</f>
        <v>10</v>
      </c>
      <c r="I227" s="0" t="n">
        <f aca="false">cleaned_data!I227</f>
        <v>79.5</v>
      </c>
      <c r="J227" s="0" t="n">
        <f aca="false">cleaned_data!J227</f>
        <v>5.45</v>
      </c>
      <c r="K227" s="0" t="n">
        <f aca="false">cleaned_data!K227</f>
        <v>0</v>
      </c>
      <c r="L227" s="0" t="n">
        <f aca="false">cleaned_data!L227</f>
        <v>3.4</v>
      </c>
      <c r="M227" s="0" t="n">
        <f aca="false">cleaned_data!M227</f>
        <v>536545.49</v>
      </c>
      <c r="N227" s="0" t="n">
        <f aca="false">cleaned_data!N227</f>
        <v>97917.45</v>
      </c>
      <c r="O227" s="0" t="n">
        <f aca="false">IF(cleaned_data!C227="North",1,0)</f>
        <v>0</v>
      </c>
      <c r="P227" s="0" t="n">
        <f aca="false">IF(cleaned_data!C227="South",1,0)</f>
        <v>0</v>
      </c>
      <c r="Q227" s="0" t="n">
        <f aca="false">IF(cleaned_data!C227="West",1,0)</f>
        <v>0</v>
      </c>
      <c r="R227" s="0" t="n">
        <f aca="false">IF(cleaned_data!D227="Airport",1,0)</f>
        <v>0</v>
      </c>
      <c r="S227" s="0" t="n">
        <f aca="false">IF(cleaned_data!D227="Mall",1,0)</f>
        <v>1</v>
      </c>
      <c r="T227" s="0" t="n">
        <f aca="false">IF(cleaned_data!D227="Residential",1,0)</f>
        <v>0</v>
      </c>
    </row>
    <row r="228" customFormat="false" ht="15" hidden="false" customHeight="false" outlineLevel="0" collapsed="false">
      <c r="A228" s="0" t="str">
        <f aca="false">cleaned_data!A228</f>
        <v>STR-1057</v>
      </c>
      <c r="B228" s="0" t="str">
        <f aca="false">cleaned_data!B228</f>
        <v>2025-03-01</v>
      </c>
      <c r="C228" s="0" t="str">
        <f aca="false">cleaned_data!C228</f>
        <v>East</v>
      </c>
      <c r="D228" s="0" t="str">
        <f aca="false">cleaned_data!D228</f>
        <v>Mall</v>
      </c>
      <c r="E228" s="0" t="n">
        <f aca="false">cleaned_data!E228</f>
        <v>42932.02</v>
      </c>
      <c r="F228" s="0" t="n">
        <f aca="false">cleaned_data!F228</f>
        <v>3872</v>
      </c>
      <c r="G228" s="0" t="n">
        <f aca="false">cleaned_data!G228</f>
        <v>0.171</v>
      </c>
      <c r="H228" s="0" t="n">
        <f aca="false">cleaned_data!H228</f>
        <v>12</v>
      </c>
      <c r="I228" s="0" t="n">
        <f aca="false">cleaned_data!I228</f>
        <v>83.2</v>
      </c>
      <c r="J228" s="0" t="n">
        <f aca="false">cleaned_data!J228</f>
        <v>15.58</v>
      </c>
      <c r="K228" s="0" t="n">
        <f aca="false">cleaned_data!K228</f>
        <v>0</v>
      </c>
      <c r="L228" s="0" t="n">
        <f aca="false">cleaned_data!L228</f>
        <v>3.3</v>
      </c>
      <c r="M228" s="0" t="n">
        <f aca="false">cleaned_data!M228</f>
        <v>527681.56</v>
      </c>
      <c r="N228" s="0" t="n">
        <f aca="false">cleaned_data!N228</f>
        <v>63153.05</v>
      </c>
      <c r="O228" s="0" t="n">
        <f aca="false">IF(cleaned_data!C228="North",1,0)</f>
        <v>0</v>
      </c>
      <c r="P228" s="0" t="n">
        <f aca="false">IF(cleaned_data!C228="South",1,0)</f>
        <v>0</v>
      </c>
      <c r="Q228" s="0" t="n">
        <f aca="false">IF(cleaned_data!C228="West",1,0)</f>
        <v>0</v>
      </c>
      <c r="R228" s="0" t="n">
        <f aca="false">IF(cleaned_data!D228="Airport",1,0)</f>
        <v>0</v>
      </c>
      <c r="S228" s="0" t="n">
        <f aca="false">IF(cleaned_data!D228="Mall",1,0)</f>
        <v>1</v>
      </c>
      <c r="T228" s="0" t="n">
        <f aca="false">IF(cleaned_data!D228="Residential",1,0)</f>
        <v>0</v>
      </c>
    </row>
    <row r="229" customFormat="false" ht="15" hidden="false" customHeight="false" outlineLevel="0" collapsed="false">
      <c r="A229" s="0" t="str">
        <f aca="false">cleaned_data!A229</f>
        <v>STR-1057</v>
      </c>
      <c r="B229" s="0" t="str">
        <f aca="false">cleaned_data!B229</f>
        <v>2025-04-01</v>
      </c>
      <c r="C229" s="0" t="str">
        <f aca="false">cleaned_data!C229</f>
        <v>East</v>
      </c>
      <c r="D229" s="0" t="str">
        <f aca="false">cleaned_data!D229</f>
        <v>Mall</v>
      </c>
      <c r="E229" s="0" t="n">
        <f aca="false">cleaned_data!E229</f>
        <v>39341.45</v>
      </c>
      <c r="F229" s="0" t="n">
        <f aca="false">cleaned_data!F229</f>
        <v>1375</v>
      </c>
      <c r="G229" s="0" t="n">
        <f aca="false">cleaned_data!G229</f>
        <v>0.093</v>
      </c>
      <c r="H229" s="0" t="n">
        <f aca="false">cleaned_data!H229</f>
        <v>5</v>
      </c>
      <c r="I229" s="0" t="n">
        <f aca="false">cleaned_data!I229</f>
        <v>95</v>
      </c>
      <c r="J229" s="0" t="n">
        <f aca="false">cleaned_data!J229</f>
        <v>5.32</v>
      </c>
      <c r="K229" s="0" t="n">
        <f aca="false">cleaned_data!K229</f>
        <v>0</v>
      </c>
      <c r="L229" s="0" t="n">
        <f aca="false">cleaned_data!L229</f>
        <v>3.9</v>
      </c>
      <c r="M229" s="0" t="n">
        <f aca="false">cleaned_data!M229</f>
        <v>529598.94</v>
      </c>
      <c r="N229" s="0" t="n">
        <f aca="false">cleaned_data!N229</f>
        <v>84334.33</v>
      </c>
      <c r="O229" s="0" t="n">
        <f aca="false">IF(cleaned_data!C229="North",1,0)</f>
        <v>0</v>
      </c>
      <c r="P229" s="0" t="n">
        <f aca="false">IF(cleaned_data!C229="South",1,0)</f>
        <v>0</v>
      </c>
      <c r="Q229" s="0" t="n">
        <f aca="false">IF(cleaned_data!C229="West",1,0)</f>
        <v>0</v>
      </c>
      <c r="R229" s="0" t="n">
        <f aca="false">IF(cleaned_data!D229="Airport",1,0)</f>
        <v>0</v>
      </c>
      <c r="S229" s="0" t="n">
        <f aca="false">IF(cleaned_data!D229="Mall",1,0)</f>
        <v>1</v>
      </c>
      <c r="T229" s="0" t="n">
        <f aca="false">IF(cleaned_data!D229="Residential",1,0)</f>
        <v>0</v>
      </c>
    </row>
    <row r="230" customFormat="false" ht="15" hidden="false" customHeight="false" outlineLevel="0" collapsed="false">
      <c r="A230" s="0" t="str">
        <f aca="false">cleaned_data!A230</f>
        <v>STR-1058</v>
      </c>
      <c r="B230" s="0" t="str">
        <f aca="false">cleaned_data!B230</f>
        <v>2025-01-01</v>
      </c>
      <c r="C230" s="0" t="str">
        <f aca="false">cleaned_data!C230</f>
        <v>East</v>
      </c>
      <c r="D230" s="0" t="str">
        <f aca="false">cleaned_data!D230</f>
        <v>High Street</v>
      </c>
      <c r="E230" s="0" t="n">
        <f aca="false">cleaned_data!E230</f>
        <v>37324.23</v>
      </c>
      <c r="F230" s="0" t="n">
        <f aca="false">cleaned_data!F230</f>
        <v>5957</v>
      </c>
      <c r="G230" s="0" t="n">
        <f aca="false">cleaned_data!G230</f>
        <v>0.071</v>
      </c>
      <c r="H230" s="0" t="n">
        <f aca="false">cleaned_data!H230</f>
        <v>12</v>
      </c>
      <c r="I230" s="0" t="n">
        <f aca="false">cleaned_data!I230</f>
        <v>85.9</v>
      </c>
      <c r="J230" s="0" t="n">
        <f aca="false">cleaned_data!J230</f>
        <v>0.37</v>
      </c>
      <c r="K230" s="0" t="n">
        <f aca="false">cleaned_data!K230</f>
        <v>0</v>
      </c>
      <c r="L230" s="0" t="n">
        <f aca="false">cleaned_data!L230</f>
        <v>3.8</v>
      </c>
      <c r="M230" s="0" t="n">
        <f aca="false">cleaned_data!M230</f>
        <v>570963.31</v>
      </c>
      <c r="N230" s="0" t="n">
        <f aca="false">cleaned_data!N230</f>
        <v>87342.25</v>
      </c>
      <c r="O230" s="0" t="n">
        <f aca="false">IF(cleaned_data!C230="North",1,0)</f>
        <v>0</v>
      </c>
      <c r="P230" s="0" t="n">
        <f aca="false">IF(cleaned_data!C230="South",1,0)</f>
        <v>0</v>
      </c>
      <c r="Q230" s="0" t="n">
        <f aca="false">IF(cleaned_data!C230="West",1,0)</f>
        <v>0</v>
      </c>
      <c r="R230" s="0" t="n">
        <f aca="false">IF(cleaned_data!D230="Airport",1,0)</f>
        <v>0</v>
      </c>
      <c r="S230" s="0" t="n">
        <f aca="false">IF(cleaned_data!D230="Mall",1,0)</f>
        <v>0</v>
      </c>
      <c r="T230" s="0" t="n">
        <f aca="false">IF(cleaned_data!D230="Residential",1,0)</f>
        <v>0</v>
      </c>
    </row>
    <row r="231" customFormat="false" ht="15" hidden="false" customHeight="false" outlineLevel="0" collapsed="false">
      <c r="A231" s="0" t="str">
        <f aca="false">cleaned_data!A231</f>
        <v>STR-1058</v>
      </c>
      <c r="B231" s="0" t="str">
        <f aca="false">cleaned_data!B231</f>
        <v>2025-02-01</v>
      </c>
      <c r="C231" s="0" t="str">
        <f aca="false">cleaned_data!C231</f>
        <v>East</v>
      </c>
      <c r="D231" s="0" t="str">
        <f aca="false">cleaned_data!D231</f>
        <v>High Street</v>
      </c>
      <c r="E231" s="0" t="n">
        <f aca="false">cleaned_data!E231</f>
        <v>113736</v>
      </c>
      <c r="F231" s="0" t="n">
        <f aca="false">cleaned_data!F231</f>
        <v>8961</v>
      </c>
      <c r="G231" s="0" t="n">
        <f aca="false">cleaned_data!G231</f>
        <v>0.202</v>
      </c>
      <c r="H231" s="0" t="n">
        <f aca="false">cleaned_data!H231</f>
        <v>24</v>
      </c>
      <c r="I231" s="0" t="n">
        <f aca="false">cleaned_data!I231</f>
        <v>86.2</v>
      </c>
      <c r="J231" s="0" t="n">
        <f aca="false">cleaned_data!J231</f>
        <v>21.63</v>
      </c>
      <c r="K231" s="0" t="n">
        <f aca="false">cleaned_data!K231</f>
        <v>0</v>
      </c>
      <c r="L231" s="0" t="n">
        <f aca="false">cleaned_data!L231</f>
        <v>4</v>
      </c>
      <c r="M231" s="0" t="n">
        <f aca="false">cleaned_data!M231</f>
        <v>870937.4</v>
      </c>
      <c r="N231" s="0" t="n">
        <f aca="false">cleaned_data!N231</f>
        <v>175282.74</v>
      </c>
      <c r="O231" s="0" t="n">
        <f aca="false">IF(cleaned_data!C231="North",1,0)</f>
        <v>0</v>
      </c>
      <c r="P231" s="0" t="n">
        <f aca="false">IF(cleaned_data!C231="South",1,0)</f>
        <v>0</v>
      </c>
      <c r="Q231" s="0" t="n">
        <f aca="false">IF(cleaned_data!C231="West",1,0)</f>
        <v>0</v>
      </c>
      <c r="R231" s="0" t="n">
        <f aca="false">IF(cleaned_data!D231="Airport",1,0)</f>
        <v>0</v>
      </c>
      <c r="S231" s="0" t="n">
        <f aca="false">IF(cleaned_data!D231="Mall",1,0)</f>
        <v>0</v>
      </c>
      <c r="T231" s="0" t="n">
        <f aca="false">IF(cleaned_data!D231="Residential",1,0)</f>
        <v>0</v>
      </c>
    </row>
    <row r="232" customFormat="false" ht="15" hidden="false" customHeight="false" outlineLevel="0" collapsed="false">
      <c r="A232" s="0" t="str">
        <f aca="false">cleaned_data!A232</f>
        <v>STR-1058</v>
      </c>
      <c r="B232" s="0" t="str">
        <f aca="false">cleaned_data!B232</f>
        <v>2025-03-01</v>
      </c>
      <c r="C232" s="0" t="str">
        <f aca="false">cleaned_data!C232</f>
        <v>East</v>
      </c>
      <c r="D232" s="0" t="str">
        <f aca="false">cleaned_data!D232</f>
        <v>High Street</v>
      </c>
      <c r="E232" s="0" t="n">
        <f aca="false">cleaned_data!E232</f>
        <v>33173.95</v>
      </c>
      <c r="F232" s="0" t="n">
        <f aca="false">cleaned_data!F232</f>
        <v>6545</v>
      </c>
      <c r="G232" s="0" t="n">
        <f aca="false">cleaned_data!G232</f>
        <v>0.169</v>
      </c>
      <c r="H232" s="0" t="n">
        <f aca="false">cleaned_data!H232</f>
        <v>15</v>
      </c>
      <c r="I232" s="0" t="n">
        <f aca="false">cleaned_data!I232</f>
        <v>84.4</v>
      </c>
      <c r="J232" s="0" t="n">
        <f aca="false">cleaned_data!J232</f>
        <v>2.48</v>
      </c>
      <c r="K232" s="0" t="n">
        <f aca="false">cleaned_data!K232</f>
        <v>0</v>
      </c>
      <c r="L232" s="0" t="n">
        <f aca="false">cleaned_data!L232</f>
        <v>3.9</v>
      </c>
      <c r="M232" s="0" t="n">
        <f aca="false">cleaned_data!M232</f>
        <v>596969.27</v>
      </c>
      <c r="N232" s="0" t="n">
        <f aca="false">cleaned_data!N232</f>
        <v>105669.51</v>
      </c>
      <c r="O232" s="0" t="n">
        <f aca="false">IF(cleaned_data!C232="North",1,0)</f>
        <v>0</v>
      </c>
      <c r="P232" s="0" t="n">
        <f aca="false">IF(cleaned_data!C232="South",1,0)</f>
        <v>0</v>
      </c>
      <c r="Q232" s="0" t="n">
        <f aca="false">IF(cleaned_data!C232="West",1,0)</f>
        <v>0</v>
      </c>
      <c r="R232" s="0" t="n">
        <f aca="false">IF(cleaned_data!D232="Airport",1,0)</f>
        <v>0</v>
      </c>
      <c r="S232" s="0" t="n">
        <f aca="false">IF(cleaned_data!D232="Mall",1,0)</f>
        <v>0</v>
      </c>
      <c r="T232" s="0" t="n">
        <f aca="false">IF(cleaned_data!D232="Residential",1,0)</f>
        <v>0</v>
      </c>
    </row>
    <row r="233" customFormat="false" ht="15" hidden="false" customHeight="false" outlineLevel="0" collapsed="false">
      <c r="A233" s="0" t="str">
        <f aca="false">cleaned_data!A233</f>
        <v>STR-1058</v>
      </c>
      <c r="B233" s="0" t="str">
        <f aca="false">cleaned_data!B233</f>
        <v>2025-04-01</v>
      </c>
      <c r="C233" s="0" t="str">
        <f aca="false">cleaned_data!C233</f>
        <v>East</v>
      </c>
      <c r="D233" s="0" t="str">
        <f aca="false">cleaned_data!D233</f>
        <v>High Street</v>
      </c>
      <c r="E233" s="0" t="n">
        <f aca="false">cleaned_data!E233</f>
        <v>25818.08</v>
      </c>
      <c r="F233" s="0" t="n">
        <f aca="false">cleaned_data!F233</f>
        <v>5457</v>
      </c>
      <c r="G233" s="0" t="n">
        <f aca="false">cleaned_data!G233</f>
        <v>0</v>
      </c>
      <c r="H233" s="0" t="n">
        <f aca="false">cleaned_data!H233</f>
        <v>11</v>
      </c>
      <c r="I233" s="0" t="n">
        <f aca="false">cleaned_data!I233</f>
        <v>95.4</v>
      </c>
      <c r="J233" s="0" t="n">
        <f aca="false">cleaned_data!J233</f>
        <v>3.365</v>
      </c>
      <c r="K233" s="0" t="n">
        <f aca="false">cleaned_data!K233</f>
        <v>0</v>
      </c>
      <c r="L233" s="0" t="n">
        <f aca="false">cleaned_data!L233</f>
        <v>3.7</v>
      </c>
      <c r="M233" s="0" t="n">
        <f aca="false">cleaned_data!M233</f>
        <v>647512.85</v>
      </c>
      <c r="N233" s="0" t="n">
        <f aca="false">cleaned_data!N233</f>
        <v>153835.57</v>
      </c>
      <c r="O233" s="0" t="n">
        <f aca="false">IF(cleaned_data!C233="North",1,0)</f>
        <v>0</v>
      </c>
      <c r="P233" s="0" t="n">
        <f aca="false">IF(cleaned_data!C233="South",1,0)</f>
        <v>0</v>
      </c>
      <c r="Q233" s="0" t="n">
        <f aca="false">IF(cleaned_data!C233="West",1,0)</f>
        <v>0</v>
      </c>
      <c r="R233" s="0" t="n">
        <f aca="false">IF(cleaned_data!D233="Airport",1,0)</f>
        <v>0</v>
      </c>
      <c r="S233" s="0" t="n">
        <f aca="false">IF(cleaned_data!D233="Mall",1,0)</f>
        <v>0</v>
      </c>
      <c r="T233" s="0" t="n">
        <f aca="false">IF(cleaned_data!D233="Residential",1,0)</f>
        <v>0</v>
      </c>
    </row>
    <row r="234" customFormat="false" ht="15" hidden="false" customHeight="false" outlineLevel="0" collapsed="false">
      <c r="A234" s="0" t="str">
        <f aca="false">cleaned_data!A234</f>
        <v>STR-1059</v>
      </c>
      <c r="B234" s="0" t="str">
        <f aca="false">cleaned_data!B234</f>
        <v>2025-01-01</v>
      </c>
      <c r="C234" s="0" t="str">
        <f aca="false">cleaned_data!C234</f>
        <v>West</v>
      </c>
      <c r="D234" s="0" t="str">
        <f aca="false">cleaned_data!D234</f>
        <v>Residential</v>
      </c>
      <c r="E234" s="0" t="n">
        <f aca="false">cleaned_data!E234</f>
        <v>47241.92</v>
      </c>
      <c r="F234" s="0" t="n">
        <f aca="false">cleaned_data!F234</f>
        <v>4264</v>
      </c>
      <c r="G234" s="0" t="n">
        <f aca="false">cleaned_data!G234</f>
        <v>0.069</v>
      </c>
      <c r="H234" s="0" t="n">
        <f aca="false">cleaned_data!H234</f>
        <v>13</v>
      </c>
      <c r="I234" s="0" t="n">
        <f aca="false">cleaned_data!I234</f>
        <v>95.3</v>
      </c>
      <c r="J234" s="0" t="n">
        <f aca="false">cleaned_data!J234</f>
        <v>0.85</v>
      </c>
      <c r="K234" s="0" t="n">
        <f aca="false">cleaned_data!K234</f>
        <v>0</v>
      </c>
      <c r="L234" s="0" t="n">
        <f aca="false">cleaned_data!L234</f>
        <v>4.3</v>
      </c>
      <c r="M234" s="0" t="n">
        <f aca="false">cleaned_data!M234</f>
        <v>658072.14</v>
      </c>
      <c r="N234" s="0" t="n">
        <f aca="false">cleaned_data!N234</f>
        <v>110595.89</v>
      </c>
      <c r="O234" s="0" t="n">
        <f aca="false">IF(cleaned_data!C234="North",1,0)</f>
        <v>0</v>
      </c>
      <c r="P234" s="0" t="n">
        <f aca="false">IF(cleaned_data!C234="South",1,0)</f>
        <v>0</v>
      </c>
      <c r="Q234" s="0" t="n">
        <f aca="false">IF(cleaned_data!C234="West",1,0)</f>
        <v>1</v>
      </c>
      <c r="R234" s="0" t="n">
        <f aca="false">IF(cleaned_data!D234="Airport",1,0)</f>
        <v>0</v>
      </c>
      <c r="S234" s="0" t="n">
        <f aca="false">IF(cleaned_data!D234="Mall",1,0)</f>
        <v>0</v>
      </c>
      <c r="T234" s="0" t="n">
        <f aca="false">IF(cleaned_data!D234="Residential",1,0)</f>
        <v>1</v>
      </c>
    </row>
    <row r="235" customFormat="false" ht="15" hidden="false" customHeight="false" outlineLevel="0" collapsed="false">
      <c r="A235" s="0" t="str">
        <f aca="false">cleaned_data!A235</f>
        <v>STR-1059</v>
      </c>
      <c r="B235" s="0" t="str">
        <f aca="false">cleaned_data!B235</f>
        <v>2025-02-01</v>
      </c>
      <c r="C235" s="0" t="str">
        <f aca="false">cleaned_data!C235</f>
        <v>West</v>
      </c>
      <c r="D235" s="0" t="str">
        <f aca="false">cleaned_data!D235</f>
        <v>Residential</v>
      </c>
      <c r="E235" s="0" t="n">
        <f aca="false">cleaned_data!E235</f>
        <v>61650.79</v>
      </c>
      <c r="F235" s="0" t="n">
        <f aca="false">cleaned_data!F235</f>
        <v>5321</v>
      </c>
      <c r="G235" s="0" t="n">
        <f aca="false">cleaned_data!G235</f>
        <v>0.126</v>
      </c>
      <c r="H235" s="0" t="n">
        <f aca="false">cleaned_data!H235</f>
        <v>17</v>
      </c>
      <c r="I235" s="0" t="n">
        <f aca="false">cleaned_data!I235</f>
        <v>89.2</v>
      </c>
      <c r="J235" s="0" t="n">
        <f aca="false">cleaned_data!J235</f>
        <v>2.13</v>
      </c>
      <c r="K235" s="0" t="n">
        <f aca="false">cleaned_data!K235</f>
        <v>0</v>
      </c>
      <c r="L235" s="0" t="n">
        <f aca="false">cleaned_data!L235</f>
        <v>4</v>
      </c>
      <c r="M235" s="0" t="n">
        <f aca="false">cleaned_data!M235</f>
        <v>723305.11</v>
      </c>
      <c r="N235" s="0" t="n">
        <f aca="false">cleaned_data!N235</f>
        <v>128468.7</v>
      </c>
      <c r="O235" s="0" t="n">
        <f aca="false">IF(cleaned_data!C235="North",1,0)</f>
        <v>0</v>
      </c>
      <c r="P235" s="0" t="n">
        <f aca="false">IF(cleaned_data!C235="South",1,0)</f>
        <v>0</v>
      </c>
      <c r="Q235" s="0" t="n">
        <f aca="false">IF(cleaned_data!C235="West",1,0)</f>
        <v>1</v>
      </c>
      <c r="R235" s="0" t="n">
        <f aca="false">IF(cleaned_data!D235="Airport",1,0)</f>
        <v>0</v>
      </c>
      <c r="S235" s="0" t="n">
        <f aca="false">IF(cleaned_data!D235="Mall",1,0)</f>
        <v>0</v>
      </c>
      <c r="T235" s="0" t="n">
        <f aca="false">IF(cleaned_data!D235="Residential",1,0)</f>
        <v>1</v>
      </c>
    </row>
    <row r="236" customFormat="false" ht="15" hidden="false" customHeight="false" outlineLevel="0" collapsed="false">
      <c r="A236" s="0" t="str">
        <f aca="false">cleaned_data!A236</f>
        <v>STR-1059</v>
      </c>
      <c r="B236" s="0" t="str">
        <f aca="false">cleaned_data!B236</f>
        <v>2025-03-01</v>
      </c>
      <c r="C236" s="0" t="str">
        <f aca="false">cleaned_data!C236</f>
        <v>West</v>
      </c>
      <c r="D236" s="0" t="str">
        <f aca="false">cleaned_data!D236</f>
        <v>Residential</v>
      </c>
      <c r="E236" s="0" t="n">
        <f aca="false">cleaned_data!E236</f>
        <v>62582.71</v>
      </c>
      <c r="F236" s="0" t="n">
        <f aca="false">cleaned_data!F236</f>
        <v>5479</v>
      </c>
      <c r="G236" s="0" t="n">
        <f aca="false">cleaned_data!G236</f>
        <v>0.048</v>
      </c>
      <c r="H236" s="0" t="n">
        <f aca="false">cleaned_data!H236</f>
        <v>16</v>
      </c>
      <c r="I236" s="0" t="n">
        <f aca="false">cleaned_data!I236</f>
        <v>81.2</v>
      </c>
      <c r="J236" s="0" t="n">
        <f aca="false">cleaned_data!J236</f>
        <v>1.46</v>
      </c>
      <c r="K236" s="0" t="n">
        <f aca="false">cleaned_data!K236</f>
        <v>0</v>
      </c>
      <c r="L236" s="0" t="n">
        <f aca="false">cleaned_data!L236</f>
        <v>4.5</v>
      </c>
      <c r="M236" s="0" t="n">
        <f aca="false">cleaned_data!M236</f>
        <v>640666.53</v>
      </c>
      <c r="N236" s="0" t="n">
        <f aca="false">cleaned_data!N236</f>
        <v>134919.16</v>
      </c>
      <c r="O236" s="0" t="n">
        <f aca="false">IF(cleaned_data!C236="North",1,0)</f>
        <v>0</v>
      </c>
      <c r="P236" s="0" t="n">
        <f aca="false">IF(cleaned_data!C236="South",1,0)</f>
        <v>0</v>
      </c>
      <c r="Q236" s="0" t="n">
        <f aca="false">IF(cleaned_data!C236="West",1,0)</f>
        <v>1</v>
      </c>
      <c r="R236" s="0" t="n">
        <f aca="false">IF(cleaned_data!D236="Airport",1,0)</f>
        <v>0</v>
      </c>
      <c r="S236" s="0" t="n">
        <f aca="false">IF(cleaned_data!D236="Mall",1,0)</f>
        <v>0</v>
      </c>
      <c r="T236" s="0" t="n">
        <f aca="false">IF(cleaned_data!D236="Residential",1,0)</f>
        <v>1</v>
      </c>
    </row>
    <row r="237" customFormat="false" ht="15" hidden="false" customHeight="false" outlineLevel="0" collapsed="false">
      <c r="A237" s="0" t="str">
        <f aca="false">cleaned_data!A237</f>
        <v>STR-1059</v>
      </c>
      <c r="B237" s="0" t="str">
        <f aca="false">cleaned_data!B237</f>
        <v>2025-04-01</v>
      </c>
      <c r="C237" s="0" t="str">
        <f aca="false">cleaned_data!C237</f>
        <v>West</v>
      </c>
      <c r="D237" s="0" t="str">
        <f aca="false">cleaned_data!D237</f>
        <v>Residential</v>
      </c>
      <c r="E237" s="0" t="n">
        <f aca="false">cleaned_data!E237</f>
        <v>47944.14</v>
      </c>
      <c r="F237" s="0" t="n">
        <f aca="false">cleaned_data!F237</f>
        <v>6169</v>
      </c>
      <c r="G237" s="0" t="n">
        <f aca="false">cleaned_data!G237</f>
        <v>0.119</v>
      </c>
      <c r="H237" s="0" t="n">
        <f aca="false">cleaned_data!H237</f>
        <v>17</v>
      </c>
      <c r="I237" s="0" t="n">
        <f aca="false">cleaned_data!I237</f>
        <v>92.2</v>
      </c>
      <c r="J237" s="0" t="n">
        <f aca="false">cleaned_data!J237</f>
        <v>3.02</v>
      </c>
      <c r="K237" s="0" t="n">
        <f aca="false">cleaned_data!K237</f>
        <v>0</v>
      </c>
      <c r="L237" s="0" t="n">
        <f aca="false">cleaned_data!L237</f>
        <v>4.1</v>
      </c>
      <c r="M237" s="0" t="n">
        <f aca="false">cleaned_data!M237</f>
        <v>670629.48</v>
      </c>
      <c r="N237" s="0" t="n">
        <f aca="false">cleaned_data!N237</f>
        <v>100140.8</v>
      </c>
      <c r="O237" s="0" t="n">
        <f aca="false">IF(cleaned_data!C237="North",1,0)</f>
        <v>0</v>
      </c>
      <c r="P237" s="0" t="n">
        <f aca="false">IF(cleaned_data!C237="South",1,0)</f>
        <v>0</v>
      </c>
      <c r="Q237" s="0" t="n">
        <f aca="false">IF(cleaned_data!C237="West",1,0)</f>
        <v>1</v>
      </c>
      <c r="R237" s="0" t="n">
        <f aca="false">IF(cleaned_data!D237="Airport",1,0)</f>
        <v>0</v>
      </c>
      <c r="S237" s="0" t="n">
        <f aca="false">IF(cleaned_data!D237="Mall",1,0)</f>
        <v>0</v>
      </c>
      <c r="T237" s="0" t="n">
        <f aca="false">IF(cleaned_data!D237="Residential",1,0)</f>
        <v>1</v>
      </c>
    </row>
    <row r="238" customFormat="false" ht="15" hidden="false" customHeight="false" outlineLevel="0" collapsed="false">
      <c r="A238" s="0" t="str">
        <f aca="false">cleaned_data!A238</f>
        <v>STR-1060</v>
      </c>
      <c r="B238" s="0" t="str">
        <f aca="false">cleaned_data!B238</f>
        <v>2025-01-01</v>
      </c>
      <c r="C238" s="0" t="str">
        <f aca="false">cleaned_data!C238</f>
        <v>West</v>
      </c>
      <c r="D238" s="0" t="str">
        <f aca="false">cleaned_data!D238</f>
        <v>Mall</v>
      </c>
      <c r="E238" s="0" t="n">
        <f aca="false">cleaned_data!E238</f>
        <v>46495.4</v>
      </c>
      <c r="F238" s="0" t="n">
        <f aca="false">cleaned_data!F238</f>
        <v>9908</v>
      </c>
      <c r="G238" s="0" t="n">
        <f aca="false">cleaned_data!G238</f>
        <v>0.121</v>
      </c>
      <c r="H238" s="0" t="n">
        <f aca="false">cleaned_data!H238</f>
        <v>22</v>
      </c>
      <c r="I238" s="0" t="n">
        <f aca="false">cleaned_data!I238</f>
        <v>89.4</v>
      </c>
      <c r="J238" s="0" t="n">
        <f aca="false">cleaned_data!J238</f>
        <v>3.22</v>
      </c>
      <c r="K238" s="0" t="n">
        <f aca="false">cleaned_data!K238</f>
        <v>0</v>
      </c>
      <c r="L238" s="0" t="n">
        <f aca="false">cleaned_data!L238</f>
        <v>3.7</v>
      </c>
      <c r="M238" s="0" t="n">
        <f aca="false">cleaned_data!M238</f>
        <v>721079.35</v>
      </c>
      <c r="N238" s="0" t="n">
        <f aca="false">cleaned_data!N238</f>
        <v>115295.05</v>
      </c>
      <c r="O238" s="0" t="n">
        <f aca="false">IF(cleaned_data!C238="North",1,0)</f>
        <v>0</v>
      </c>
      <c r="P238" s="0" t="n">
        <f aca="false">IF(cleaned_data!C238="South",1,0)</f>
        <v>0</v>
      </c>
      <c r="Q238" s="0" t="n">
        <f aca="false">IF(cleaned_data!C238="West",1,0)</f>
        <v>1</v>
      </c>
      <c r="R238" s="0" t="n">
        <f aca="false">IF(cleaned_data!D238="Airport",1,0)</f>
        <v>0</v>
      </c>
      <c r="S238" s="0" t="n">
        <f aca="false">IF(cleaned_data!D238="Mall",1,0)</f>
        <v>1</v>
      </c>
      <c r="T238" s="0" t="n">
        <f aca="false">IF(cleaned_data!D238="Residential",1,0)</f>
        <v>0</v>
      </c>
    </row>
    <row r="239" customFormat="false" ht="15" hidden="false" customHeight="false" outlineLevel="0" collapsed="false">
      <c r="A239" s="0" t="str">
        <f aca="false">cleaned_data!A239</f>
        <v>STR-1060</v>
      </c>
      <c r="B239" s="0" t="str">
        <f aca="false">cleaned_data!B239</f>
        <v>2025-02-01</v>
      </c>
      <c r="C239" s="0" t="str">
        <f aca="false">cleaned_data!C239</f>
        <v>West</v>
      </c>
      <c r="D239" s="0" t="str">
        <f aca="false">cleaned_data!D239</f>
        <v>Mall</v>
      </c>
      <c r="E239" s="0" t="n">
        <f aca="false">cleaned_data!E239</f>
        <v>72961.95</v>
      </c>
      <c r="F239" s="0" t="n">
        <f aca="false">cleaned_data!F239</f>
        <v>9996</v>
      </c>
      <c r="G239" s="0" t="n">
        <f aca="false">cleaned_data!G239</f>
        <v>0.106</v>
      </c>
      <c r="H239" s="0" t="n">
        <f aca="false">cleaned_data!H239</f>
        <v>22</v>
      </c>
      <c r="I239" s="0" t="n">
        <f aca="false">cleaned_data!I239</f>
        <v>89.1</v>
      </c>
      <c r="J239" s="0" t="n">
        <f aca="false">cleaned_data!J239</f>
        <v>15.66</v>
      </c>
      <c r="K239" s="0" t="n">
        <f aca="false">cleaned_data!K239</f>
        <v>0</v>
      </c>
      <c r="L239" s="0" t="n">
        <f aca="false">cleaned_data!L239</f>
        <v>3.4</v>
      </c>
      <c r="M239" s="0" t="n">
        <f aca="false">cleaned_data!M239</f>
        <v>810355.02</v>
      </c>
      <c r="N239" s="0" t="n">
        <f aca="false">cleaned_data!N239</f>
        <v>131510</v>
      </c>
      <c r="O239" s="0" t="n">
        <f aca="false">IF(cleaned_data!C239="North",1,0)</f>
        <v>0</v>
      </c>
      <c r="P239" s="0" t="n">
        <f aca="false">IF(cleaned_data!C239="South",1,0)</f>
        <v>0</v>
      </c>
      <c r="Q239" s="0" t="n">
        <f aca="false">IF(cleaned_data!C239="West",1,0)</f>
        <v>1</v>
      </c>
      <c r="R239" s="0" t="n">
        <f aca="false">IF(cleaned_data!D239="Airport",1,0)</f>
        <v>0</v>
      </c>
      <c r="S239" s="0" t="n">
        <f aca="false">IF(cleaned_data!D239="Mall",1,0)</f>
        <v>1</v>
      </c>
      <c r="T239" s="0" t="n">
        <f aca="false">IF(cleaned_data!D239="Residential",1,0)</f>
        <v>0</v>
      </c>
    </row>
    <row r="240" customFormat="false" ht="15" hidden="false" customHeight="false" outlineLevel="0" collapsed="false">
      <c r="A240" s="0" t="str">
        <f aca="false">cleaned_data!A240</f>
        <v>STR-1060</v>
      </c>
      <c r="B240" s="0" t="str">
        <f aca="false">cleaned_data!B240</f>
        <v>2025-03-01</v>
      </c>
      <c r="C240" s="0" t="str">
        <f aca="false">cleaned_data!C240</f>
        <v>West</v>
      </c>
      <c r="D240" s="0" t="str">
        <f aca="false">cleaned_data!D240</f>
        <v>Mall</v>
      </c>
      <c r="E240" s="0" t="n">
        <f aca="false">cleaned_data!E240</f>
        <v>59060.05</v>
      </c>
      <c r="F240" s="0" t="n">
        <f aca="false">cleaned_data!F240</f>
        <v>9702</v>
      </c>
      <c r="G240" s="0" t="n">
        <f aca="false">cleaned_data!G240</f>
        <v>0.201</v>
      </c>
      <c r="H240" s="0" t="n">
        <f aca="false">cleaned_data!H240</f>
        <v>23</v>
      </c>
      <c r="I240" s="0" t="n">
        <f aca="false">cleaned_data!I240</f>
        <v>80.9</v>
      </c>
      <c r="J240" s="0" t="n">
        <f aca="false">cleaned_data!J240</f>
        <v>6.96</v>
      </c>
      <c r="K240" s="0" t="n">
        <f aca="false">cleaned_data!K240</f>
        <v>0</v>
      </c>
      <c r="L240" s="0" t="n">
        <f aca="false">cleaned_data!L240</f>
        <v>3.2</v>
      </c>
      <c r="M240" s="0" t="n">
        <f aca="false">cleaned_data!M240</f>
        <v>761919.25</v>
      </c>
      <c r="N240" s="0" t="n">
        <f aca="false">cleaned_data!N240</f>
        <v>111893.06</v>
      </c>
      <c r="O240" s="0" t="n">
        <f aca="false">IF(cleaned_data!C240="North",1,0)</f>
        <v>0</v>
      </c>
      <c r="P240" s="0" t="n">
        <f aca="false">IF(cleaned_data!C240="South",1,0)</f>
        <v>0</v>
      </c>
      <c r="Q240" s="0" t="n">
        <f aca="false">IF(cleaned_data!C240="West",1,0)</f>
        <v>1</v>
      </c>
      <c r="R240" s="0" t="n">
        <f aca="false">IF(cleaned_data!D240="Airport",1,0)</f>
        <v>0</v>
      </c>
      <c r="S240" s="0" t="n">
        <f aca="false">IF(cleaned_data!D240="Mall",1,0)</f>
        <v>1</v>
      </c>
      <c r="T240" s="0" t="n">
        <f aca="false">IF(cleaned_data!D240="Residential",1,0)</f>
        <v>0</v>
      </c>
    </row>
    <row r="241" customFormat="false" ht="15" hidden="false" customHeight="false" outlineLevel="0" collapsed="false">
      <c r="A241" s="0" t="str">
        <f aca="false">cleaned_data!A241</f>
        <v>STR-1060</v>
      </c>
      <c r="B241" s="0" t="str">
        <f aca="false">cleaned_data!B241</f>
        <v>2025-04-01</v>
      </c>
      <c r="C241" s="0" t="str">
        <f aca="false">cleaned_data!C241</f>
        <v>West</v>
      </c>
      <c r="D241" s="0" t="str">
        <f aca="false">cleaned_data!D241</f>
        <v>Mall</v>
      </c>
      <c r="E241" s="0" t="n">
        <f aca="false">cleaned_data!E241</f>
        <v>26248.1</v>
      </c>
      <c r="F241" s="0" t="n">
        <f aca="false">cleaned_data!F241</f>
        <v>9314</v>
      </c>
      <c r="G241" s="0" t="n">
        <f aca="false">cleaned_data!G241</f>
        <v>0.186</v>
      </c>
      <c r="H241" s="0" t="n">
        <f aca="false">cleaned_data!H241</f>
        <v>21</v>
      </c>
      <c r="I241" s="0" t="n">
        <f aca="false">cleaned_data!I241</f>
        <v>83.7</v>
      </c>
      <c r="J241" s="0" t="n">
        <f aca="false">cleaned_data!J241</f>
        <v>4.62</v>
      </c>
      <c r="K241" s="0" t="n">
        <f aca="false">cleaned_data!K241</f>
        <v>0</v>
      </c>
      <c r="L241" s="0" t="n">
        <f aca="false">cleaned_data!L241</f>
        <v>3.3</v>
      </c>
      <c r="M241" s="0" t="n">
        <f aca="false">cleaned_data!M241</f>
        <v>737070.18</v>
      </c>
      <c r="N241" s="0" t="n">
        <f aca="false">cleaned_data!N241</f>
        <v>117593.97</v>
      </c>
      <c r="O241" s="0" t="n">
        <f aca="false">IF(cleaned_data!C241="North",1,0)</f>
        <v>0</v>
      </c>
      <c r="P241" s="0" t="n">
        <f aca="false">IF(cleaned_data!C241="South",1,0)</f>
        <v>0</v>
      </c>
      <c r="Q241" s="0" t="n">
        <f aca="false">IF(cleaned_data!C241="West",1,0)</f>
        <v>1</v>
      </c>
      <c r="R241" s="0" t="n">
        <f aca="false">IF(cleaned_data!D241="Airport",1,0)</f>
        <v>0</v>
      </c>
      <c r="S241" s="0" t="n">
        <f aca="false">IF(cleaned_data!D241="Mall",1,0)</f>
        <v>1</v>
      </c>
      <c r="T241" s="0" t="n">
        <f aca="false">IF(cleaned_data!D241="Residential",1,0)</f>
        <v>0</v>
      </c>
    </row>
    <row r="242" customFormat="false" ht="15" hidden="false" customHeight="false" outlineLevel="0" collapsed="false">
      <c r="A242" s="0" t="str">
        <f aca="false">cleaned_data!A242</f>
        <v>STR-1061</v>
      </c>
      <c r="B242" s="0" t="str">
        <f aca="false">cleaned_data!B242</f>
        <v>2025-01-01</v>
      </c>
      <c r="C242" s="0" t="str">
        <f aca="false">cleaned_data!C242</f>
        <v>South</v>
      </c>
      <c r="D242" s="0" t="str">
        <f aca="false">cleaned_data!D242</f>
        <v>Airport</v>
      </c>
      <c r="E242" s="0" t="n">
        <f aca="false">cleaned_data!E242</f>
        <v>69900.12</v>
      </c>
      <c r="F242" s="0" t="n">
        <f aca="false">cleaned_data!F242</f>
        <v>8055</v>
      </c>
      <c r="G242" s="0" t="n">
        <f aca="false">cleaned_data!G242</f>
        <v>0.281</v>
      </c>
      <c r="H242" s="0" t="n">
        <f aca="false">cleaned_data!H242</f>
        <v>22</v>
      </c>
      <c r="I242" s="0" t="n">
        <f aca="false">cleaned_data!I242</f>
        <v>85.6</v>
      </c>
      <c r="J242" s="0" t="n">
        <f aca="false">cleaned_data!J242</f>
        <v>10.68</v>
      </c>
      <c r="K242" s="0" t="n">
        <f aca="false">cleaned_data!K242</f>
        <v>1</v>
      </c>
      <c r="L242" s="0" t="n">
        <f aca="false">cleaned_data!L242</f>
        <v>2.9</v>
      </c>
      <c r="M242" s="0" t="n">
        <f aca="false">cleaned_data!M242</f>
        <v>776992.93</v>
      </c>
      <c r="N242" s="0" t="n">
        <f aca="false">cleaned_data!N242</f>
        <v>101598.32</v>
      </c>
      <c r="O242" s="0" t="n">
        <f aca="false">IF(cleaned_data!C242="North",1,0)</f>
        <v>0</v>
      </c>
      <c r="P242" s="0" t="n">
        <f aca="false">IF(cleaned_data!C242="South",1,0)</f>
        <v>1</v>
      </c>
      <c r="Q242" s="0" t="n">
        <f aca="false">IF(cleaned_data!C242="West",1,0)</f>
        <v>0</v>
      </c>
      <c r="R242" s="0" t="n">
        <f aca="false">IF(cleaned_data!D242="Airport",1,0)</f>
        <v>1</v>
      </c>
      <c r="S242" s="0" t="n">
        <f aca="false">IF(cleaned_data!D242="Mall",1,0)</f>
        <v>0</v>
      </c>
      <c r="T242" s="0" t="n">
        <f aca="false">IF(cleaned_data!D242="Residential",1,0)</f>
        <v>0</v>
      </c>
    </row>
    <row r="243" customFormat="false" ht="15" hidden="false" customHeight="false" outlineLevel="0" collapsed="false">
      <c r="A243" s="0" t="str">
        <f aca="false">cleaned_data!A243</f>
        <v>STR-1061</v>
      </c>
      <c r="B243" s="0" t="str">
        <f aca="false">cleaned_data!B243</f>
        <v>2025-02-01</v>
      </c>
      <c r="C243" s="0" t="str">
        <f aca="false">cleaned_data!C243</f>
        <v>South</v>
      </c>
      <c r="D243" s="0" t="str">
        <f aca="false">cleaned_data!D243</f>
        <v>Airport</v>
      </c>
      <c r="E243" s="0" t="n">
        <f aca="false">cleaned_data!E243</f>
        <v>51781.6</v>
      </c>
      <c r="F243" s="0" t="n">
        <f aca="false">cleaned_data!F243</f>
        <v>5648</v>
      </c>
      <c r="G243" s="0" t="n">
        <f aca="false">cleaned_data!G243</f>
        <v>0.059</v>
      </c>
      <c r="H243" s="0" t="n">
        <f aca="false">cleaned_data!H243</f>
        <v>13</v>
      </c>
      <c r="I243" s="0" t="n">
        <f aca="false">cleaned_data!I243</f>
        <v>85.5</v>
      </c>
      <c r="J243" s="0" t="n">
        <f aca="false">cleaned_data!J243</f>
        <v>4.04</v>
      </c>
      <c r="K243" s="0" t="n">
        <f aca="false">cleaned_data!K243</f>
        <v>0</v>
      </c>
      <c r="L243" s="0" t="n">
        <f aca="false">cleaned_data!L243</f>
        <v>3.7</v>
      </c>
      <c r="M243" s="0" t="n">
        <f aca="false">cleaned_data!M243</f>
        <v>676337.41</v>
      </c>
      <c r="N243" s="0" t="n">
        <f aca="false">cleaned_data!N243</f>
        <v>104355.77</v>
      </c>
      <c r="O243" s="0" t="n">
        <f aca="false">IF(cleaned_data!C243="North",1,0)</f>
        <v>0</v>
      </c>
      <c r="P243" s="0" t="n">
        <f aca="false">IF(cleaned_data!C243="South",1,0)</f>
        <v>1</v>
      </c>
      <c r="Q243" s="0" t="n">
        <f aca="false">IF(cleaned_data!C243="West",1,0)</f>
        <v>0</v>
      </c>
      <c r="R243" s="0" t="n">
        <f aca="false">IF(cleaned_data!D243="Airport",1,0)</f>
        <v>1</v>
      </c>
      <c r="S243" s="0" t="n">
        <f aca="false">IF(cleaned_data!D243="Mall",1,0)</f>
        <v>0</v>
      </c>
      <c r="T243" s="0" t="n">
        <f aca="false">IF(cleaned_data!D243="Residential",1,0)</f>
        <v>0</v>
      </c>
    </row>
    <row r="244" customFormat="false" ht="15" hidden="false" customHeight="false" outlineLevel="0" collapsed="false">
      <c r="A244" s="0" t="str">
        <f aca="false">cleaned_data!A244</f>
        <v>STR-1061</v>
      </c>
      <c r="B244" s="0" t="str">
        <f aca="false">cleaned_data!B244</f>
        <v>2025-03-01</v>
      </c>
      <c r="C244" s="0" t="str">
        <f aca="false">cleaned_data!C244</f>
        <v>South</v>
      </c>
      <c r="D244" s="0" t="str">
        <f aca="false">cleaned_data!D244</f>
        <v>Airport</v>
      </c>
      <c r="E244" s="0" t="n">
        <f aca="false">cleaned_data!E244</f>
        <v>70799.64</v>
      </c>
      <c r="F244" s="0" t="n">
        <f aca="false">cleaned_data!F244</f>
        <v>10076</v>
      </c>
      <c r="G244" s="0" t="n">
        <f aca="false">cleaned_data!G244</f>
        <v>0.152</v>
      </c>
      <c r="H244" s="0" t="n">
        <f aca="false">cleaned_data!H244</f>
        <v>24</v>
      </c>
      <c r="I244" s="0" t="n">
        <f aca="false">cleaned_data!I244</f>
        <v>84.8</v>
      </c>
      <c r="J244" s="0" t="n">
        <f aca="false">cleaned_data!J244</f>
        <v>1.87</v>
      </c>
      <c r="K244" s="0" t="n">
        <f aca="false">cleaned_data!K244</f>
        <v>0</v>
      </c>
      <c r="L244" s="0" t="n">
        <f aca="false">cleaned_data!L244</f>
        <v>3.5</v>
      </c>
      <c r="M244" s="0" t="n">
        <f aca="false">cleaned_data!M244</f>
        <v>828219.67</v>
      </c>
      <c r="N244" s="0" t="n">
        <f aca="false">cleaned_data!N244</f>
        <v>179806.87</v>
      </c>
      <c r="O244" s="0" t="n">
        <f aca="false">IF(cleaned_data!C244="North",1,0)</f>
        <v>0</v>
      </c>
      <c r="P244" s="0" t="n">
        <f aca="false">IF(cleaned_data!C244="South",1,0)</f>
        <v>1</v>
      </c>
      <c r="Q244" s="0" t="n">
        <f aca="false">IF(cleaned_data!C244="West",1,0)</f>
        <v>0</v>
      </c>
      <c r="R244" s="0" t="n">
        <f aca="false">IF(cleaned_data!D244="Airport",1,0)</f>
        <v>1</v>
      </c>
      <c r="S244" s="0" t="n">
        <f aca="false">IF(cleaned_data!D244="Mall",1,0)</f>
        <v>0</v>
      </c>
      <c r="T244" s="0" t="n">
        <f aca="false">IF(cleaned_data!D244="Residential",1,0)</f>
        <v>0</v>
      </c>
    </row>
    <row r="245" customFormat="false" ht="15" hidden="false" customHeight="false" outlineLevel="0" collapsed="false">
      <c r="A245" s="0" t="str">
        <f aca="false">cleaned_data!A245</f>
        <v>STR-1061</v>
      </c>
      <c r="B245" s="0" t="str">
        <f aca="false">cleaned_data!B245</f>
        <v>2025-04-01</v>
      </c>
      <c r="C245" s="0" t="str">
        <f aca="false">cleaned_data!C245</f>
        <v>South</v>
      </c>
      <c r="D245" s="0" t="str">
        <f aca="false">cleaned_data!D245</f>
        <v>Airport</v>
      </c>
      <c r="E245" s="0" t="n">
        <f aca="false">cleaned_data!E245</f>
        <v>53546.34</v>
      </c>
      <c r="F245" s="0" t="n">
        <f aca="false">cleaned_data!F245</f>
        <v>8004</v>
      </c>
      <c r="G245" s="0" t="n">
        <f aca="false">cleaned_data!G245</f>
        <v>0</v>
      </c>
      <c r="H245" s="0" t="n">
        <f aca="false">cleaned_data!H245</f>
        <v>21</v>
      </c>
      <c r="I245" s="0" t="n">
        <f aca="false">cleaned_data!I245</f>
        <v>95.2</v>
      </c>
      <c r="J245" s="0" t="n">
        <f aca="false">cleaned_data!J245</f>
        <v>2.83</v>
      </c>
      <c r="K245" s="0" t="n">
        <f aca="false">cleaned_data!K245</f>
        <v>0</v>
      </c>
      <c r="L245" s="0" t="n">
        <f aca="false">cleaned_data!L245</f>
        <v>3</v>
      </c>
      <c r="M245" s="0" t="n">
        <f aca="false">cleaned_data!M245</f>
        <v>763159.92</v>
      </c>
      <c r="N245" s="0" t="n">
        <f aca="false">cleaned_data!N245</f>
        <v>177104.87</v>
      </c>
      <c r="O245" s="0" t="n">
        <f aca="false">IF(cleaned_data!C245="North",1,0)</f>
        <v>0</v>
      </c>
      <c r="P245" s="0" t="n">
        <f aca="false">IF(cleaned_data!C245="South",1,0)</f>
        <v>1</v>
      </c>
      <c r="Q245" s="0" t="n">
        <f aca="false">IF(cleaned_data!C245="West",1,0)</f>
        <v>0</v>
      </c>
      <c r="R245" s="0" t="n">
        <f aca="false">IF(cleaned_data!D245="Airport",1,0)</f>
        <v>1</v>
      </c>
      <c r="S245" s="0" t="n">
        <f aca="false">IF(cleaned_data!D245="Mall",1,0)</f>
        <v>0</v>
      </c>
      <c r="T245" s="0" t="n">
        <f aca="false">IF(cleaned_data!D245="Residential",1,0)</f>
        <v>0</v>
      </c>
    </row>
    <row r="246" customFormat="false" ht="15" hidden="false" customHeight="false" outlineLevel="0" collapsed="false">
      <c r="A246" s="0" t="str">
        <f aca="false">cleaned_data!A246</f>
        <v>STR-1062</v>
      </c>
      <c r="B246" s="0" t="str">
        <f aca="false">cleaned_data!B246</f>
        <v>2025-01-01</v>
      </c>
      <c r="C246" s="0" t="str">
        <f aca="false">cleaned_data!C246</f>
        <v>East</v>
      </c>
      <c r="D246" s="0" t="str">
        <f aca="false">cleaned_data!D246</f>
        <v>High Street</v>
      </c>
      <c r="E246" s="0" t="n">
        <f aca="false">cleaned_data!E246</f>
        <v>76942.2</v>
      </c>
      <c r="F246" s="0" t="n">
        <f aca="false">cleaned_data!F246</f>
        <v>8934</v>
      </c>
      <c r="G246" s="0" t="n">
        <f aca="false">cleaned_data!G246</f>
        <v>0.084</v>
      </c>
      <c r="H246" s="0" t="n">
        <f aca="false">cleaned_data!H246</f>
        <v>20</v>
      </c>
      <c r="I246" s="0" t="n">
        <f aca="false">cleaned_data!I246</f>
        <v>91</v>
      </c>
      <c r="J246" s="0" t="n">
        <f aca="false">cleaned_data!J246</f>
        <v>0.95</v>
      </c>
      <c r="K246" s="0" t="n">
        <f aca="false">cleaned_data!K246</f>
        <v>0</v>
      </c>
      <c r="L246" s="0" t="n">
        <f aca="false">cleaned_data!L246</f>
        <v>3.2</v>
      </c>
      <c r="M246" s="0" t="n">
        <f aca="false">cleaned_data!M246</f>
        <v>802001.68</v>
      </c>
      <c r="N246" s="0" t="n">
        <f aca="false">cleaned_data!N246</f>
        <v>159715.82</v>
      </c>
      <c r="O246" s="0" t="n">
        <f aca="false">IF(cleaned_data!C246="North",1,0)</f>
        <v>0</v>
      </c>
      <c r="P246" s="0" t="n">
        <f aca="false">IF(cleaned_data!C246="South",1,0)</f>
        <v>0</v>
      </c>
      <c r="Q246" s="0" t="n">
        <f aca="false">IF(cleaned_data!C246="West",1,0)</f>
        <v>0</v>
      </c>
      <c r="R246" s="0" t="n">
        <f aca="false">IF(cleaned_data!D246="Airport",1,0)</f>
        <v>0</v>
      </c>
      <c r="S246" s="0" t="n">
        <f aca="false">IF(cleaned_data!D246="Mall",1,0)</f>
        <v>0</v>
      </c>
      <c r="T246" s="0" t="n">
        <f aca="false">IF(cleaned_data!D246="Residential",1,0)</f>
        <v>0</v>
      </c>
    </row>
    <row r="247" customFormat="false" ht="15" hidden="false" customHeight="false" outlineLevel="0" collapsed="false">
      <c r="A247" s="0" t="str">
        <f aca="false">cleaned_data!A247</f>
        <v>STR-1062</v>
      </c>
      <c r="B247" s="0" t="str">
        <f aca="false">cleaned_data!B247</f>
        <v>2025-02-01</v>
      </c>
      <c r="C247" s="0" t="str">
        <f aca="false">cleaned_data!C247</f>
        <v>East</v>
      </c>
      <c r="D247" s="0" t="str">
        <f aca="false">cleaned_data!D247</f>
        <v>High Street</v>
      </c>
      <c r="E247" s="0" t="n">
        <f aca="false">cleaned_data!E247</f>
        <v>48060.78</v>
      </c>
      <c r="F247" s="0" t="n">
        <f aca="false">cleaned_data!F247</f>
        <v>8733</v>
      </c>
      <c r="G247" s="0" t="n">
        <f aca="false">cleaned_data!G247</f>
        <v>0</v>
      </c>
      <c r="H247" s="0" t="n">
        <f aca="false">cleaned_data!H247</f>
        <v>20</v>
      </c>
      <c r="I247" s="0" t="n">
        <f aca="false">cleaned_data!I247</f>
        <v>89.9</v>
      </c>
      <c r="J247" s="0" t="n">
        <f aca="false">cleaned_data!J247</f>
        <v>0.8</v>
      </c>
      <c r="K247" s="0" t="n">
        <f aca="false">cleaned_data!K247</f>
        <v>0</v>
      </c>
      <c r="L247" s="0" t="n">
        <f aca="false">cleaned_data!L247</f>
        <v>3.4</v>
      </c>
      <c r="M247" s="0" t="n">
        <f aca="false">cleaned_data!M247</f>
        <v>750471.34</v>
      </c>
      <c r="N247" s="0" t="n">
        <f aca="false">cleaned_data!N247</f>
        <v>133788.04</v>
      </c>
      <c r="O247" s="0" t="n">
        <f aca="false">IF(cleaned_data!C247="North",1,0)</f>
        <v>0</v>
      </c>
      <c r="P247" s="0" t="n">
        <f aca="false">IF(cleaned_data!C247="South",1,0)</f>
        <v>0</v>
      </c>
      <c r="Q247" s="0" t="n">
        <f aca="false">IF(cleaned_data!C247="West",1,0)</f>
        <v>0</v>
      </c>
      <c r="R247" s="0" t="n">
        <f aca="false">IF(cleaned_data!D247="Airport",1,0)</f>
        <v>0</v>
      </c>
      <c r="S247" s="0" t="n">
        <f aca="false">IF(cleaned_data!D247="Mall",1,0)</f>
        <v>0</v>
      </c>
      <c r="T247" s="0" t="n">
        <f aca="false">IF(cleaned_data!D247="Residential",1,0)</f>
        <v>0</v>
      </c>
    </row>
    <row r="248" customFormat="false" ht="15" hidden="false" customHeight="false" outlineLevel="0" collapsed="false">
      <c r="A248" s="0" t="str">
        <f aca="false">cleaned_data!A248</f>
        <v>STR-1062</v>
      </c>
      <c r="B248" s="0" t="str">
        <f aca="false">cleaned_data!B248</f>
        <v>2025-03-01</v>
      </c>
      <c r="C248" s="0" t="str">
        <f aca="false">cleaned_data!C248</f>
        <v>East</v>
      </c>
      <c r="D248" s="0" t="str">
        <f aca="false">cleaned_data!D248</f>
        <v>High Street</v>
      </c>
      <c r="E248" s="0" t="n">
        <f aca="false">cleaned_data!E248</f>
        <v>57390.04</v>
      </c>
      <c r="F248" s="0" t="n">
        <f aca="false">cleaned_data!F248</f>
        <v>7374</v>
      </c>
      <c r="G248" s="0" t="n">
        <f aca="false">cleaned_data!G248</f>
        <v>0.21</v>
      </c>
      <c r="H248" s="0" t="n">
        <f aca="false">cleaned_data!H248</f>
        <v>21</v>
      </c>
      <c r="I248" s="0" t="n">
        <f aca="false">cleaned_data!I248</f>
        <v>91.8</v>
      </c>
      <c r="J248" s="0" t="n">
        <f aca="false">cleaned_data!J248</f>
        <v>0.2</v>
      </c>
      <c r="K248" s="0" t="n">
        <f aca="false">cleaned_data!K248</f>
        <v>0</v>
      </c>
      <c r="L248" s="0" t="n">
        <f aca="false">cleaned_data!L248</f>
        <v>3.1</v>
      </c>
      <c r="M248" s="0" t="n">
        <f aca="false">cleaned_data!M248</f>
        <v>679230.86</v>
      </c>
      <c r="N248" s="0" t="n">
        <f aca="false">cleaned_data!N248</f>
        <v>106927.58</v>
      </c>
      <c r="O248" s="0" t="n">
        <f aca="false">IF(cleaned_data!C248="North",1,0)</f>
        <v>0</v>
      </c>
      <c r="P248" s="0" t="n">
        <f aca="false">IF(cleaned_data!C248="South",1,0)</f>
        <v>0</v>
      </c>
      <c r="Q248" s="0" t="n">
        <f aca="false">IF(cleaned_data!C248="West",1,0)</f>
        <v>0</v>
      </c>
      <c r="R248" s="0" t="n">
        <f aca="false">IF(cleaned_data!D248="Airport",1,0)</f>
        <v>0</v>
      </c>
      <c r="S248" s="0" t="n">
        <f aca="false">IF(cleaned_data!D248="Mall",1,0)</f>
        <v>0</v>
      </c>
      <c r="T248" s="0" t="n">
        <f aca="false">IF(cleaned_data!D248="Residential",1,0)</f>
        <v>0</v>
      </c>
    </row>
    <row r="249" customFormat="false" ht="15" hidden="false" customHeight="false" outlineLevel="0" collapsed="false">
      <c r="A249" s="0" t="str">
        <f aca="false">cleaned_data!A249</f>
        <v>STR-1062</v>
      </c>
      <c r="B249" s="0" t="str">
        <f aca="false">cleaned_data!B249</f>
        <v>2025-04-01</v>
      </c>
      <c r="C249" s="0" t="str">
        <f aca="false">cleaned_data!C249</f>
        <v>East</v>
      </c>
      <c r="D249" s="0" t="str">
        <f aca="false">cleaned_data!D249</f>
        <v>High Street</v>
      </c>
      <c r="E249" s="0" t="n">
        <f aca="false">cleaned_data!E249</f>
        <v>21536.18</v>
      </c>
      <c r="F249" s="0" t="n">
        <f aca="false">cleaned_data!F249</f>
        <v>8119</v>
      </c>
      <c r="G249" s="0" t="n">
        <f aca="false">cleaned_data!G249</f>
        <v>0.227</v>
      </c>
      <c r="H249" s="0" t="n">
        <f aca="false">cleaned_data!H249</f>
        <v>20</v>
      </c>
      <c r="I249" s="0" t="n">
        <f aca="false">cleaned_data!I249</f>
        <v>90.4</v>
      </c>
      <c r="J249" s="0" t="n">
        <f aca="false">cleaned_data!J249</f>
        <v>1.7</v>
      </c>
      <c r="K249" s="0" t="n">
        <f aca="false">cleaned_data!K249</f>
        <v>0</v>
      </c>
      <c r="L249" s="0" t="n">
        <f aca="false">cleaned_data!L249</f>
        <v>3.3</v>
      </c>
      <c r="M249" s="0" t="n">
        <f aca="false">cleaned_data!M249</f>
        <v>679888.74</v>
      </c>
      <c r="N249" s="0" t="n">
        <f aca="false">cleaned_data!N249</f>
        <v>83406.89</v>
      </c>
      <c r="O249" s="0" t="n">
        <f aca="false">IF(cleaned_data!C249="North",1,0)</f>
        <v>0</v>
      </c>
      <c r="P249" s="0" t="n">
        <f aca="false">IF(cleaned_data!C249="South",1,0)</f>
        <v>0</v>
      </c>
      <c r="Q249" s="0" t="n">
        <f aca="false">IF(cleaned_data!C249="West",1,0)</f>
        <v>0</v>
      </c>
      <c r="R249" s="0" t="n">
        <f aca="false">IF(cleaned_data!D249="Airport",1,0)</f>
        <v>0</v>
      </c>
      <c r="S249" s="0" t="n">
        <f aca="false">IF(cleaned_data!D249="Mall",1,0)</f>
        <v>0</v>
      </c>
      <c r="T249" s="0" t="n">
        <f aca="false">IF(cleaned_data!D249="Residential",1,0)</f>
        <v>0</v>
      </c>
    </row>
    <row r="250" customFormat="false" ht="15" hidden="false" customHeight="false" outlineLevel="0" collapsed="false">
      <c r="A250" s="0" t="str">
        <f aca="false">cleaned_data!A250</f>
        <v>STR-1063</v>
      </c>
      <c r="B250" s="0" t="str">
        <f aca="false">cleaned_data!B250</f>
        <v>2025-01-01</v>
      </c>
      <c r="C250" s="0" t="str">
        <f aca="false">cleaned_data!C250</f>
        <v>North</v>
      </c>
      <c r="D250" s="0" t="str">
        <f aca="false">cleaned_data!D250</f>
        <v>High Street</v>
      </c>
      <c r="E250" s="0" t="n">
        <f aca="false">cleaned_data!E250</f>
        <v>40923.67</v>
      </c>
      <c r="F250" s="0" t="n">
        <f aca="false">cleaned_data!F250</f>
        <v>3875</v>
      </c>
      <c r="G250" s="0" t="n">
        <f aca="false">cleaned_data!G250</f>
        <v>0.15</v>
      </c>
      <c r="H250" s="0" t="n">
        <f aca="false">cleaned_data!H250</f>
        <v>10</v>
      </c>
      <c r="I250" s="0" t="n">
        <f aca="false">cleaned_data!I250</f>
        <v>96.1</v>
      </c>
      <c r="J250" s="0" t="n">
        <f aca="false">cleaned_data!J250</f>
        <v>3.365</v>
      </c>
      <c r="K250" s="0" t="n">
        <f aca="false">cleaned_data!K250</f>
        <v>0</v>
      </c>
      <c r="L250" s="0" t="n">
        <f aca="false">cleaned_data!L250</f>
        <v>3.8</v>
      </c>
      <c r="M250" s="0" t="n">
        <f aca="false">cleaned_data!M250</f>
        <v>606783.67</v>
      </c>
      <c r="N250" s="0" t="n">
        <f aca="false">cleaned_data!N250</f>
        <v>74515.87</v>
      </c>
      <c r="O250" s="0" t="n">
        <f aca="false">IF(cleaned_data!C250="North",1,0)</f>
        <v>1</v>
      </c>
      <c r="P250" s="0" t="n">
        <f aca="false">IF(cleaned_data!C250="South",1,0)</f>
        <v>0</v>
      </c>
      <c r="Q250" s="0" t="n">
        <f aca="false">IF(cleaned_data!C250="West",1,0)</f>
        <v>0</v>
      </c>
      <c r="R250" s="0" t="n">
        <f aca="false">IF(cleaned_data!D250="Airport",1,0)</f>
        <v>0</v>
      </c>
      <c r="S250" s="0" t="n">
        <f aca="false">IF(cleaned_data!D250="Mall",1,0)</f>
        <v>0</v>
      </c>
      <c r="T250" s="0" t="n">
        <f aca="false">IF(cleaned_data!D250="Residential",1,0)</f>
        <v>0</v>
      </c>
    </row>
    <row r="251" customFormat="false" ht="15" hidden="false" customHeight="false" outlineLevel="0" collapsed="false">
      <c r="A251" s="0" t="str">
        <f aca="false">cleaned_data!A251</f>
        <v>STR-1063</v>
      </c>
      <c r="B251" s="0" t="str">
        <f aca="false">cleaned_data!B251</f>
        <v>2025-02-01</v>
      </c>
      <c r="C251" s="0" t="str">
        <f aca="false">cleaned_data!C251</f>
        <v>North</v>
      </c>
      <c r="D251" s="0" t="str">
        <f aca="false">cleaned_data!D251</f>
        <v>High Street</v>
      </c>
      <c r="E251" s="0" t="n">
        <f aca="false">cleaned_data!E251</f>
        <v>72932.55</v>
      </c>
      <c r="F251" s="0" t="n">
        <f aca="false">cleaned_data!F251</f>
        <v>5765</v>
      </c>
      <c r="G251" s="0" t="n">
        <f aca="false">cleaned_data!G251</f>
        <v>0.026</v>
      </c>
      <c r="H251" s="0" t="n">
        <f aca="false">cleaned_data!H251</f>
        <v>17</v>
      </c>
      <c r="I251" s="0" t="n">
        <f aca="false">cleaned_data!I251</f>
        <v>81.8</v>
      </c>
      <c r="J251" s="0" t="n">
        <f aca="false">cleaned_data!J251</f>
        <v>5.1</v>
      </c>
      <c r="K251" s="0" t="n">
        <f aca="false">cleaned_data!K251</f>
        <v>0</v>
      </c>
      <c r="L251" s="0" t="n">
        <f aca="false">cleaned_data!L251</f>
        <v>3.6</v>
      </c>
      <c r="M251" s="0" t="n">
        <f aca="false">cleaned_data!M251</f>
        <v>642751.42</v>
      </c>
      <c r="N251" s="0" t="n">
        <f aca="false">cleaned_data!N251</f>
        <v>131942.15</v>
      </c>
      <c r="O251" s="0" t="n">
        <f aca="false">IF(cleaned_data!C251="North",1,0)</f>
        <v>1</v>
      </c>
      <c r="P251" s="0" t="n">
        <f aca="false">IF(cleaned_data!C251="South",1,0)</f>
        <v>0</v>
      </c>
      <c r="Q251" s="0" t="n">
        <f aca="false">IF(cleaned_data!C251="West",1,0)</f>
        <v>0</v>
      </c>
      <c r="R251" s="0" t="n">
        <f aca="false">IF(cleaned_data!D251="Airport",1,0)</f>
        <v>0</v>
      </c>
      <c r="S251" s="0" t="n">
        <f aca="false">IF(cleaned_data!D251="Mall",1,0)</f>
        <v>0</v>
      </c>
      <c r="T251" s="0" t="n">
        <f aca="false">IF(cleaned_data!D251="Residential",1,0)</f>
        <v>0</v>
      </c>
    </row>
    <row r="252" customFormat="false" ht="15" hidden="false" customHeight="false" outlineLevel="0" collapsed="false">
      <c r="A252" s="0" t="str">
        <f aca="false">cleaned_data!A252</f>
        <v>STR-1063</v>
      </c>
      <c r="B252" s="0" t="str">
        <f aca="false">cleaned_data!B252</f>
        <v>2025-03-01</v>
      </c>
      <c r="C252" s="0" t="str">
        <f aca="false">cleaned_data!C252</f>
        <v>North</v>
      </c>
      <c r="D252" s="0" t="str">
        <f aca="false">cleaned_data!D252</f>
        <v>High Street</v>
      </c>
      <c r="E252" s="0" t="n">
        <f aca="false">cleaned_data!E252</f>
        <v>38361.93</v>
      </c>
      <c r="F252" s="0" t="n">
        <f aca="false">cleaned_data!F252</f>
        <v>6322</v>
      </c>
      <c r="G252" s="0" t="n">
        <f aca="false">cleaned_data!G252</f>
        <v>0.273</v>
      </c>
      <c r="H252" s="0" t="n">
        <f aca="false">cleaned_data!H252</f>
        <v>15</v>
      </c>
      <c r="I252" s="0" t="n">
        <f aca="false">cleaned_data!I252</f>
        <v>88.4</v>
      </c>
      <c r="J252" s="0" t="n">
        <f aca="false">cleaned_data!J252</f>
        <v>0.83</v>
      </c>
      <c r="K252" s="0" t="n">
        <f aca="false">cleaned_data!K252</f>
        <v>0</v>
      </c>
      <c r="L252" s="0" t="n">
        <f aca="false">cleaned_data!L252</f>
        <v>4</v>
      </c>
      <c r="M252" s="0" t="n">
        <f aca="false">cleaned_data!M252</f>
        <v>647953.78</v>
      </c>
      <c r="N252" s="0" t="n">
        <f aca="false">cleaned_data!N252</f>
        <v>118497.43</v>
      </c>
      <c r="O252" s="0" t="n">
        <f aca="false">IF(cleaned_data!C252="North",1,0)</f>
        <v>1</v>
      </c>
      <c r="P252" s="0" t="n">
        <f aca="false">IF(cleaned_data!C252="South",1,0)</f>
        <v>0</v>
      </c>
      <c r="Q252" s="0" t="n">
        <f aca="false">IF(cleaned_data!C252="West",1,0)</f>
        <v>0</v>
      </c>
      <c r="R252" s="0" t="n">
        <f aca="false">IF(cleaned_data!D252="Airport",1,0)</f>
        <v>0</v>
      </c>
      <c r="S252" s="0" t="n">
        <f aca="false">IF(cleaned_data!D252="Mall",1,0)</f>
        <v>0</v>
      </c>
      <c r="T252" s="0" t="n">
        <f aca="false">IF(cleaned_data!D252="Residential",1,0)</f>
        <v>0</v>
      </c>
    </row>
    <row r="253" customFormat="false" ht="15" hidden="false" customHeight="false" outlineLevel="0" collapsed="false">
      <c r="A253" s="0" t="str">
        <f aca="false">cleaned_data!A253</f>
        <v>STR-1063</v>
      </c>
      <c r="B253" s="0" t="str">
        <f aca="false">cleaned_data!B253</f>
        <v>2025-04-01</v>
      </c>
      <c r="C253" s="0" t="str">
        <f aca="false">cleaned_data!C253</f>
        <v>North</v>
      </c>
      <c r="D253" s="0" t="str">
        <f aca="false">cleaned_data!D253</f>
        <v>High Street</v>
      </c>
      <c r="E253" s="0" t="n">
        <f aca="false">cleaned_data!E253</f>
        <v>97480.94</v>
      </c>
      <c r="F253" s="0" t="n">
        <f aca="false">cleaned_data!F253</f>
        <v>6840</v>
      </c>
      <c r="G253" s="0" t="n">
        <f aca="false">cleaned_data!G253</f>
        <v>0.087</v>
      </c>
      <c r="H253" s="0" t="n">
        <f aca="false">cleaned_data!H253</f>
        <v>14</v>
      </c>
      <c r="I253" s="0" t="n">
        <f aca="false">cleaned_data!I253</f>
        <v>79.2</v>
      </c>
      <c r="J253" s="0" t="n">
        <f aca="false">cleaned_data!J253</f>
        <v>1.14</v>
      </c>
      <c r="K253" s="0" t="n">
        <f aca="false">cleaned_data!K253</f>
        <v>0</v>
      </c>
      <c r="L253" s="0" t="n">
        <f aca="false">cleaned_data!L253</f>
        <v>4</v>
      </c>
      <c r="M253" s="0" t="n">
        <f aca="false">cleaned_data!M253</f>
        <v>729440.45</v>
      </c>
      <c r="N253" s="0" t="n">
        <f aca="false">cleaned_data!N253</f>
        <v>87614.29</v>
      </c>
      <c r="O253" s="0" t="n">
        <f aca="false">IF(cleaned_data!C253="North",1,0)</f>
        <v>1</v>
      </c>
      <c r="P253" s="0" t="n">
        <f aca="false">IF(cleaned_data!C253="South",1,0)</f>
        <v>0</v>
      </c>
      <c r="Q253" s="0" t="n">
        <f aca="false">IF(cleaned_data!C253="West",1,0)</f>
        <v>0</v>
      </c>
      <c r="R253" s="0" t="n">
        <f aca="false">IF(cleaned_data!D253="Airport",1,0)</f>
        <v>0</v>
      </c>
      <c r="S253" s="0" t="n">
        <f aca="false">IF(cleaned_data!D253="Mall",1,0)</f>
        <v>0</v>
      </c>
      <c r="T253" s="0" t="n">
        <f aca="false">IF(cleaned_data!D253="Residential",1,0)</f>
        <v>0</v>
      </c>
    </row>
    <row r="254" customFormat="false" ht="15" hidden="false" customHeight="false" outlineLevel="0" collapsed="false">
      <c r="A254" s="0" t="str">
        <f aca="false">cleaned_data!A254</f>
        <v>STR-1064</v>
      </c>
      <c r="B254" s="0" t="str">
        <f aca="false">cleaned_data!B254</f>
        <v>2025-01-01</v>
      </c>
      <c r="C254" s="0" t="str">
        <f aca="false">cleaned_data!C254</f>
        <v>South</v>
      </c>
      <c r="D254" s="0" t="str">
        <f aca="false">cleaned_data!D254</f>
        <v>Airport</v>
      </c>
      <c r="E254" s="0" t="n">
        <f aca="false">cleaned_data!E254</f>
        <v>81801.8</v>
      </c>
      <c r="F254" s="0" t="n">
        <f aca="false">cleaned_data!F254</f>
        <v>6782</v>
      </c>
      <c r="G254" s="0" t="n">
        <f aca="false">cleaned_data!G254</f>
        <v>0.05</v>
      </c>
      <c r="H254" s="0" t="n">
        <f aca="false">cleaned_data!H254</f>
        <v>16</v>
      </c>
      <c r="I254" s="0" t="n">
        <f aca="false">cleaned_data!I254</f>
        <v>99</v>
      </c>
      <c r="J254" s="0" t="n">
        <f aca="false">cleaned_data!J254</f>
        <v>9.54</v>
      </c>
      <c r="K254" s="0" t="n">
        <f aca="false">cleaned_data!K254</f>
        <v>0</v>
      </c>
      <c r="L254" s="0" t="n">
        <f aca="false">cleaned_data!L254</f>
        <v>3.7</v>
      </c>
      <c r="M254" s="0" t="n">
        <f aca="false">cleaned_data!M254</f>
        <v>764949</v>
      </c>
      <c r="N254" s="0" t="n">
        <f aca="false">cleaned_data!N254</f>
        <v>148322.43</v>
      </c>
      <c r="O254" s="0" t="n">
        <f aca="false">IF(cleaned_data!C254="North",1,0)</f>
        <v>0</v>
      </c>
      <c r="P254" s="0" t="n">
        <f aca="false">IF(cleaned_data!C254="South",1,0)</f>
        <v>1</v>
      </c>
      <c r="Q254" s="0" t="n">
        <f aca="false">IF(cleaned_data!C254="West",1,0)</f>
        <v>0</v>
      </c>
      <c r="R254" s="0" t="n">
        <f aca="false">IF(cleaned_data!D254="Airport",1,0)</f>
        <v>1</v>
      </c>
      <c r="S254" s="0" t="n">
        <f aca="false">IF(cleaned_data!D254="Mall",1,0)</f>
        <v>0</v>
      </c>
      <c r="T254" s="0" t="n">
        <f aca="false">IF(cleaned_data!D254="Residential",1,0)</f>
        <v>0</v>
      </c>
    </row>
    <row r="255" customFormat="false" ht="15" hidden="false" customHeight="false" outlineLevel="0" collapsed="false">
      <c r="A255" s="0" t="str">
        <f aca="false">cleaned_data!A255</f>
        <v>STR-1064</v>
      </c>
      <c r="B255" s="0" t="str">
        <f aca="false">cleaned_data!B255</f>
        <v>2025-02-01</v>
      </c>
      <c r="C255" s="0" t="str">
        <f aca="false">cleaned_data!C255</f>
        <v>South</v>
      </c>
      <c r="D255" s="0" t="str">
        <f aca="false">cleaned_data!D255</f>
        <v>Airport</v>
      </c>
      <c r="E255" s="0" t="n">
        <f aca="false">cleaned_data!E255</f>
        <v>63582.11</v>
      </c>
      <c r="F255" s="0" t="n">
        <f aca="false">cleaned_data!F255</f>
        <v>6856</v>
      </c>
      <c r="G255" s="0" t="n">
        <f aca="false">cleaned_data!G255</f>
        <v>0.074</v>
      </c>
      <c r="H255" s="0" t="n">
        <f aca="false">cleaned_data!H255</f>
        <v>17</v>
      </c>
      <c r="I255" s="0" t="n">
        <f aca="false">cleaned_data!I255</f>
        <v>89.5</v>
      </c>
      <c r="J255" s="0" t="n">
        <f aca="false">cleaned_data!J255</f>
        <v>5.48</v>
      </c>
      <c r="K255" s="0" t="n">
        <f aca="false">cleaned_data!K255</f>
        <v>0</v>
      </c>
      <c r="L255" s="0" t="n">
        <f aca="false">cleaned_data!L255</f>
        <v>3.2</v>
      </c>
      <c r="M255" s="0" t="n">
        <f aca="false">cleaned_data!M255</f>
        <v>799046.94</v>
      </c>
      <c r="N255" s="0" t="n">
        <f aca="false">cleaned_data!N255</f>
        <v>144553.64</v>
      </c>
      <c r="O255" s="0" t="n">
        <f aca="false">IF(cleaned_data!C255="North",1,0)</f>
        <v>0</v>
      </c>
      <c r="P255" s="0" t="n">
        <f aca="false">IF(cleaned_data!C255="South",1,0)</f>
        <v>1</v>
      </c>
      <c r="Q255" s="0" t="n">
        <f aca="false">IF(cleaned_data!C255="West",1,0)</f>
        <v>0</v>
      </c>
      <c r="R255" s="0" t="n">
        <f aca="false">IF(cleaned_data!D255="Airport",1,0)</f>
        <v>1</v>
      </c>
      <c r="S255" s="0" t="n">
        <f aca="false">IF(cleaned_data!D255="Mall",1,0)</f>
        <v>0</v>
      </c>
      <c r="T255" s="0" t="n">
        <f aca="false">IF(cleaned_data!D255="Residential",1,0)</f>
        <v>0</v>
      </c>
    </row>
    <row r="256" customFormat="false" ht="15" hidden="false" customHeight="false" outlineLevel="0" collapsed="false">
      <c r="A256" s="0" t="str">
        <f aca="false">cleaned_data!A256</f>
        <v>STR-1064</v>
      </c>
      <c r="B256" s="0" t="str">
        <f aca="false">cleaned_data!B256</f>
        <v>2025-03-01</v>
      </c>
      <c r="C256" s="0" t="str">
        <f aca="false">cleaned_data!C256</f>
        <v>South</v>
      </c>
      <c r="D256" s="0" t="str">
        <f aca="false">cleaned_data!D256</f>
        <v>Airport</v>
      </c>
      <c r="E256" s="0" t="n">
        <f aca="false">cleaned_data!E256</f>
        <v>75412.74</v>
      </c>
      <c r="F256" s="0" t="n">
        <f aca="false">cleaned_data!F256</f>
        <v>5641</v>
      </c>
      <c r="G256" s="0" t="n">
        <f aca="false">cleaned_data!G256</f>
        <v>0.059</v>
      </c>
      <c r="H256" s="0" t="n">
        <f aca="false">cleaned_data!H256</f>
        <v>13</v>
      </c>
      <c r="I256" s="0" t="n">
        <f aca="false">cleaned_data!I256</f>
        <v>87.9</v>
      </c>
      <c r="J256" s="0" t="n">
        <f aca="false">cleaned_data!J256</f>
        <v>0.84</v>
      </c>
      <c r="K256" s="0" t="n">
        <f aca="false">cleaned_data!K256</f>
        <v>0</v>
      </c>
      <c r="L256" s="0" t="n">
        <f aca="false">cleaned_data!L256</f>
        <v>3.6</v>
      </c>
      <c r="M256" s="0" t="n">
        <f aca="false">cleaned_data!M256</f>
        <v>720079.54</v>
      </c>
      <c r="N256" s="0" t="n">
        <f aca="false">cleaned_data!N256</f>
        <v>119499.47</v>
      </c>
      <c r="O256" s="0" t="n">
        <f aca="false">IF(cleaned_data!C256="North",1,0)</f>
        <v>0</v>
      </c>
      <c r="P256" s="0" t="n">
        <f aca="false">IF(cleaned_data!C256="South",1,0)</f>
        <v>1</v>
      </c>
      <c r="Q256" s="0" t="n">
        <f aca="false">IF(cleaned_data!C256="West",1,0)</f>
        <v>0</v>
      </c>
      <c r="R256" s="0" t="n">
        <f aca="false">IF(cleaned_data!D256="Airport",1,0)</f>
        <v>1</v>
      </c>
      <c r="S256" s="0" t="n">
        <f aca="false">IF(cleaned_data!D256="Mall",1,0)</f>
        <v>0</v>
      </c>
      <c r="T256" s="0" t="n">
        <f aca="false">IF(cleaned_data!D256="Residential",1,0)</f>
        <v>0</v>
      </c>
    </row>
    <row r="257" customFormat="false" ht="15" hidden="false" customHeight="false" outlineLevel="0" collapsed="false">
      <c r="A257" s="0" t="str">
        <f aca="false">cleaned_data!A257</f>
        <v>STR-1064</v>
      </c>
      <c r="B257" s="0" t="str">
        <f aca="false">cleaned_data!B257</f>
        <v>2025-04-01</v>
      </c>
      <c r="C257" s="0" t="str">
        <f aca="false">cleaned_data!C257</f>
        <v>South</v>
      </c>
      <c r="D257" s="0" t="str">
        <f aca="false">cleaned_data!D257</f>
        <v>Airport</v>
      </c>
      <c r="E257" s="0" t="n">
        <f aca="false">cleaned_data!E257</f>
        <v>36290.08</v>
      </c>
      <c r="F257" s="0" t="n">
        <f aca="false">cleaned_data!F257</f>
        <v>5787</v>
      </c>
      <c r="G257" s="0" t="n">
        <f aca="false">cleaned_data!G257</f>
        <v>0</v>
      </c>
      <c r="H257" s="0" t="n">
        <f aca="false">cleaned_data!H257</f>
        <v>17</v>
      </c>
      <c r="I257" s="0" t="n">
        <f aca="false">cleaned_data!I257</f>
        <v>88.3</v>
      </c>
      <c r="J257" s="0" t="n">
        <f aca="false">cleaned_data!J257</f>
        <v>4.19</v>
      </c>
      <c r="K257" s="0" t="n">
        <f aca="false">cleaned_data!K257</f>
        <v>0</v>
      </c>
      <c r="L257" s="0" t="n">
        <f aca="false">cleaned_data!L257</f>
        <v>4.1</v>
      </c>
      <c r="M257" s="0" t="n">
        <f aca="false">cleaned_data!M257</f>
        <v>612390.14</v>
      </c>
      <c r="N257" s="0" t="n">
        <f aca="false">cleaned_data!N257</f>
        <v>108985.74</v>
      </c>
      <c r="O257" s="0" t="n">
        <f aca="false">IF(cleaned_data!C257="North",1,0)</f>
        <v>0</v>
      </c>
      <c r="P257" s="0" t="n">
        <f aca="false">IF(cleaned_data!C257="South",1,0)</f>
        <v>1</v>
      </c>
      <c r="Q257" s="0" t="n">
        <f aca="false">IF(cleaned_data!C257="West",1,0)</f>
        <v>0</v>
      </c>
      <c r="R257" s="0" t="n">
        <f aca="false">IF(cleaned_data!D257="Airport",1,0)</f>
        <v>1</v>
      </c>
      <c r="S257" s="0" t="n">
        <f aca="false">IF(cleaned_data!D257="Mall",1,0)</f>
        <v>0</v>
      </c>
      <c r="T257" s="0" t="n">
        <f aca="false">IF(cleaned_data!D257="Residential",1,0)</f>
        <v>0</v>
      </c>
    </row>
    <row r="258" customFormat="false" ht="15" hidden="false" customHeight="false" outlineLevel="0" collapsed="false">
      <c r="A258" s="0" t="str">
        <f aca="false">cleaned_data!A258</f>
        <v>STR-1065</v>
      </c>
      <c r="B258" s="0" t="str">
        <f aca="false">cleaned_data!B258</f>
        <v>2025-01-01</v>
      </c>
      <c r="C258" s="0" t="str">
        <f aca="false">cleaned_data!C258</f>
        <v>South</v>
      </c>
      <c r="D258" s="0" t="str">
        <f aca="false">cleaned_data!D258</f>
        <v>Mall</v>
      </c>
      <c r="E258" s="0" t="n">
        <f aca="false">cleaned_data!E258</f>
        <v>65272.58</v>
      </c>
      <c r="F258" s="0" t="n">
        <f aca="false">cleaned_data!F258</f>
        <v>8165</v>
      </c>
      <c r="G258" s="0" t="n">
        <f aca="false">cleaned_data!G258</f>
        <v>0.051</v>
      </c>
      <c r="H258" s="0" t="n">
        <f aca="false">cleaned_data!H258</f>
        <v>19</v>
      </c>
      <c r="I258" s="0" t="n">
        <f aca="false">cleaned_data!I258</f>
        <v>87.8</v>
      </c>
      <c r="J258" s="0" t="n">
        <f aca="false">cleaned_data!J258</f>
        <v>1.26</v>
      </c>
      <c r="K258" s="0" t="n">
        <f aca="false">cleaned_data!K258</f>
        <v>1</v>
      </c>
      <c r="L258" s="0" t="n">
        <f aca="false">cleaned_data!L258</f>
        <v>4.3</v>
      </c>
      <c r="M258" s="0" t="n">
        <f aca="false">cleaned_data!M258</f>
        <v>840108.12</v>
      </c>
      <c r="N258" s="0" t="n">
        <f aca="false">cleaned_data!N258</f>
        <v>126587.01</v>
      </c>
      <c r="O258" s="0" t="n">
        <f aca="false">IF(cleaned_data!C258="North",1,0)</f>
        <v>0</v>
      </c>
      <c r="P258" s="0" t="n">
        <f aca="false">IF(cleaned_data!C258="South",1,0)</f>
        <v>1</v>
      </c>
      <c r="Q258" s="0" t="n">
        <f aca="false">IF(cleaned_data!C258="West",1,0)</f>
        <v>0</v>
      </c>
      <c r="R258" s="0" t="n">
        <f aca="false">IF(cleaned_data!D258="Airport",1,0)</f>
        <v>0</v>
      </c>
      <c r="S258" s="0" t="n">
        <f aca="false">IF(cleaned_data!D258="Mall",1,0)</f>
        <v>1</v>
      </c>
      <c r="T258" s="0" t="n">
        <f aca="false">IF(cleaned_data!D258="Residential",1,0)</f>
        <v>0</v>
      </c>
    </row>
    <row r="259" customFormat="false" ht="15" hidden="false" customHeight="false" outlineLevel="0" collapsed="false">
      <c r="A259" s="0" t="str">
        <f aca="false">cleaned_data!A259</f>
        <v>STR-1065</v>
      </c>
      <c r="B259" s="0" t="str">
        <f aca="false">cleaned_data!B259</f>
        <v>2025-02-01</v>
      </c>
      <c r="C259" s="0" t="str">
        <f aca="false">cleaned_data!C259</f>
        <v>South</v>
      </c>
      <c r="D259" s="0" t="str">
        <f aca="false">cleaned_data!D259</f>
        <v>Mall</v>
      </c>
      <c r="E259" s="0" t="n">
        <f aca="false">cleaned_data!E259</f>
        <v>28670.43</v>
      </c>
      <c r="F259" s="0" t="n">
        <f aca="false">cleaned_data!F259</f>
        <v>7574</v>
      </c>
      <c r="G259" s="0" t="n">
        <f aca="false">cleaned_data!G259</f>
        <v>0.114</v>
      </c>
      <c r="H259" s="0" t="n">
        <f aca="false">cleaned_data!H259</f>
        <v>19</v>
      </c>
      <c r="I259" s="0" t="n">
        <f aca="false">cleaned_data!I259</f>
        <v>82.7</v>
      </c>
      <c r="J259" s="0" t="n">
        <f aca="false">cleaned_data!J259</f>
        <v>2.74</v>
      </c>
      <c r="K259" s="0" t="n">
        <f aca="false">cleaned_data!K259</f>
        <v>0</v>
      </c>
      <c r="L259" s="0" t="n">
        <f aca="false">cleaned_data!L259</f>
        <v>4.6</v>
      </c>
      <c r="M259" s="0" t="n">
        <f aca="false">cleaned_data!M259</f>
        <v>697888.09</v>
      </c>
      <c r="N259" s="0" t="n">
        <f aca="false">cleaned_data!N259</f>
        <v>116249.87</v>
      </c>
      <c r="O259" s="0" t="n">
        <f aca="false">IF(cleaned_data!C259="North",1,0)</f>
        <v>0</v>
      </c>
      <c r="P259" s="0" t="n">
        <f aca="false">IF(cleaned_data!C259="South",1,0)</f>
        <v>1</v>
      </c>
      <c r="Q259" s="0" t="n">
        <f aca="false">IF(cleaned_data!C259="West",1,0)</f>
        <v>0</v>
      </c>
      <c r="R259" s="0" t="n">
        <f aca="false">IF(cleaned_data!D259="Airport",1,0)</f>
        <v>0</v>
      </c>
      <c r="S259" s="0" t="n">
        <f aca="false">IF(cleaned_data!D259="Mall",1,0)</f>
        <v>1</v>
      </c>
      <c r="T259" s="0" t="n">
        <f aca="false">IF(cleaned_data!D259="Residential",1,0)</f>
        <v>0</v>
      </c>
    </row>
    <row r="260" customFormat="false" ht="15" hidden="false" customHeight="false" outlineLevel="0" collapsed="false">
      <c r="A260" s="0" t="str">
        <f aca="false">cleaned_data!A260</f>
        <v>STR-1065</v>
      </c>
      <c r="B260" s="0" t="str">
        <f aca="false">cleaned_data!B260</f>
        <v>2025-03-01</v>
      </c>
      <c r="C260" s="0" t="str">
        <f aca="false">cleaned_data!C260</f>
        <v>South</v>
      </c>
      <c r="D260" s="0" t="str">
        <f aca="false">cleaned_data!D260</f>
        <v>Mall</v>
      </c>
      <c r="E260" s="0" t="n">
        <f aca="false">cleaned_data!E260</f>
        <v>44189.34</v>
      </c>
      <c r="F260" s="0" t="n">
        <f aca="false">cleaned_data!F260</f>
        <v>8634</v>
      </c>
      <c r="G260" s="0" t="n">
        <f aca="false">cleaned_data!G260</f>
        <v>0.143</v>
      </c>
      <c r="H260" s="0" t="n">
        <f aca="false">cleaned_data!H260</f>
        <v>19</v>
      </c>
      <c r="I260" s="0" t="n">
        <f aca="false">cleaned_data!I260</f>
        <v>87.5</v>
      </c>
      <c r="J260" s="0" t="n">
        <f aca="false">cleaned_data!J260</f>
        <v>3.69</v>
      </c>
      <c r="K260" s="0" t="n">
        <f aca="false">cleaned_data!K260</f>
        <v>0</v>
      </c>
      <c r="L260" s="0" t="n">
        <f aca="false">cleaned_data!L260</f>
        <v>4.4</v>
      </c>
      <c r="M260" s="0" t="n">
        <f aca="false">cleaned_data!M260</f>
        <v>746115.59</v>
      </c>
      <c r="N260" s="0" t="n">
        <f aca="false">cleaned_data!N260</f>
        <v>94662.96</v>
      </c>
      <c r="O260" s="0" t="n">
        <f aca="false">IF(cleaned_data!C260="North",1,0)</f>
        <v>0</v>
      </c>
      <c r="P260" s="0" t="n">
        <f aca="false">IF(cleaned_data!C260="South",1,0)</f>
        <v>1</v>
      </c>
      <c r="Q260" s="0" t="n">
        <f aca="false">IF(cleaned_data!C260="West",1,0)</f>
        <v>0</v>
      </c>
      <c r="R260" s="0" t="n">
        <f aca="false">IF(cleaned_data!D260="Airport",1,0)</f>
        <v>0</v>
      </c>
      <c r="S260" s="0" t="n">
        <f aca="false">IF(cleaned_data!D260="Mall",1,0)</f>
        <v>1</v>
      </c>
      <c r="T260" s="0" t="n">
        <f aca="false">IF(cleaned_data!D260="Residential",1,0)</f>
        <v>0</v>
      </c>
    </row>
    <row r="261" customFormat="false" ht="15" hidden="false" customHeight="false" outlineLevel="0" collapsed="false">
      <c r="A261" s="0" t="str">
        <f aca="false">cleaned_data!A261</f>
        <v>STR-1065</v>
      </c>
      <c r="B261" s="0" t="str">
        <f aca="false">cleaned_data!B261</f>
        <v>2025-04-01</v>
      </c>
      <c r="C261" s="0" t="str">
        <f aca="false">cleaned_data!C261</f>
        <v>South</v>
      </c>
      <c r="D261" s="0" t="str">
        <f aca="false">cleaned_data!D261</f>
        <v>Mall</v>
      </c>
      <c r="E261" s="0" t="n">
        <f aca="false">cleaned_data!E261</f>
        <v>38397.82</v>
      </c>
      <c r="F261" s="0" t="n">
        <f aca="false">cleaned_data!F261</f>
        <v>7836</v>
      </c>
      <c r="G261" s="0" t="n">
        <f aca="false">cleaned_data!G261</f>
        <v>0.007</v>
      </c>
      <c r="H261" s="0" t="n">
        <f aca="false">cleaned_data!H261</f>
        <v>21</v>
      </c>
      <c r="I261" s="0" t="n">
        <f aca="false">cleaned_data!I261</f>
        <v>92.2</v>
      </c>
      <c r="J261" s="0" t="n">
        <f aca="false">cleaned_data!J261</f>
        <v>1.82</v>
      </c>
      <c r="K261" s="0" t="n">
        <f aca="false">cleaned_data!K261</f>
        <v>0</v>
      </c>
      <c r="L261" s="0" t="n">
        <f aca="false">cleaned_data!L261</f>
        <v>3.6</v>
      </c>
      <c r="M261" s="0" t="n">
        <f aca="false">cleaned_data!M261</f>
        <v>776110.32</v>
      </c>
      <c r="N261" s="0" t="n">
        <f aca="false">cleaned_data!N261</f>
        <v>139676.21</v>
      </c>
      <c r="O261" s="0" t="n">
        <f aca="false">IF(cleaned_data!C261="North",1,0)</f>
        <v>0</v>
      </c>
      <c r="P261" s="0" t="n">
        <f aca="false">IF(cleaned_data!C261="South",1,0)</f>
        <v>1</v>
      </c>
      <c r="Q261" s="0" t="n">
        <f aca="false">IF(cleaned_data!C261="West",1,0)</f>
        <v>0</v>
      </c>
      <c r="R261" s="0" t="n">
        <f aca="false">IF(cleaned_data!D261="Airport",1,0)</f>
        <v>0</v>
      </c>
      <c r="S261" s="0" t="n">
        <f aca="false">IF(cleaned_data!D261="Mall",1,0)</f>
        <v>1</v>
      </c>
      <c r="T261" s="0" t="n">
        <f aca="false">IF(cleaned_data!D261="Residential",1,0)</f>
        <v>0</v>
      </c>
    </row>
    <row r="262" customFormat="false" ht="15" hidden="false" customHeight="false" outlineLevel="0" collapsed="false">
      <c r="A262" s="0" t="str">
        <f aca="false">cleaned_data!A262</f>
        <v>STR-1066</v>
      </c>
      <c r="B262" s="0" t="str">
        <f aca="false">cleaned_data!B262</f>
        <v>2025-01-01</v>
      </c>
      <c r="C262" s="0" t="str">
        <f aca="false">cleaned_data!C262</f>
        <v>West</v>
      </c>
      <c r="D262" s="0" t="str">
        <f aca="false">cleaned_data!D262</f>
        <v>High Street</v>
      </c>
      <c r="E262" s="0" t="n">
        <f aca="false">cleaned_data!E262</f>
        <v>14519.37</v>
      </c>
      <c r="F262" s="0" t="n">
        <f aca="false">cleaned_data!F262</f>
        <v>3047</v>
      </c>
      <c r="G262" s="0" t="n">
        <f aca="false">cleaned_data!G262</f>
        <v>0.135</v>
      </c>
      <c r="H262" s="0" t="n">
        <f aca="false">cleaned_data!H262</f>
        <v>10</v>
      </c>
      <c r="I262" s="0" t="n">
        <f aca="false">cleaned_data!I262</f>
        <v>90.3</v>
      </c>
      <c r="J262" s="0" t="n">
        <f aca="false">cleaned_data!J262</f>
        <v>6.62</v>
      </c>
      <c r="K262" s="0" t="n">
        <f aca="false">cleaned_data!K262</f>
        <v>0</v>
      </c>
      <c r="L262" s="0" t="n">
        <f aca="false">cleaned_data!L262</f>
        <v>4.2</v>
      </c>
      <c r="M262" s="0" t="n">
        <f aca="false">cleaned_data!M262</f>
        <v>528852.62</v>
      </c>
      <c r="N262" s="0" t="n">
        <f aca="false">cleaned_data!N262</f>
        <v>68426.21</v>
      </c>
      <c r="O262" s="0" t="n">
        <f aca="false">IF(cleaned_data!C262="North",1,0)</f>
        <v>0</v>
      </c>
      <c r="P262" s="0" t="n">
        <f aca="false">IF(cleaned_data!C262="South",1,0)</f>
        <v>0</v>
      </c>
      <c r="Q262" s="0" t="n">
        <f aca="false">IF(cleaned_data!C262="West",1,0)</f>
        <v>1</v>
      </c>
      <c r="R262" s="0" t="n">
        <f aca="false">IF(cleaned_data!D262="Airport",1,0)</f>
        <v>0</v>
      </c>
      <c r="S262" s="0" t="n">
        <f aca="false">IF(cleaned_data!D262="Mall",1,0)</f>
        <v>0</v>
      </c>
      <c r="T262" s="0" t="n">
        <f aca="false">IF(cleaned_data!D262="Residential",1,0)</f>
        <v>0</v>
      </c>
    </row>
    <row r="263" customFormat="false" ht="15" hidden="false" customHeight="false" outlineLevel="0" collapsed="false">
      <c r="A263" s="0" t="str">
        <f aca="false">cleaned_data!A263</f>
        <v>STR-1066</v>
      </c>
      <c r="B263" s="0" t="str">
        <f aca="false">cleaned_data!B263</f>
        <v>2025-02-01</v>
      </c>
      <c r="C263" s="0" t="str">
        <f aca="false">cleaned_data!C263</f>
        <v>West</v>
      </c>
      <c r="D263" s="0" t="str">
        <f aca="false">cleaned_data!D263</f>
        <v>High Street</v>
      </c>
      <c r="E263" s="0" t="n">
        <f aca="false">cleaned_data!E263</f>
        <v>43288.2</v>
      </c>
      <c r="F263" s="0" t="n">
        <f aca="false">cleaned_data!F263</f>
        <v>4783</v>
      </c>
      <c r="G263" s="0" t="n">
        <f aca="false">cleaned_data!G263</f>
        <v>0.169</v>
      </c>
      <c r="H263" s="0" t="n">
        <f aca="false">cleaned_data!H263</f>
        <v>13</v>
      </c>
      <c r="I263" s="0" t="n">
        <f aca="false">cleaned_data!I263</f>
        <v>87.3</v>
      </c>
      <c r="J263" s="0" t="n">
        <f aca="false">cleaned_data!J263</f>
        <v>3.365</v>
      </c>
      <c r="K263" s="0" t="n">
        <f aca="false">cleaned_data!K263</f>
        <v>0</v>
      </c>
      <c r="L263" s="0" t="n">
        <f aca="false">cleaned_data!L263</f>
        <v>4.2</v>
      </c>
      <c r="M263" s="0" t="n">
        <f aca="false">cleaned_data!M263</f>
        <v>605751.33</v>
      </c>
      <c r="N263" s="0" t="n">
        <f aca="false">cleaned_data!N263</f>
        <v>60685.53</v>
      </c>
      <c r="O263" s="0" t="n">
        <f aca="false">IF(cleaned_data!C263="North",1,0)</f>
        <v>0</v>
      </c>
      <c r="P263" s="0" t="n">
        <f aca="false">IF(cleaned_data!C263="South",1,0)</f>
        <v>0</v>
      </c>
      <c r="Q263" s="0" t="n">
        <f aca="false">IF(cleaned_data!C263="West",1,0)</f>
        <v>1</v>
      </c>
      <c r="R263" s="0" t="n">
        <f aca="false">IF(cleaned_data!D263="Airport",1,0)</f>
        <v>0</v>
      </c>
      <c r="S263" s="0" t="n">
        <f aca="false">IF(cleaned_data!D263="Mall",1,0)</f>
        <v>0</v>
      </c>
      <c r="T263" s="0" t="n">
        <f aca="false">IF(cleaned_data!D263="Residential",1,0)</f>
        <v>0</v>
      </c>
    </row>
    <row r="264" customFormat="false" ht="15" hidden="false" customHeight="false" outlineLevel="0" collapsed="false">
      <c r="A264" s="0" t="str">
        <f aca="false">cleaned_data!A264</f>
        <v>STR-1066</v>
      </c>
      <c r="B264" s="0" t="str">
        <f aca="false">cleaned_data!B264</f>
        <v>2025-03-01</v>
      </c>
      <c r="C264" s="0" t="str">
        <f aca="false">cleaned_data!C264</f>
        <v>West</v>
      </c>
      <c r="D264" s="0" t="str">
        <f aca="false">cleaned_data!D264</f>
        <v>High Street</v>
      </c>
      <c r="E264" s="0" t="n">
        <f aca="false">cleaned_data!E264</f>
        <v>51450.55</v>
      </c>
      <c r="F264" s="0" t="n">
        <f aca="false">cleaned_data!F264</f>
        <v>4902</v>
      </c>
      <c r="G264" s="0" t="n">
        <f aca="false">cleaned_data!G264</f>
        <v>0.086</v>
      </c>
      <c r="H264" s="0" t="n">
        <f aca="false">cleaned_data!H264</f>
        <v>11</v>
      </c>
      <c r="I264" s="0" t="n">
        <f aca="false">cleaned_data!I264</f>
        <v>83.7</v>
      </c>
      <c r="J264" s="0" t="n">
        <f aca="false">cleaned_data!J264</f>
        <v>6.92</v>
      </c>
      <c r="K264" s="0" t="n">
        <f aca="false">cleaned_data!K264</f>
        <v>1</v>
      </c>
      <c r="L264" s="0" t="n">
        <f aca="false">cleaned_data!L264</f>
        <v>4.2</v>
      </c>
      <c r="M264" s="0" t="n">
        <f aca="false">cleaned_data!M264</f>
        <v>677640.65</v>
      </c>
      <c r="N264" s="0" t="n">
        <f aca="false">cleaned_data!N264</f>
        <v>111610.89</v>
      </c>
      <c r="O264" s="0" t="n">
        <f aca="false">IF(cleaned_data!C264="North",1,0)</f>
        <v>0</v>
      </c>
      <c r="P264" s="0" t="n">
        <f aca="false">IF(cleaned_data!C264="South",1,0)</f>
        <v>0</v>
      </c>
      <c r="Q264" s="0" t="n">
        <f aca="false">IF(cleaned_data!C264="West",1,0)</f>
        <v>1</v>
      </c>
      <c r="R264" s="0" t="n">
        <f aca="false">IF(cleaned_data!D264="Airport",1,0)</f>
        <v>0</v>
      </c>
      <c r="S264" s="0" t="n">
        <f aca="false">IF(cleaned_data!D264="Mall",1,0)</f>
        <v>0</v>
      </c>
      <c r="T264" s="0" t="n">
        <f aca="false">IF(cleaned_data!D264="Residential",1,0)</f>
        <v>0</v>
      </c>
    </row>
    <row r="265" customFormat="false" ht="15" hidden="false" customHeight="false" outlineLevel="0" collapsed="false">
      <c r="A265" s="0" t="str">
        <f aca="false">cleaned_data!A265</f>
        <v>STR-1066</v>
      </c>
      <c r="B265" s="0" t="str">
        <f aca="false">cleaned_data!B265</f>
        <v>2025-04-01</v>
      </c>
      <c r="C265" s="0" t="str">
        <f aca="false">cleaned_data!C265</f>
        <v>West</v>
      </c>
      <c r="D265" s="0" t="str">
        <f aca="false">cleaned_data!D265</f>
        <v>High Street</v>
      </c>
      <c r="E265" s="0" t="n">
        <f aca="false">cleaned_data!E265</f>
        <v>58688.26</v>
      </c>
      <c r="F265" s="0" t="n">
        <f aca="false">cleaned_data!F265</f>
        <v>4022</v>
      </c>
      <c r="G265" s="0" t="n">
        <f aca="false">cleaned_data!G265</f>
        <v>0.217</v>
      </c>
      <c r="H265" s="0" t="n">
        <f aca="false">cleaned_data!H265</f>
        <v>12</v>
      </c>
      <c r="I265" s="0" t="n">
        <f aca="false">cleaned_data!I265</f>
        <v>93.8</v>
      </c>
      <c r="J265" s="0" t="n">
        <f aca="false">cleaned_data!J265</f>
        <v>11.78</v>
      </c>
      <c r="K265" s="0" t="n">
        <f aca="false">cleaned_data!K265</f>
        <v>0</v>
      </c>
      <c r="L265" s="0" t="n">
        <f aca="false">cleaned_data!L265</f>
        <v>3.7</v>
      </c>
      <c r="M265" s="0" t="n">
        <f aca="false">cleaned_data!M265</f>
        <v>636613.23</v>
      </c>
      <c r="N265" s="0" t="n">
        <f aca="false">cleaned_data!N265</f>
        <v>78908.35</v>
      </c>
      <c r="O265" s="0" t="n">
        <f aca="false">IF(cleaned_data!C265="North",1,0)</f>
        <v>0</v>
      </c>
      <c r="P265" s="0" t="n">
        <f aca="false">IF(cleaned_data!C265="South",1,0)</f>
        <v>0</v>
      </c>
      <c r="Q265" s="0" t="n">
        <f aca="false">IF(cleaned_data!C265="West",1,0)</f>
        <v>1</v>
      </c>
      <c r="R265" s="0" t="n">
        <f aca="false">IF(cleaned_data!D265="Airport",1,0)</f>
        <v>0</v>
      </c>
      <c r="S265" s="0" t="n">
        <f aca="false">IF(cleaned_data!D265="Mall",1,0)</f>
        <v>0</v>
      </c>
      <c r="T265" s="0" t="n">
        <f aca="false">IF(cleaned_data!D265="Residential",1,0)</f>
        <v>0</v>
      </c>
    </row>
    <row r="266" customFormat="false" ht="15" hidden="false" customHeight="false" outlineLevel="0" collapsed="false">
      <c r="A266" s="0" t="str">
        <f aca="false">cleaned_data!A266</f>
        <v>STR-1067</v>
      </c>
      <c r="B266" s="0" t="str">
        <f aca="false">cleaned_data!B266</f>
        <v>2025-01-01</v>
      </c>
      <c r="C266" s="0" t="str">
        <f aca="false">cleaned_data!C266</f>
        <v>East</v>
      </c>
      <c r="D266" s="0" t="str">
        <f aca="false">cleaned_data!D266</f>
        <v>High Street</v>
      </c>
      <c r="E266" s="0" t="n">
        <f aca="false">cleaned_data!E266</f>
        <v>58981.91</v>
      </c>
      <c r="F266" s="0" t="n">
        <f aca="false">cleaned_data!F266</f>
        <v>7324</v>
      </c>
      <c r="G266" s="0" t="n">
        <f aca="false">cleaned_data!G266</f>
        <v>0.094</v>
      </c>
      <c r="H266" s="0" t="n">
        <f aca="false">cleaned_data!H266</f>
        <v>15</v>
      </c>
      <c r="I266" s="0" t="n">
        <f aca="false">cleaned_data!I266</f>
        <v>95.8</v>
      </c>
      <c r="J266" s="0" t="n">
        <f aca="false">cleaned_data!J266</f>
        <v>0.5</v>
      </c>
      <c r="K266" s="0" t="n">
        <f aca="false">cleaned_data!K266</f>
        <v>0</v>
      </c>
      <c r="L266" s="0" t="n">
        <f aca="false">cleaned_data!L266</f>
        <v>3.5</v>
      </c>
      <c r="M266" s="0" t="n">
        <f aca="false">cleaned_data!M266</f>
        <v>708985.19</v>
      </c>
      <c r="N266" s="0" t="n">
        <f aca="false">cleaned_data!N266</f>
        <v>125368.16</v>
      </c>
      <c r="O266" s="0" t="n">
        <f aca="false">IF(cleaned_data!C266="North",1,0)</f>
        <v>0</v>
      </c>
      <c r="P266" s="0" t="n">
        <f aca="false">IF(cleaned_data!C266="South",1,0)</f>
        <v>0</v>
      </c>
      <c r="Q266" s="0" t="n">
        <f aca="false">IF(cleaned_data!C266="West",1,0)</f>
        <v>0</v>
      </c>
      <c r="R266" s="0" t="n">
        <f aca="false">IF(cleaned_data!D266="Airport",1,0)</f>
        <v>0</v>
      </c>
      <c r="S266" s="0" t="n">
        <f aca="false">IF(cleaned_data!D266="Mall",1,0)</f>
        <v>0</v>
      </c>
      <c r="T266" s="0" t="n">
        <f aca="false">IF(cleaned_data!D266="Residential",1,0)</f>
        <v>0</v>
      </c>
    </row>
    <row r="267" customFormat="false" ht="15" hidden="false" customHeight="false" outlineLevel="0" collapsed="false">
      <c r="A267" s="0" t="str">
        <f aca="false">cleaned_data!A267</f>
        <v>STR-1067</v>
      </c>
      <c r="B267" s="0" t="str">
        <f aca="false">cleaned_data!B267</f>
        <v>2025-02-01</v>
      </c>
      <c r="C267" s="0" t="str">
        <f aca="false">cleaned_data!C267</f>
        <v>East</v>
      </c>
      <c r="D267" s="0" t="str">
        <f aca="false">cleaned_data!D267</f>
        <v>High Street</v>
      </c>
      <c r="E267" s="0" t="n">
        <f aca="false">cleaned_data!E267</f>
        <v>73454.54</v>
      </c>
      <c r="F267" s="0" t="n">
        <f aca="false">cleaned_data!F267</f>
        <v>8129</v>
      </c>
      <c r="G267" s="0" t="n">
        <f aca="false">cleaned_data!G267</f>
        <v>0.211</v>
      </c>
      <c r="H267" s="0" t="n">
        <f aca="false">cleaned_data!H267</f>
        <v>20</v>
      </c>
      <c r="I267" s="0" t="n">
        <f aca="false">cleaned_data!I267</f>
        <v>85.2</v>
      </c>
      <c r="J267" s="0" t="n">
        <f aca="false">cleaned_data!J267</f>
        <v>0.88</v>
      </c>
      <c r="K267" s="0" t="n">
        <f aca="false">cleaned_data!K267</f>
        <v>0</v>
      </c>
      <c r="L267" s="0" t="n">
        <f aca="false">cleaned_data!L267</f>
        <v>3.7</v>
      </c>
      <c r="M267" s="0" t="n">
        <f aca="false">cleaned_data!M267</f>
        <v>767792.94</v>
      </c>
      <c r="N267" s="0" t="n">
        <f aca="false">cleaned_data!N267</f>
        <v>96235.77</v>
      </c>
      <c r="O267" s="0" t="n">
        <f aca="false">IF(cleaned_data!C267="North",1,0)</f>
        <v>0</v>
      </c>
      <c r="P267" s="0" t="n">
        <f aca="false">IF(cleaned_data!C267="South",1,0)</f>
        <v>0</v>
      </c>
      <c r="Q267" s="0" t="n">
        <f aca="false">IF(cleaned_data!C267="West",1,0)</f>
        <v>0</v>
      </c>
      <c r="R267" s="0" t="n">
        <f aca="false">IF(cleaned_data!D267="Airport",1,0)</f>
        <v>0</v>
      </c>
      <c r="S267" s="0" t="n">
        <f aca="false">IF(cleaned_data!D267="Mall",1,0)</f>
        <v>0</v>
      </c>
      <c r="T267" s="0" t="n">
        <f aca="false">IF(cleaned_data!D267="Residential",1,0)</f>
        <v>0</v>
      </c>
    </row>
    <row r="268" customFormat="false" ht="15" hidden="false" customHeight="false" outlineLevel="0" collapsed="false">
      <c r="A268" s="0" t="str">
        <f aca="false">cleaned_data!A268</f>
        <v>STR-1067</v>
      </c>
      <c r="B268" s="0" t="str">
        <f aca="false">cleaned_data!B268</f>
        <v>2025-03-01</v>
      </c>
      <c r="C268" s="0" t="str">
        <f aca="false">cleaned_data!C268</f>
        <v>East</v>
      </c>
      <c r="D268" s="0" t="str">
        <f aca="false">cleaned_data!D268</f>
        <v>High Street</v>
      </c>
      <c r="E268" s="0" t="n">
        <f aca="false">cleaned_data!E268</f>
        <v>56602.39</v>
      </c>
      <c r="F268" s="0" t="n">
        <f aca="false">cleaned_data!F268</f>
        <v>7969</v>
      </c>
      <c r="G268" s="0" t="n">
        <f aca="false">cleaned_data!G268</f>
        <v>0.17</v>
      </c>
      <c r="H268" s="0" t="n">
        <f aca="false">cleaned_data!H268</f>
        <v>21</v>
      </c>
      <c r="I268" s="0" t="n">
        <f aca="false">cleaned_data!I268</f>
        <v>88.3</v>
      </c>
      <c r="J268" s="0" t="n">
        <f aca="false">cleaned_data!J268</f>
        <v>2.25</v>
      </c>
      <c r="K268" s="0" t="n">
        <f aca="false">cleaned_data!K268</f>
        <v>0</v>
      </c>
      <c r="L268" s="0" t="n">
        <f aca="false">cleaned_data!L268</f>
        <v>3.7</v>
      </c>
      <c r="M268" s="0" t="n">
        <f aca="false">cleaned_data!M268</f>
        <v>745580.51</v>
      </c>
      <c r="N268" s="0" t="n">
        <f aca="false">cleaned_data!N268</f>
        <v>116273.68</v>
      </c>
      <c r="O268" s="0" t="n">
        <f aca="false">IF(cleaned_data!C268="North",1,0)</f>
        <v>0</v>
      </c>
      <c r="P268" s="0" t="n">
        <f aca="false">IF(cleaned_data!C268="South",1,0)</f>
        <v>0</v>
      </c>
      <c r="Q268" s="0" t="n">
        <f aca="false">IF(cleaned_data!C268="West",1,0)</f>
        <v>0</v>
      </c>
      <c r="R268" s="0" t="n">
        <f aca="false">IF(cleaned_data!D268="Airport",1,0)</f>
        <v>0</v>
      </c>
      <c r="S268" s="0" t="n">
        <f aca="false">IF(cleaned_data!D268="Mall",1,0)</f>
        <v>0</v>
      </c>
      <c r="T268" s="0" t="n">
        <f aca="false">IF(cleaned_data!D268="Residential",1,0)</f>
        <v>0</v>
      </c>
    </row>
    <row r="269" customFormat="false" ht="15" hidden="false" customHeight="false" outlineLevel="0" collapsed="false">
      <c r="A269" s="0" t="str">
        <f aca="false">cleaned_data!A269</f>
        <v>STR-1067</v>
      </c>
      <c r="B269" s="0" t="str">
        <f aca="false">cleaned_data!B269</f>
        <v>2025-04-01</v>
      </c>
      <c r="C269" s="0" t="str">
        <f aca="false">cleaned_data!C269</f>
        <v>East</v>
      </c>
      <c r="D269" s="0" t="str">
        <f aca="false">cleaned_data!D269</f>
        <v>High Street</v>
      </c>
      <c r="E269" s="0" t="n">
        <f aca="false">cleaned_data!E269</f>
        <v>67722.29</v>
      </c>
      <c r="F269" s="0" t="n">
        <f aca="false">cleaned_data!F269</f>
        <v>7240</v>
      </c>
      <c r="G269" s="0" t="n">
        <f aca="false">cleaned_data!G269</f>
        <v>0.026</v>
      </c>
      <c r="H269" s="0" t="n">
        <f aca="false">cleaned_data!H269</f>
        <v>15</v>
      </c>
      <c r="I269" s="0" t="n">
        <f aca="false">cleaned_data!I269</f>
        <v>92.9</v>
      </c>
      <c r="J269" s="0" t="n">
        <f aca="false">cleaned_data!J269</f>
        <v>0.29</v>
      </c>
      <c r="K269" s="0" t="n">
        <f aca="false">cleaned_data!K269</f>
        <v>0</v>
      </c>
      <c r="L269" s="0" t="n">
        <f aca="false">cleaned_data!L269</f>
        <v>3.5</v>
      </c>
      <c r="M269" s="0" t="n">
        <f aca="false">cleaned_data!M269</f>
        <v>762328.31</v>
      </c>
      <c r="N269" s="0" t="n">
        <f aca="false">cleaned_data!N269</f>
        <v>159158.19</v>
      </c>
      <c r="O269" s="0" t="n">
        <f aca="false">IF(cleaned_data!C269="North",1,0)</f>
        <v>0</v>
      </c>
      <c r="P269" s="0" t="n">
        <f aca="false">IF(cleaned_data!C269="South",1,0)</f>
        <v>0</v>
      </c>
      <c r="Q269" s="0" t="n">
        <f aca="false">IF(cleaned_data!C269="West",1,0)</f>
        <v>0</v>
      </c>
      <c r="R269" s="0" t="n">
        <f aca="false">IF(cleaned_data!D269="Airport",1,0)</f>
        <v>0</v>
      </c>
      <c r="S269" s="0" t="n">
        <f aca="false">IF(cleaned_data!D269="Mall",1,0)</f>
        <v>0</v>
      </c>
      <c r="T269" s="0" t="n">
        <f aca="false">IF(cleaned_data!D269="Residential",1,0)</f>
        <v>0</v>
      </c>
    </row>
    <row r="270" customFormat="false" ht="15" hidden="false" customHeight="false" outlineLevel="0" collapsed="false">
      <c r="A270" s="0" t="str">
        <f aca="false">cleaned_data!A270</f>
        <v>STR-1068</v>
      </c>
      <c r="B270" s="0" t="str">
        <f aca="false">cleaned_data!B270</f>
        <v>2025-01-01</v>
      </c>
      <c r="C270" s="0" t="str">
        <f aca="false">cleaned_data!C270</f>
        <v>East</v>
      </c>
      <c r="D270" s="0" t="str">
        <f aca="false">cleaned_data!D270</f>
        <v>Mall</v>
      </c>
      <c r="E270" s="0" t="n">
        <f aca="false">cleaned_data!E270</f>
        <v>48752.92</v>
      </c>
      <c r="F270" s="0" t="n">
        <f aca="false">cleaned_data!F270</f>
        <v>8052</v>
      </c>
      <c r="G270" s="0" t="n">
        <f aca="false">cleaned_data!G270</f>
        <v>0.106</v>
      </c>
      <c r="H270" s="0" t="n">
        <f aca="false">cleaned_data!H270</f>
        <v>16</v>
      </c>
      <c r="I270" s="0" t="n">
        <f aca="false">cleaned_data!I270</f>
        <v>94.9</v>
      </c>
      <c r="J270" s="0" t="n">
        <f aca="false">cleaned_data!J270</f>
        <v>0.65</v>
      </c>
      <c r="K270" s="0" t="n">
        <f aca="false">cleaned_data!K270</f>
        <v>0</v>
      </c>
      <c r="L270" s="0" t="n">
        <f aca="false">cleaned_data!L270</f>
        <v>3.6</v>
      </c>
      <c r="M270" s="0" t="n">
        <f aca="false">cleaned_data!M270</f>
        <v>660633.99</v>
      </c>
      <c r="N270" s="0" t="n">
        <f aca="false">cleaned_data!N270</f>
        <v>118768.66</v>
      </c>
      <c r="O270" s="0" t="n">
        <f aca="false">IF(cleaned_data!C270="North",1,0)</f>
        <v>0</v>
      </c>
      <c r="P270" s="0" t="n">
        <f aca="false">IF(cleaned_data!C270="South",1,0)</f>
        <v>0</v>
      </c>
      <c r="Q270" s="0" t="n">
        <f aca="false">IF(cleaned_data!C270="West",1,0)</f>
        <v>0</v>
      </c>
      <c r="R270" s="0" t="n">
        <f aca="false">IF(cleaned_data!D270="Airport",1,0)</f>
        <v>0</v>
      </c>
      <c r="S270" s="0" t="n">
        <f aca="false">IF(cleaned_data!D270="Mall",1,0)</f>
        <v>1</v>
      </c>
      <c r="T270" s="0" t="n">
        <f aca="false">IF(cleaned_data!D270="Residential",1,0)</f>
        <v>0</v>
      </c>
    </row>
    <row r="271" customFormat="false" ht="15" hidden="false" customHeight="false" outlineLevel="0" collapsed="false">
      <c r="A271" s="0" t="str">
        <f aca="false">cleaned_data!A271</f>
        <v>STR-1068</v>
      </c>
      <c r="B271" s="0" t="str">
        <f aca="false">cleaned_data!B271</f>
        <v>2025-02-01</v>
      </c>
      <c r="C271" s="0" t="str">
        <f aca="false">cleaned_data!C271</f>
        <v>East</v>
      </c>
      <c r="D271" s="0" t="str">
        <f aca="false">cleaned_data!D271</f>
        <v>Mall</v>
      </c>
      <c r="E271" s="0" t="n">
        <f aca="false">cleaned_data!E271</f>
        <v>23914.97</v>
      </c>
      <c r="F271" s="0" t="n">
        <f aca="false">cleaned_data!F271</f>
        <v>8018</v>
      </c>
      <c r="G271" s="0" t="n">
        <f aca="false">cleaned_data!G271</f>
        <v>0.139</v>
      </c>
      <c r="H271" s="0" t="n">
        <f aca="false">cleaned_data!H271</f>
        <v>20</v>
      </c>
      <c r="I271" s="0" t="n">
        <f aca="false">cleaned_data!I271</f>
        <v>89</v>
      </c>
      <c r="J271" s="0" t="n">
        <f aca="false">cleaned_data!J271</f>
        <v>0.2</v>
      </c>
      <c r="K271" s="0" t="n">
        <f aca="false">cleaned_data!K271</f>
        <v>0</v>
      </c>
      <c r="L271" s="0" t="n">
        <f aca="false">cleaned_data!L271</f>
        <v>3.5</v>
      </c>
      <c r="M271" s="0" t="n">
        <f aca="false">cleaned_data!M271</f>
        <v>739374.56</v>
      </c>
      <c r="N271" s="0" t="n">
        <f aca="false">cleaned_data!N271</f>
        <v>121032.29</v>
      </c>
      <c r="O271" s="0" t="n">
        <f aca="false">IF(cleaned_data!C271="North",1,0)</f>
        <v>0</v>
      </c>
      <c r="P271" s="0" t="n">
        <f aca="false">IF(cleaned_data!C271="South",1,0)</f>
        <v>0</v>
      </c>
      <c r="Q271" s="0" t="n">
        <f aca="false">IF(cleaned_data!C271="West",1,0)</f>
        <v>0</v>
      </c>
      <c r="R271" s="0" t="n">
        <f aca="false">IF(cleaned_data!D271="Airport",1,0)</f>
        <v>0</v>
      </c>
      <c r="S271" s="0" t="n">
        <f aca="false">IF(cleaned_data!D271="Mall",1,0)</f>
        <v>1</v>
      </c>
      <c r="T271" s="0" t="n">
        <f aca="false">IF(cleaned_data!D271="Residential",1,0)</f>
        <v>0</v>
      </c>
    </row>
    <row r="272" customFormat="false" ht="15" hidden="false" customHeight="false" outlineLevel="0" collapsed="false">
      <c r="A272" s="0" t="str">
        <f aca="false">cleaned_data!A272</f>
        <v>STR-1068</v>
      </c>
      <c r="B272" s="0" t="str">
        <f aca="false">cleaned_data!B272</f>
        <v>2025-03-01</v>
      </c>
      <c r="C272" s="0" t="str">
        <f aca="false">cleaned_data!C272</f>
        <v>East</v>
      </c>
      <c r="D272" s="0" t="str">
        <f aca="false">cleaned_data!D272</f>
        <v>Mall</v>
      </c>
      <c r="E272" s="0" t="n">
        <f aca="false">cleaned_data!E272</f>
        <v>61995.3</v>
      </c>
      <c r="F272" s="0" t="n">
        <f aca="false">cleaned_data!F272</f>
        <v>10192</v>
      </c>
      <c r="G272" s="0" t="n">
        <f aca="false">cleaned_data!G272</f>
        <v>0.198</v>
      </c>
      <c r="H272" s="0" t="n">
        <f aca="false">cleaned_data!H272</f>
        <v>21</v>
      </c>
      <c r="I272" s="0" t="n">
        <f aca="false">cleaned_data!I272</f>
        <v>87.6</v>
      </c>
      <c r="J272" s="0" t="n">
        <f aca="false">cleaned_data!J272</f>
        <v>3.63</v>
      </c>
      <c r="K272" s="0" t="n">
        <f aca="false">cleaned_data!K272</f>
        <v>1</v>
      </c>
      <c r="L272" s="0" t="n">
        <f aca="false">cleaned_data!L272</f>
        <v>3.8</v>
      </c>
      <c r="M272" s="0" t="n">
        <f aca="false">cleaned_data!M272</f>
        <v>799756.46</v>
      </c>
      <c r="N272" s="0" t="n">
        <f aca="false">cleaned_data!N272</f>
        <v>105052.93</v>
      </c>
      <c r="O272" s="0" t="n">
        <f aca="false">IF(cleaned_data!C272="North",1,0)</f>
        <v>0</v>
      </c>
      <c r="P272" s="0" t="n">
        <f aca="false">IF(cleaned_data!C272="South",1,0)</f>
        <v>0</v>
      </c>
      <c r="Q272" s="0" t="n">
        <f aca="false">IF(cleaned_data!C272="West",1,0)</f>
        <v>0</v>
      </c>
      <c r="R272" s="0" t="n">
        <f aca="false">IF(cleaned_data!D272="Airport",1,0)</f>
        <v>0</v>
      </c>
      <c r="S272" s="0" t="n">
        <f aca="false">IF(cleaned_data!D272="Mall",1,0)</f>
        <v>1</v>
      </c>
      <c r="T272" s="0" t="n">
        <f aca="false">IF(cleaned_data!D272="Residential",1,0)</f>
        <v>0</v>
      </c>
    </row>
    <row r="273" customFormat="false" ht="15" hidden="false" customHeight="false" outlineLevel="0" collapsed="false">
      <c r="A273" s="0" t="str">
        <f aca="false">cleaned_data!A273</f>
        <v>STR-1068</v>
      </c>
      <c r="B273" s="0" t="str">
        <f aca="false">cleaned_data!B273</f>
        <v>2025-04-01</v>
      </c>
      <c r="C273" s="0" t="str">
        <f aca="false">cleaned_data!C273</f>
        <v>East</v>
      </c>
      <c r="D273" s="0" t="str">
        <f aca="false">cleaned_data!D273</f>
        <v>Mall</v>
      </c>
      <c r="E273" s="0" t="n">
        <f aca="false">cleaned_data!E273</f>
        <v>29344.93</v>
      </c>
      <c r="F273" s="0" t="n">
        <f aca="false">cleaned_data!F273</f>
        <v>7446</v>
      </c>
      <c r="G273" s="0" t="n">
        <f aca="false">cleaned_data!G273</f>
        <v>0.111</v>
      </c>
      <c r="H273" s="0" t="n">
        <f aca="false">cleaned_data!H273</f>
        <v>15</v>
      </c>
      <c r="I273" s="0" t="n">
        <f aca="false">cleaned_data!I273</f>
        <v>86.2</v>
      </c>
      <c r="J273" s="0" t="n">
        <f aca="false">cleaned_data!J273</f>
        <v>0.2</v>
      </c>
      <c r="K273" s="0" t="n">
        <f aca="false">cleaned_data!K273</f>
        <v>0</v>
      </c>
      <c r="L273" s="0" t="n">
        <f aca="false">cleaned_data!L273</f>
        <v>3.2</v>
      </c>
      <c r="M273" s="0" t="n">
        <f aca="false">cleaned_data!M273</f>
        <v>593343</v>
      </c>
      <c r="N273" s="0" t="n">
        <f aca="false">cleaned_data!N273</f>
        <v>82832.24</v>
      </c>
      <c r="O273" s="0" t="n">
        <f aca="false">IF(cleaned_data!C273="North",1,0)</f>
        <v>0</v>
      </c>
      <c r="P273" s="0" t="n">
        <f aca="false">IF(cleaned_data!C273="South",1,0)</f>
        <v>0</v>
      </c>
      <c r="Q273" s="0" t="n">
        <f aca="false">IF(cleaned_data!C273="West",1,0)</f>
        <v>0</v>
      </c>
      <c r="R273" s="0" t="n">
        <f aca="false">IF(cleaned_data!D273="Airport",1,0)</f>
        <v>0</v>
      </c>
      <c r="S273" s="0" t="n">
        <f aca="false">IF(cleaned_data!D273="Mall",1,0)</f>
        <v>1</v>
      </c>
      <c r="T273" s="0" t="n">
        <f aca="false">IF(cleaned_data!D273="Residential",1,0)</f>
        <v>0</v>
      </c>
    </row>
    <row r="274" customFormat="false" ht="15" hidden="false" customHeight="false" outlineLevel="0" collapsed="false">
      <c r="A274" s="0" t="str">
        <f aca="false">cleaned_data!A274</f>
        <v>STR-1069</v>
      </c>
      <c r="B274" s="0" t="str">
        <f aca="false">cleaned_data!B274</f>
        <v>2025-01-01</v>
      </c>
      <c r="C274" s="0" t="str">
        <f aca="false">cleaned_data!C274</f>
        <v>West</v>
      </c>
      <c r="D274" s="0" t="str">
        <f aca="false">cleaned_data!D274</f>
        <v>High Street</v>
      </c>
      <c r="E274" s="0" t="n">
        <f aca="false">cleaned_data!E274</f>
        <v>50532.17</v>
      </c>
      <c r="F274" s="0" t="n">
        <f aca="false">cleaned_data!F274</f>
        <v>5689</v>
      </c>
      <c r="G274" s="0" t="n">
        <f aca="false">cleaned_data!G274</f>
        <v>0.052</v>
      </c>
      <c r="H274" s="0" t="n">
        <f aca="false">cleaned_data!H274</f>
        <v>17</v>
      </c>
      <c r="I274" s="0" t="n">
        <f aca="false">cleaned_data!I274</f>
        <v>85.6</v>
      </c>
      <c r="J274" s="0" t="n">
        <f aca="false">cleaned_data!J274</f>
        <v>6.23</v>
      </c>
      <c r="K274" s="0" t="n">
        <f aca="false">cleaned_data!K274</f>
        <v>0</v>
      </c>
      <c r="L274" s="0" t="n">
        <f aca="false">cleaned_data!L274</f>
        <v>3.3</v>
      </c>
      <c r="M274" s="0" t="n">
        <f aca="false">cleaned_data!M274</f>
        <v>645039.97</v>
      </c>
      <c r="N274" s="0" t="n">
        <f aca="false">cleaned_data!N274</f>
        <v>83093.33</v>
      </c>
      <c r="O274" s="0" t="n">
        <f aca="false">IF(cleaned_data!C274="North",1,0)</f>
        <v>0</v>
      </c>
      <c r="P274" s="0" t="n">
        <f aca="false">IF(cleaned_data!C274="South",1,0)</f>
        <v>0</v>
      </c>
      <c r="Q274" s="0" t="n">
        <f aca="false">IF(cleaned_data!C274="West",1,0)</f>
        <v>1</v>
      </c>
      <c r="R274" s="0" t="n">
        <f aca="false">IF(cleaned_data!D274="Airport",1,0)</f>
        <v>0</v>
      </c>
      <c r="S274" s="0" t="n">
        <f aca="false">IF(cleaned_data!D274="Mall",1,0)</f>
        <v>0</v>
      </c>
      <c r="T274" s="0" t="n">
        <f aca="false">IF(cleaned_data!D274="Residential",1,0)</f>
        <v>0</v>
      </c>
    </row>
    <row r="275" customFormat="false" ht="15" hidden="false" customHeight="false" outlineLevel="0" collapsed="false">
      <c r="A275" s="0" t="str">
        <f aca="false">cleaned_data!A275</f>
        <v>STR-1069</v>
      </c>
      <c r="B275" s="0" t="str">
        <f aca="false">cleaned_data!B275</f>
        <v>2025-02-01</v>
      </c>
      <c r="C275" s="0" t="str">
        <f aca="false">cleaned_data!C275</f>
        <v>West</v>
      </c>
      <c r="D275" s="0" t="str">
        <f aca="false">cleaned_data!D275</f>
        <v>High Street</v>
      </c>
      <c r="E275" s="0" t="n">
        <f aca="false">cleaned_data!E275</f>
        <v>17562.57</v>
      </c>
      <c r="F275" s="0" t="n">
        <f aca="false">cleaned_data!F275</f>
        <v>3326</v>
      </c>
      <c r="G275" s="0" t="n">
        <f aca="false">cleaned_data!G275</f>
        <v>0.153</v>
      </c>
      <c r="H275" s="0" t="n">
        <f aca="false">cleaned_data!H275</f>
        <v>14</v>
      </c>
      <c r="I275" s="0" t="n">
        <f aca="false">cleaned_data!I275</f>
        <v>88.1</v>
      </c>
      <c r="J275" s="0" t="n">
        <f aca="false">cleaned_data!J275</f>
        <v>1.04</v>
      </c>
      <c r="K275" s="0" t="n">
        <f aca="false">cleaned_data!K275</f>
        <v>0</v>
      </c>
      <c r="L275" s="0" t="n">
        <f aca="false">cleaned_data!L275</f>
        <v>3.1</v>
      </c>
      <c r="M275" s="0" t="n">
        <f aca="false">cleaned_data!M275</f>
        <v>561597.33</v>
      </c>
      <c r="N275" s="0" t="n">
        <f aca="false">cleaned_data!N275</f>
        <v>75072.75</v>
      </c>
      <c r="O275" s="0" t="n">
        <f aca="false">IF(cleaned_data!C275="North",1,0)</f>
        <v>0</v>
      </c>
      <c r="P275" s="0" t="n">
        <f aca="false">IF(cleaned_data!C275="South",1,0)</f>
        <v>0</v>
      </c>
      <c r="Q275" s="0" t="n">
        <f aca="false">IF(cleaned_data!C275="West",1,0)</f>
        <v>1</v>
      </c>
      <c r="R275" s="0" t="n">
        <f aca="false">IF(cleaned_data!D275="Airport",1,0)</f>
        <v>0</v>
      </c>
      <c r="S275" s="0" t="n">
        <f aca="false">IF(cleaned_data!D275="Mall",1,0)</f>
        <v>0</v>
      </c>
      <c r="T275" s="0" t="n">
        <f aca="false">IF(cleaned_data!D275="Residential",1,0)</f>
        <v>0</v>
      </c>
    </row>
    <row r="276" customFormat="false" ht="15" hidden="false" customHeight="false" outlineLevel="0" collapsed="false">
      <c r="A276" s="0" t="str">
        <f aca="false">cleaned_data!A276</f>
        <v>STR-1069</v>
      </c>
      <c r="B276" s="0" t="str">
        <f aca="false">cleaned_data!B276</f>
        <v>2025-03-01</v>
      </c>
      <c r="C276" s="0" t="str">
        <f aca="false">cleaned_data!C276</f>
        <v>West</v>
      </c>
      <c r="D276" s="0" t="str">
        <f aca="false">cleaned_data!D276</f>
        <v>High Street</v>
      </c>
      <c r="E276" s="0" t="n">
        <f aca="false">cleaned_data!E276</f>
        <v>47648.71</v>
      </c>
      <c r="F276" s="0" t="n">
        <f aca="false">cleaned_data!F276</f>
        <v>5767</v>
      </c>
      <c r="G276" s="0" t="n">
        <f aca="false">cleaned_data!G276</f>
        <v>0.141</v>
      </c>
      <c r="H276" s="0" t="n">
        <f aca="false">cleaned_data!H276</f>
        <v>17</v>
      </c>
      <c r="I276" s="0" t="n">
        <f aca="false">cleaned_data!I276</f>
        <v>89.8</v>
      </c>
      <c r="J276" s="0" t="n">
        <f aca="false">cleaned_data!J276</f>
        <v>1.76</v>
      </c>
      <c r="K276" s="0" t="n">
        <f aca="false">cleaned_data!K276</f>
        <v>0</v>
      </c>
      <c r="L276" s="0" t="n">
        <f aca="false">cleaned_data!L276</f>
        <v>3.1</v>
      </c>
      <c r="M276" s="0" t="n">
        <f aca="false">cleaned_data!M276</f>
        <v>635837.74</v>
      </c>
      <c r="N276" s="0" t="n">
        <f aca="false">cleaned_data!N276</f>
        <v>114740.64</v>
      </c>
      <c r="O276" s="0" t="n">
        <f aca="false">IF(cleaned_data!C276="North",1,0)</f>
        <v>0</v>
      </c>
      <c r="P276" s="0" t="n">
        <f aca="false">IF(cleaned_data!C276="South",1,0)</f>
        <v>0</v>
      </c>
      <c r="Q276" s="0" t="n">
        <f aca="false">IF(cleaned_data!C276="West",1,0)</f>
        <v>1</v>
      </c>
      <c r="R276" s="0" t="n">
        <f aca="false">IF(cleaned_data!D276="Airport",1,0)</f>
        <v>0</v>
      </c>
      <c r="S276" s="0" t="n">
        <f aca="false">IF(cleaned_data!D276="Mall",1,0)</f>
        <v>0</v>
      </c>
      <c r="T276" s="0" t="n">
        <f aca="false">IF(cleaned_data!D276="Residential",1,0)</f>
        <v>0</v>
      </c>
    </row>
    <row r="277" customFormat="false" ht="15" hidden="false" customHeight="false" outlineLevel="0" collapsed="false">
      <c r="A277" s="0" t="str">
        <f aca="false">cleaned_data!A277</f>
        <v>STR-1069</v>
      </c>
      <c r="B277" s="0" t="str">
        <f aca="false">cleaned_data!B277</f>
        <v>2025-04-01</v>
      </c>
      <c r="C277" s="0" t="str">
        <f aca="false">cleaned_data!C277</f>
        <v>West</v>
      </c>
      <c r="D277" s="0" t="str">
        <f aca="false">cleaned_data!D277</f>
        <v>High Street</v>
      </c>
      <c r="E277" s="0" t="n">
        <f aca="false">cleaned_data!E277</f>
        <v>38297.58</v>
      </c>
      <c r="F277" s="0" t="n">
        <f aca="false">cleaned_data!F277</f>
        <v>5893</v>
      </c>
      <c r="G277" s="0" t="n">
        <f aca="false">cleaned_data!G277</f>
        <v>0.247</v>
      </c>
      <c r="H277" s="0" t="n">
        <f aca="false">cleaned_data!H277</f>
        <v>18</v>
      </c>
      <c r="I277" s="0" t="n">
        <f aca="false">cleaned_data!I277</f>
        <v>77.6</v>
      </c>
      <c r="J277" s="0" t="n">
        <f aca="false">cleaned_data!J277</f>
        <v>2.86</v>
      </c>
      <c r="K277" s="0" t="n">
        <f aca="false">cleaned_data!K277</f>
        <v>0</v>
      </c>
      <c r="L277" s="0" t="n">
        <f aca="false">cleaned_data!L277</f>
        <v>3</v>
      </c>
      <c r="M277" s="0" t="n">
        <f aca="false">cleaned_data!M277</f>
        <v>686737.87</v>
      </c>
      <c r="N277" s="0" t="n">
        <f aca="false">cleaned_data!N277</f>
        <v>83839.67</v>
      </c>
      <c r="O277" s="0" t="n">
        <f aca="false">IF(cleaned_data!C277="North",1,0)</f>
        <v>0</v>
      </c>
      <c r="P277" s="0" t="n">
        <f aca="false">IF(cleaned_data!C277="South",1,0)</f>
        <v>0</v>
      </c>
      <c r="Q277" s="0" t="n">
        <f aca="false">IF(cleaned_data!C277="West",1,0)</f>
        <v>1</v>
      </c>
      <c r="R277" s="0" t="n">
        <f aca="false">IF(cleaned_data!D277="Airport",1,0)</f>
        <v>0</v>
      </c>
      <c r="S277" s="0" t="n">
        <f aca="false">IF(cleaned_data!D277="Mall",1,0)</f>
        <v>0</v>
      </c>
      <c r="T277" s="0" t="n">
        <f aca="false">IF(cleaned_data!D277="Residential",1,0)</f>
        <v>0</v>
      </c>
    </row>
    <row r="278" customFormat="false" ht="15" hidden="false" customHeight="false" outlineLevel="0" collapsed="false">
      <c r="A278" s="0" t="str">
        <f aca="false">cleaned_data!A278</f>
        <v>STR-1070</v>
      </c>
      <c r="B278" s="0" t="str">
        <f aca="false">cleaned_data!B278</f>
        <v>2025-01-01</v>
      </c>
      <c r="C278" s="0" t="str">
        <f aca="false">cleaned_data!C278</f>
        <v>South</v>
      </c>
      <c r="D278" s="0" t="str">
        <f aca="false">cleaned_data!D278</f>
        <v>Residential</v>
      </c>
      <c r="E278" s="0" t="n">
        <f aca="false">cleaned_data!E278</f>
        <v>61784.11</v>
      </c>
      <c r="F278" s="0" t="n">
        <f aca="false">cleaned_data!F278</f>
        <v>8564</v>
      </c>
      <c r="G278" s="0" t="n">
        <f aca="false">cleaned_data!G278</f>
        <v>0.13</v>
      </c>
      <c r="H278" s="0" t="n">
        <f aca="false">cleaned_data!H278</f>
        <v>17</v>
      </c>
      <c r="I278" s="0" t="n">
        <f aca="false">cleaned_data!I278</f>
        <v>87.4</v>
      </c>
      <c r="J278" s="0" t="n">
        <f aca="false">cleaned_data!J278</f>
        <v>18.14</v>
      </c>
      <c r="K278" s="0" t="n">
        <f aca="false">cleaned_data!K278</f>
        <v>1</v>
      </c>
      <c r="L278" s="0" t="n">
        <f aca="false">cleaned_data!L278</f>
        <v>3.4</v>
      </c>
      <c r="M278" s="0" t="n">
        <f aca="false">cleaned_data!M278</f>
        <v>673076.34</v>
      </c>
      <c r="N278" s="0" t="n">
        <f aca="false">cleaned_data!N278</f>
        <v>93899.76</v>
      </c>
      <c r="O278" s="0" t="n">
        <f aca="false">IF(cleaned_data!C278="North",1,0)</f>
        <v>0</v>
      </c>
      <c r="P278" s="0" t="n">
        <f aca="false">IF(cleaned_data!C278="South",1,0)</f>
        <v>1</v>
      </c>
      <c r="Q278" s="0" t="n">
        <f aca="false">IF(cleaned_data!C278="West",1,0)</f>
        <v>0</v>
      </c>
      <c r="R278" s="0" t="n">
        <f aca="false">IF(cleaned_data!D278="Airport",1,0)</f>
        <v>0</v>
      </c>
      <c r="S278" s="0" t="n">
        <f aca="false">IF(cleaned_data!D278="Mall",1,0)</f>
        <v>0</v>
      </c>
      <c r="T278" s="0" t="n">
        <f aca="false">IF(cleaned_data!D278="Residential",1,0)</f>
        <v>1</v>
      </c>
    </row>
    <row r="279" customFormat="false" ht="15" hidden="false" customHeight="false" outlineLevel="0" collapsed="false">
      <c r="A279" s="0" t="str">
        <f aca="false">cleaned_data!A279</f>
        <v>STR-1070</v>
      </c>
      <c r="B279" s="0" t="str">
        <f aca="false">cleaned_data!B279</f>
        <v>2025-02-01</v>
      </c>
      <c r="C279" s="0" t="str">
        <f aca="false">cleaned_data!C279</f>
        <v>South</v>
      </c>
      <c r="D279" s="0" t="str">
        <f aca="false">cleaned_data!D279</f>
        <v>Residential</v>
      </c>
      <c r="E279" s="0" t="n">
        <f aca="false">cleaned_data!E279</f>
        <v>36832.33</v>
      </c>
      <c r="F279" s="0" t="n">
        <f aca="false">cleaned_data!F279</f>
        <v>8001</v>
      </c>
      <c r="G279" s="0" t="n">
        <f aca="false">cleaned_data!G279</f>
        <v>0</v>
      </c>
      <c r="H279" s="0" t="n">
        <f aca="false">cleaned_data!H279</f>
        <v>19</v>
      </c>
      <c r="I279" s="0" t="n">
        <f aca="false">cleaned_data!I279</f>
        <v>88.7</v>
      </c>
      <c r="J279" s="0" t="n">
        <f aca="false">cleaned_data!J279</f>
        <v>3.39</v>
      </c>
      <c r="K279" s="0" t="n">
        <f aca="false">cleaned_data!K279</f>
        <v>0</v>
      </c>
      <c r="L279" s="0" t="n">
        <f aca="false">cleaned_data!L279</f>
        <v>4</v>
      </c>
      <c r="M279" s="0" t="n">
        <f aca="false">cleaned_data!M279</f>
        <v>738548.42</v>
      </c>
      <c r="N279" s="0" t="n">
        <f aca="false">cleaned_data!N279</f>
        <v>134282.77</v>
      </c>
      <c r="O279" s="0" t="n">
        <f aca="false">IF(cleaned_data!C279="North",1,0)</f>
        <v>0</v>
      </c>
      <c r="P279" s="0" t="n">
        <f aca="false">IF(cleaned_data!C279="South",1,0)</f>
        <v>1</v>
      </c>
      <c r="Q279" s="0" t="n">
        <f aca="false">IF(cleaned_data!C279="West",1,0)</f>
        <v>0</v>
      </c>
      <c r="R279" s="0" t="n">
        <f aca="false">IF(cleaned_data!D279="Airport",1,0)</f>
        <v>0</v>
      </c>
      <c r="S279" s="0" t="n">
        <f aca="false">IF(cleaned_data!D279="Mall",1,0)</f>
        <v>0</v>
      </c>
      <c r="T279" s="0" t="n">
        <f aca="false">IF(cleaned_data!D279="Residential",1,0)</f>
        <v>1</v>
      </c>
    </row>
    <row r="280" customFormat="false" ht="15" hidden="false" customHeight="false" outlineLevel="0" collapsed="false">
      <c r="A280" s="0" t="str">
        <f aca="false">cleaned_data!A280</f>
        <v>STR-1070</v>
      </c>
      <c r="B280" s="0" t="str">
        <f aca="false">cleaned_data!B280</f>
        <v>2025-03-01</v>
      </c>
      <c r="C280" s="0" t="str">
        <f aca="false">cleaned_data!C280</f>
        <v>South</v>
      </c>
      <c r="D280" s="0" t="str">
        <f aca="false">cleaned_data!D280</f>
        <v>Residential</v>
      </c>
      <c r="E280" s="0" t="n">
        <f aca="false">cleaned_data!E280</f>
        <v>48609.41</v>
      </c>
      <c r="F280" s="0" t="n">
        <f aca="false">cleaned_data!F280</f>
        <v>9324</v>
      </c>
      <c r="G280" s="0" t="n">
        <f aca="false">cleaned_data!G280</f>
        <v>0.213</v>
      </c>
      <c r="H280" s="0" t="n">
        <f aca="false">cleaned_data!H280</f>
        <v>18</v>
      </c>
      <c r="I280" s="0" t="n">
        <f aca="false">cleaned_data!I280</f>
        <v>86.5</v>
      </c>
      <c r="J280" s="0" t="n">
        <f aca="false">cleaned_data!J280</f>
        <v>1.44</v>
      </c>
      <c r="K280" s="0" t="n">
        <f aca="false">cleaned_data!K280</f>
        <v>0</v>
      </c>
      <c r="L280" s="0" t="n">
        <f aca="false">cleaned_data!L280</f>
        <v>3.9</v>
      </c>
      <c r="M280" s="0" t="n">
        <f aca="false">cleaned_data!M280</f>
        <v>756619.77</v>
      </c>
      <c r="N280" s="0" t="n">
        <f aca="false">cleaned_data!N280</f>
        <v>112057.69</v>
      </c>
      <c r="O280" s="0" t="n">
        <f aca="false">IF(cleaned_data!C280="North",1,0)</f>
        <v>0</v>
      </c>
      <c r="P280" s="0" t="n">
        <f aca="false">IF(cleaned_data!C280="South",1,0)</f>
        <v>1</v>
      </c>
      <c r="Q280" s="0" t="n">
        <f aca="false">IF(cleaned_data!C280="West",1,0)</f>
        <v>0</v>
      </c>
      <c r="R280" s="0" t="n">
        <f aca="false">IF(cleaned_data!D280="Airport",1,0)</f>
        <v>0</v>
      </c>
      <c r="S280" s="0" t="n">
        <f aca="false">IF(cleaned_data!D280="Mall",1,0)</f>
        <v>0</v>
      </c>
      <c r="T280" s="0" t="n">
        <f aca="false">IF(cleaned_data!D280="Residential",1,0)</f>
        <v>1</v>
      </c>
    </row>
    <row r="281" customFormat="false" ht="15" hidden="false" customHeight="false" outlineLevel="0" collapsed="false">
      <c r="A281" s="0" t="str">
        <f aca="false">cleaned_data!A281</f>
        <v>STR-1070</v>
      </c>
      <c r="B281" s="0" t="str">
        <f aca="false">cleaned_data!B281</f>
        <v>2025-04-01</v>
      </c>
      <c r="C281" s="0" t="str">
        <f aca="false">cleaned_data!C281</f>
        <v>South</v>
      </c>
      <c r="D281" s="0" t="str">
        <f aca="false">cleaned_data!D281</f>
        <v>Residential</v>
      </c>
      <c r="E281" s="0" t="n">
        <f aca="false">cleaned_data!E281</f>
        <v>70284.06</v>
      </c>
      <c r="F281" s="0" t="n">
        <f aca="false">cleaned_data!F281</f>
        <v>9109</v>
      </c>
      <c r="G281" s="0" t="n">
        <f aca="false">cleaned_data!G281</f>
        <v>0.004</v>
      </c>
      <c r="H281" s="0" t="n">
        <f aca="false">cleaned_data!H281</f>
        <v>23</v>
      </c>
      <c r="I281" s="0" t="n">
        <f aca="false">cleaned_data!I281</f>
        <v>87</v>
      </c>
      <c r="J281" s="0" t="n">
        <f aca="false">cleaned_data!J281</f>
        <v>3.65</v>
      </c>
      <c r="K281" s="0" t="n">
        <f aca="false">cleaned_data!K281</f>
        <v>0</v>
      </c>
      <c r="L281" s="0" t="n">
        <f aca="false">cleaned_data!L281</f>
        <v>3.7</v>
      </c>
      <c r="M281" s="0" t="n">
        <f aca="false">cleaned_data!M281</f>
        <v>761122.42</v>
      </c>
      <c r="N281" s="0" t="n">
        <f aca="false">cleaned_data!N281</f>
        <v>149802.04</v>
      </c>
      <c r="O281" s="0" t="n">
        <f aca="false">IF(cleaned_data!C281="North",1,0)</f>
        <v>0</v>
      </c>
      <c r="P281" s="0" t="n">
        <f aca="false">IF(cleaned_data!C281="South",1,0)</f>
        <v>1</v>
      </c>
      <c r="Q281" s="0" t="n">
        <f aca="false">IF(cleaned_data!C281="West",1,0)</f>
        <v>0</v>
      </c>
      <c r="R281" s="0" t="n">
        <f aca="false">IF(cleaned_data!D281="Airport",1,0)</f>
        <v>0</v>
      </c>
      <c r="S281" s="0" t="n">
        <f aca="false">IF(cleaned_data!D281="Mall",1,0)</f>
        <v>0</v>
      </c>
      <c r="T281" s="0" t="n">
        <f aca="false">IF(cleaned_data!D281="Residential",1,0)</f>
        <v>1</v>
      </c>
    </row>
    <row r="282" customFormat="false" ht="15" hidden="false" customHeight="false" outlineLevel="0" collapsed="false">
      <c r="A282" s="0" t="str">
        <f aca="false">cleaned_data!A282</f>
        <v>STR-1071</v>
      </c>
      <c r="B282" s="0" t="str">
        <f aca="false">cleaned_data!B282</f>
        <v>2025-01-01</v>
      </c>
      <c r="C282" s="0" t="str">
        <f aca="false">cleaned_data!C282</f>
        <v>South</v>
      </c>
      <c r="D282" s="0" t="str">
        <f aca="false">cleaned_data!D282</f>
        <v>High Street</v>
      </c>
      <c r="E282" s="0" t="n">
        <f aca="false">cleaned_data!E282</f>
        <v>45940.39</v>
      </c>
      <c r="F282" s="0" t="n">
        <f aca="false">cleaned_data!F282</f>
        <v>4022</v>
      </c>
      <c r="G282" s="0" t="n">
        <f aca="false">cleaned_data!G282</f>
        <v>0.069</v>
      </c>
      <c r="H282" s="0" t="n">
        <f aca="false">cleaned_data!H282</f>
        <v>10</v>
      </c>
      <c r="I282" s="0" t="n">
        <f aca="false">cleaned_data!I282</f>
        <v>83</v>
      </c>
      <c r="J282" s="0" t="n">
        <f aca="false">cleaned_data!J282</f>
        <v>1.23</v>
      </c>
      <c r="K282" s="0" t="n">
        <f aca="false">cleaned_data!K282</f>
        <v>1</v>
      </c>
      <c r="L282" s="0" t="n">
        <f aca="false">cleaned_data!L282</f>
        <v>3.8</v>
      </c>
      <c r="M282" s="0" t="n">
        <f aca="false">cleaned_data!M282</f>
        <v>524899.57</v>
      </c>
      <c r="N282" s="0" t="n">
        <f aca="false">cleaned_data!N282</f>
        <v>63619.98</v>
      </c>
      <c r="O282" s="0" t="n">
        <f aca="false">IF(cleaned_data!C282="North",1,0)</f>
        <v>0</v>
      </c>
      <c r="P282" s="0" t="n">
        <f aca="false">IF(cleaned_data!C282="South",1,0)</f>
        <v>1</v>
      </c>
      <c r="Q282" s="0" t="n">
        <f aca="false">IF(cleaned_data!C282="West",1,0)</f>
        <v>0</v>
      </c>
      <c r="R282" s="0" t="n">
        <f aca="false">IF(cleaned_data!D282="Airport",1,0)</f>
        <v>0</v>
      </c>
      <c r="S282" s="0" t="n">
        <f aca="false">IF(cleaned_data!D282="Mall",1,0)</f>
        <v>0</v>
      </c>
      <c r="T282" s="0" t="n">
        <f aca="false">IF(cleaned_data!D282="Residential",1,0)</f>
        <v>0</v>
      </c>
    </row>
    <row r="283" customFormat="false" ht="15" hidden="false" customHeight="false" outlineLevel="0" collapsed="false">
      <c r="A283" s="0" t="str">
        <f aca="false">cleaned_data!A283</f>
        <v>STR-1071</v>
      </c>
      <c r="B283" s="0" t="str">
        <f aca="false">cleaned_data!B283</f>
        <v>2025-02-01</v>
      </c>
      <c r="C283" s="0" t="str">
        <f aca="false">cleaned_data!C283</f>
        <v>South</v>
      </c>
      <c r="D283" s="0" t="str">
        <f aca="false">cleaned_data!D283</f>
        <v>High Street</v>
      </c>
      <c r="E283" s="0" t="n">
        <f aca="false">cleaned_data!E283</f>
        <v>34771.26</v>
      </c>
      <c r="F283" s="0" t="n">
        <f aca="false">cleaned_data!F283</f>
        <v>4355</v>
      </c>
      <c r="G283" s="0" t="n">
        <f aca="false">cleaned_data!G283</f>
        <v>0.051</v>
      </c>
      <c r="H283" s="0" t="n">
        <f aca="false">cleaned_data!H283</f>
        <v>15</v>
      </c>
      <c r="I283" s="0" t="n">
        <f aca="false">cleaned_data!I283</f>
        <v>87.9</v>
      </c>
      <c r="J283" s="0" t="n">
        <f aca="false">cleaned_data!J283</f>
        <v>3.09</v>
      </c>
      <c r="K283" s="0" t="n">
        <f aca="false">cleaned_data!K283</f>
        <v>0</v>
      </c>
      <c r="L283" s="0" t="n">
        <f aca="false">cleaned_data!L283</f>
        <v>4</v>
      </c>
      <c r="M283" s="0" t="n">
        <f aca="false">cleaned_data!M283</f>
        <v>555557.77</v>
      </c>
      <c r="N283" s="0" t="n">
        <f aca="false">cleaned_data!N283</f>
        <v>86475.51</v>
      </c>
      <c r="O283" s="0" t="n">
        <f aca="false">IF(cleaned_data!C283="North",1,0)</f>
        <v>0</v>
      </c>
      <c r="P283" s="0" t="n">
        <f aca="false">IF(cleaned_data!C283="South",1,0)</f>
        <v>1</v>
      </c>
      <c r="Q283" s="0" t="n">
        <f aca="false">IF(cleaned_data!C283="West",1,0)</f>
        <v>0</v>
      </c>
      <c r="R283" s="0" t="n">
        <f aca="false">IF(cleaned_data!D283="Airport",1,0)</f>
        <v>0</v>
      </c>
      <c r="S283" s="0" t="n">
        <f aca="false">IF(cleaned_data!D283="Mall",1,0)</f>
        <v>0</v>
      </c>
      <c r="T283" s="0" t="n">
        <f aca="false">IF(cleaned_data!D283="Residential",1,0)</f>
        <v>0</v>
      </c>
    </row>
    <row r="284" customFormat="false" ht="15" hidden="false" customHeight="false" outlineLevel="0" collapsed="false">
      <c r="A284" s="0" t="str">
        <f aca="false">cleaned_data!A284</f>
        <v>STR-1071</v>
      </c>
      <c r="B284" s="0" t="str">
        <f aca="false">cleaned_data!B284</f>
        <v>2025-03-01</v>
      </c>
      <c r="C284" s="0" t="str">
        <f aca="false">cleaned_data!C284</f>
        <v>South</v>
      </c>
      <c r="D284" s="0" t="str">
        <f aca="false">cleaned_data!D284</f>
        <v>High Street</v>
      </c>
      <c r="E284" s="0" t="n">
        <f aca="false">cleaned_data!E284</f>
        <v>66104.19</v>
      </c>
      <c r="F284" s="0" t="n">
        <f aca="false">cleaned_data!F284</f>
        <v>5745</v>
      </c>
      <c r="G284" s="0" t="n">
        <f aca="false">cleaned_data!G284</f>
        <v>0.07</v>
      </c>
      <c r="H284" s="0" t="n">
        <f aca="false">cleaned_data!H284</f>
        <v>17</v>
      </c>
      <c r="I284" s="0" t="n">
        <f aca="false">cleaned_data!I284</f>
        <v>95.8</v>
      </c>
      <c r="J284" s="0" t="n">
        <f aca="false">cleaned_data!J284</f>
        <v>3.15</v>
      </c>
      <c r="K284" s="0" t="n">
        <f aca="false">cleaned_data!K284</f>
        <v>0</v>
      </c>
      <c r="L284" s="0" t="n">
        <f aca="false">cleaned_data!L284</f>
        <v>4</v>
      </c>
      <c r="M284" s="0" t="n">
        <f aca="false">cleaned_data!M284</f>
        <v>714083.68</v>
      </c>
      <c r="N284" s="0" t="n">
        <f aca="false">cleaned_data!N284</f>
        <v>127231.74</v>
      </c>
      <c r="O284" s="0" t="n">
        <f aca="false">IF(cleaned_data!C284="North",1,0)</f>
        <v>0</v>
      </c>
      <c r="P284" s="0" t="n">
        <f aca="false">IF(cleaned_data!C284="South",1,0)</f>
        <v>1</v>
      </c>
      <c r="Q284" s="0" t="n">
        <f aca="false">IF(cleaned_data!C284="West",1,0)</f>
        <v>0</v>
      </c>
      <c r="R284" s="0" t="n">
        <f aca="false">IF(cleaned_data!D284="Airport",1,0)</f>
        <v>0</v>
      </c>
      <c r="S284" s="0" t="n">
        <f aca="false">IF(cleaned_data!D284="Mall",1,0)</f>
        <v>0</v>
      </c>
      <c r="T284" s="0" t="n">
        <f aca="false">IF(cleaned_data!D284="Residential",1,0)</f>
        <v>0</v>
      </c>
    </row>
    <row r="285" customFormat="false" ht="15" hidden="false" customHeight="false" outlineLevel="0" collapsed="false">
      <c r="A285" s="0" t="str">
        <f aca="false">cleaned_data!A285</f>
        <v>STR-1071</v>
      </c>
      <c r="B285" s="0" t="str">
        <f aca="false">cleaned_data!B285</f>
        <v>2025-04-01</v>
      </c>
      <c r="C285" s="0" t="str">
        <f aca="false">cleaned_data!C285</f>
        <v>South</v>
      </c>
      <c r="D285" s="0" t="str">
        <f aca="false">cleaned_data!D285</f>
        <v>High Street</v>
      </c>
      <c r="E285" s="0" t="n">
        <f aca="false">cleaned_data!E285</f>
        <v>18599.21</v>
      </c>
      <c r="F285" s="0" t="n">
        <f aca="false">cleaned_data!F285</f>
        <v>3027</v>
      </c>
      <c r="G285" s="0" t="n">
        <f aca="false">cleaned_data!G285</f>
        <v>0.122</v>
      </c>
      <c r="H285" s="0" t="n">
        <f aca="false">cleaned_data!H285</f>
        <v>11</v>
      </c>
      <c r="I285" s="0" t="n">
        <f aca="false">cleaned_data!I285</f>
        <v>80.9</v>
      </c>
      <c r="J285" s="0" t="n">
        <f aca="false">cleaned_data!J285</f>
        <v>6.44</v>
      </c>
      <c r="K285" s="0" t="n">
        <f aca="false">cleaned_data!K285</f>
        <v>0</v>
      </c>
      <c r="L285" s="0" t="n">
        <f aca="false">cleaned_data!L285</f>
        <v>4.2</v>
      </c>
      <c r="M285" s="0" t="n">
        <f aca="false">cleaned_data!M285</f>
        <v>497439.82</v>
      </c>
      <c r="N285" s="0" t="n">
        <f aca="false">cleaned_data!N285</f>
        <v>93372.75</v>
      </c>
      <c r="O285" s="0" t="n">
        <f aca="false">IF(cleaned_data!C285="North",1,0)</f>
        <v>0</v>
      </c>
      <c r="P285" s="0" t="n">
        <f aca="false">IF(cleaned_data!C285="South",1,0)</f>
        <v>1</v>
      </c>
      <c r="Q285" s="0" t="n">
        <f aca="false">IF(cleaned_data!C285="West",1,0)</f>
        <v>0</v>
      </c>
      <c r="R285" s="0" t="n">
        <f aca="false">IF(cleaned_data!D285="Airport",1,0)</f>
        <v>0</v>
      </c>
      <c r="S285" s="0" t="n">
        <f aca="false">IF(cleaned_data!D285="Mall",1,0)</f>
        <v>0</v>
      </c>
      <c r="T285" s="0" t="n">
        <f aca="false">IF(cleaned_data!D285="Residential",1,0)</f>
        <v>0</v>
      </c>
    </row>
    <row r="286" customFormat="false" ht="15" hidden="false" customHeight="false" outlineLevel="0" collapsed="false">
      <c r="A286" s="0" t="str">
        <f aca="false">cleaned_data!A286</f>
        <v>STR-1072</v>
      </c>
      <c r="B286" s="0" t="str">
        <f aca="false">cleaned_data!B286</f>
        <v>2025-01-01</v>
      </c>
      <c r="C286" s="0" t="str">
        <f aca="false">cleaned_data!C286</f>
        <v>West</v>
      </c>
      <c r="D286" s="0" t="str">
        <f aca="false">cleaned_data!D286</f>
        <v>Residential</v>
      </c>
      <c r="E286" s="0" t="n">
        <f aca="false">cleaned_data!E286</f>
        <v>60183.06</v>
      </c>
      <c r="F286" s="0" t="n">
        <f aca="false">cleaned_data!F286</f>
        <v>5562</v>
      </c>
      <c r="G286" s="0" t="n">
        <f aca="false">cleaned_data!G286</f>
        <v>0.009</v>
      </c>
      <c r="H286" s="0" t="n">
        <f aca="false">cleaned_data!H286</f>
        <v>13</v>
      </c>
      <c r="I286" s="0" t="n">
        <f aca="false">cleaned_data!I286</f>
        <v>86.3</v>
      </c>
      <c r="J286" s="0" t="n">
        <f aca="false">cleaned_data!J286</f>
        <v>0.2</v>
      </c>
      <c r="K286" s="0" t="n">
        <f aca="false">cleaned_data!K286</f>
        <v>1</v>
      </c>
      <c r="L286" s="0" t="n">
        <f aca="false">cleaned_data!L286</f>
        <v>4.5</v>
      </c>
      <c r="M286" s="0" t="n">
        <f aca="false">cleaned_data!M286</f>
        <v>636775.66</v>
      </c>
      <c r="N286" s="0" t="n">
        <f aca="false">cleaned_data!N286</f>
        <v>122636.86</v>
      </c>
      <c r="O286" s="0" t="n">
        <f aca="false">IF(cleaned_data!C286="North",1,0)</f>
        <v>0</v>
      </c>
      <c r="P286" s="0" t="n">
        <f aca="false">IF(cleaned_data!C286="South",1,0)</f>
        <v>0</v>
      </c>
      <c r="Q286" s="0" t="n">
        <f aca="false">IF(cleaned_data!C286="West",1,0)</f>
        <v>1</v>
      </c>
      <c r="R286" s="0" t="n">
        <f aca="false">IF(cleaned_data!D286="Airport",1,0)</f>
        <v>0</v>
      </c>
      <c r="S286" s="0" t="n">
        <f aca="false">IF(cleaned_data!D286="Mall",1,0)</f>
        <v>0</v>
      </c>
      <c r="T286" s="0" t="n">
        <f aca="false">IF(cleaned_data!D286="Residential",1,0)</f>
        <v>1</v>
      </c>
    </row>
    <row r="287" customFormat="false" ht="15" hidden="false" customHeight="false" outlineLevel="0" collapsed="false">
      <c r="A287" s="0" t="str">
        <f aca="false">cleaned_data!A287</f>
        <v>STR-1072</v>
      </c>
      <c r="B287" s="0" t="str">
        <f aca="false">cleaned_data!B287</f>
        <v>2025-02-01</v>
      </c>
      <c r="C287" s="0" t="str">
        <f aca="false">cleaned_data!C287</f>
        <v>West</v>
      </c>
      <c r="D287" s="0" t="str">
        <f aca="false">cleaned_data!D287</f>
        <v>Residential</v>
      </c>
      <c r="E287" s="0" t="n">
        <f aca="false">cleaned_data!E287</f>
        <v>74539.14</v>
      </c>
      <c r="F287" s="0" t="n">
        <f aca="false">cleaned_data!F287</f>
        <v>4487</v>
      </c>
      <c r="G287" s="0" t="n">
        <f aca="false">cleaned_data!G287</f>
        <v>0.14</v>
      </c>
      <c r="H287" s="0" t="n">
        <f aca="false">cleaned_data!H287</f>
        <v>10</v>
      </c>
      <c r="I287" s="0" t="n">
        <f aca="false">cleaned_data!I287</f>
        <v>90.4</v>
      </c>
      <c r="J287" s="0" t="n">
        <f aca="false">cleaned_data!J287</f>
        <v>0.59</v>
      </c>
      <c r="K287" s="0" t="n">
        <f aca="false">cleaned_data!K287</f>
        <v>0</v>
      </c>
      <c r="L287" s="0" t="n">
        <f aca="false">cleaned_data!L287</f>
        <v>4.5</v>
      </c>
      <c r="M287" s="0" t="n">
        <f aca="false">cleaned_data!M287</f>
        <v>633009.53</v>
      </c>
      <c r="N287" s="0" t="n">
        <f aca="false">cleaned_data!N287</f>
        <v>123782.67</v>
      </c>
      <c r="O287" s="0" t="n">
        <f aca="false">IF(cleaned_data!C287="North",1,0)</f>
        <v>0</v>
      </c>
      <c r="P287" s="0" t="n">
        <f aca="false">IF(cleaned_data!C287="South",1,0)</f>
        <v>0</v>
      </c>
      <c r="Q287" s="0" t="n">
        <f aca="false">IF(cleaned_data!C287="West",1,0)</f>
        <v>1</v>
      </c>
      <c r="R287" s="0" t="n">
        <f aca="false">IF(cleaned_data!D287="Airport",1,0)</f>
        <v>0</v>
      </c>
      <c r="S287" s="0" t="n">
        <f aca="false">IF(cleaned_data!D287="Mall",1,0)</f>
        <v>0</v>
      </c>
      <c r="T287" s="0" t="n">
        <f aca="false">IF(cleaned_data!D287="Residential",1,0)</f>
        <v>1</v>
      </c>
    </row>
    <row r="288" customFormat="false" ht="15" hidden="false" customHeight="false" outlineLevel="0" collapsed="false">
      <c r="A288" s="0" t="str">
        <f aca="false">cleaned_data!A288</f>
        <v>STR-1072</v>
      </c>
      <c r="B288" s="0" t="str">
        <f aca="false">cleaned_data!B288</f>
        <v>2025-03-01</v>
      </c>
      <c r="C288" s="0" t="str">
        <f aca="false">cleaned_data!C288</f>
        <v>West</v>
      </c>
      <c r="D288" s="0" t="str">
        <f aca="false">cleaned_data!D288</f>
        <v>Residential</v>
      </c>
      <c r="E288" s="0" t="n">
        <f aca="false">cleaned_data!E288</f>
        <v>55371.97</v>
      </c>
      <c r="F288" s="0" t="n">
        <f aca="false">cleaned_data!F288</f>
        <v>4162</v>
      </c>
      <c r="G288" s="0" t="n">
        <f aca="false">cleaned_data!G288</f>
        <v>0.183</v>
      </c>
      <c r="H288" s="0" t="n">
        <f aca="false">cleaned_data!H288</f>
        <v>11</v>
      </c>
      <c r="I288" s="0" t="n">
        <f aca="false">cleaned_data!I288</f>
        <v>92</v>
      </c>
      <c r="J288" s="0" t="n">
        <f aca="false">cleaned_data!J288</f>
        <v>0.2</v>
      </c>
      <c r="K288" s="0" t="n">
        <f aca="false">cleaned_data!K288</f>
        <v>1</v>
      </c>
      <c r="L288" s="0" t="n">
        <f aca="false">cleaned_data!L288</f>
        <v>4.2</v>
      </c>
      <c r="M288" s="0" t="n">
        <f aca="false">cleaned_data!M288</f>
        <v>609949</v>
      </c>
      <c r="N288" s="0" t="n">
        <f aca="false">cleaned_data!N288</f>
        <v>126789.25</v>
      </c>
      <c r="O288" s="0" t="n">
        <f aca="false">IF(cleaned_data!C288="North",1,0)</f>
        <v>0</v>
      </c>
      <c r="P288" s="0" t="n">
        <f aca="false">IF(cleaned_data!C288="South",1,0)</f>
        <v>0</v>
      </c>
      <c r="Q288" s="0" t="n">
        <f aca="false">IF(cleaned_data!C288="West",1,0)</f>
        <v>1</v>
      </c>
      <c r="R288" s="0" t="n">
        <f aca="false">IF(cleaned_data!D288="Airport",1,0)</f>
        <v>0</v>
      </c>
      <c r="S288" s="0" t="n">
        <f aca="false">IF(cleaned_data!D288="Mall",1,0)</f>
        <v>0</v>
      </c>
      <c r="T288" s="0" t="n">
        <f aca="false">IF(cleaned_data!D288="Residential",1,0)</f>
        <v>1</v>
      </c>
    </row>
    <row r="289" customFormat="false" ht="15" hidden="false" customHeight="false" outlineLevel="0" collapsed="false">
      <c r="A289" s="0" t="str">
        <f aca="false">cleaned_data!A289</f>
        <v>STR-1072</v>
      </c>
      <c r="B289" s="0" t="str">
        <f aca="false">cleaned_data!B289</f>
        <v>2025-04-01</v>
      </c>
      <c r="C289" s="0" t="str">
        <f aca="false">cleaned_data!C289</f>
        <v>West</v>
      </c>
      <c r="D289" s="0" t="str">
        <f aca="false">cleaned_data!D289</f>
        <v>Residential</v>
      </c>
      <c r="E289" s="0" t="n">
        <f aca="false">cleaned_data!E289</f>
        <v>40928.69</v>
      </c>
      <c r="F289" s="0" t="n">
        <f aca="false">cleaned_data!F289</f>
        <v>4094</v>
      </c>
      <c r="G289" s="0" t="n">
        <f aca="false">cleaned_data!G289</f>
        <v>0.174</v>
      </c>
      <c r="H289" s="0" t="n">
        <f aca="false">cleaned_data!H289</f>
        <v>13</v>
      </c>
      <c r="I289" s="0" t="n">
        <f aca="false">cleaned_data!I289</f>
        <v>82.4</v>
      </c>
      <c r="J289" s="0" t="n">
        <f aca="false">cleaned_data!J289</f>
        <v>1.36</v>
      </c>
      <c r="K289" s="0" t="n">
        <f aca="false">cleaned_data!K289</f>
        <v>0</v>
      </c>
      <c r="L289" s="0" t="n">
        <f aca="false">cleaned_data!L289</f>
        <v>4.8</v>
      </c>
      <c r="M289" s="0" t="n">
        <f aca="false">cleaned_data!M289</f>
        <v>548103.7</v>
      </c>
      <c r="N289" s="0" t="n">
        <f aca="false">cleaned_data!N289</f>
        <v>99905.52</v>
      </c>
      <c r="O289" s="0" t="n">
        <f aca="false">IF(cleaned_data!C289="North",1,0)</f>
        <v>0</v>
      </c>
      <c r="P289" s="0" t="n">
        <f aca="false">IF(cleaned_data!C289="South",1,0)</f>
        <v>0</v>
      </c>
      <c r="Q289" s="0" t="n">
        <f aca="false">IF(cleaned_data!C289="West",1,0)</f>
        <v>1</v>
      </c>
      <c r="R289" s="0" t="n">
        <f aca="false">IF(cleaned_data!D289="Airport",1,0)</f>
        <v>0</v>
      </c>
      <c r="S289" s="0" t="n">
        <f aca="false">IF(cleaned_data!D289="Mall",1,0)</f>
        <v>0</v>
      </c>
      <c r="T289" s="0" t="n">
        <f aca="false">IF(cleaned_data!D289="Residential",1,0)</f>
        <v>1</v>
      </c>
    </row>
    <row r="290" customFormat="false" ht="15" hidden="false" customHeight="false" outlineLevel="0" collapsed="false">
      <c r="A290" s="0" t="str">
        <f aca="false">cleaned_data!A290</f>
        <v>STR-1073</v>
      </c>
      <c r="B290" s="0" t="str">
        <f aca="false">cleaned_data!B290</f>
        <v>2025-01-01</v>
      </c>
      <c r="C290" s="0" t="str">
        <f aca="false">cleaned_data!C290</f>
        <v>East</v>
      </c>
      <c r="D290" s="0" t="str">
        <f aca="false">cleaned_data!D290</f>
        <v>Residential</v>
      </c>
      <c r="E290" s="0" t="n">
        <f aca="false">cleaned_data!E290</f>
        <v>70012.41</v>
      </c>
      <c r="F290" s="0" t="n">
        <f aca="false">cleaned_data!F290</f>
        <v>8484</v>
      </c>
      <c r="G290" s="0" t="n">
        <f aca="false">cleaned_data!G290</f>
        <v>0.273</v>
      </c>
      <c r="H290" s="0" t="n">
        <f aca="false">cleaned_data!H290</f>
        <v>23</v>
      </c>
      <c r="I290" s="0" t="n">
        <f aca="false">cleaned_data!I290</f>
        <v>72.9</v>
      </c>
      <c r="J290" s="0" t="n">
        <f aca="false">cleaned_data!J290</f>
        <v>3.34</v>
      </c>
      <c r="K290" s="0" t="n">
        <f aca="false">cleaned_data!K290</f>
        <v>0</v>
      </c>
      <c r="L290" s="0" t="n">
        <f aca="false">cleaned_data!L290</f>
        <v>3.7</v>
      </c>
      <c r="M290" s="0" t="n">
        <f aca="false">cleaned_data!M290</f>
        <v>729424.42</v>
      </c>
      <c r="N290" s="0" t="n">
        <f aca="false">cleaned_data!N290</f>
        <v>75592.28</v>
      </c>
      <c r="O290" s="0" t="n">
        <f aca="false">IF(cleaned_data!C290="North",1,0)</f>
        <v>0</v>
      </c>
      <c r="P290" s="0" t="n">
        <f aca="false">IF(cleaned_data!C290="South",1,0)</f>
        <v>0</v>
      </c>
      <c r="Q290" s="0" t="n">
        <f aca="false">IF(cleaned_data!C290="West",1,0)</f>
        <v>0</v>
      </c>
      <c r="R290" s="0" t="n">
        <f aca="false">IF(cleaned_data!D290="Airport",1,0)</f>
        <v>0</v>
      </c>
      <c r="S290" s="0" t="n">
        <f aca="false">IF(cleaned_data!D290="Mall",1,0)</f>
        <v>0</v>
      </c>
      <c r="T290" s="0" t="n">
        <f aca="false">IF(cleaned_data!D290="Residential",1,0)</f>
        <v>1</v>
      </c>
    </row>
    <row r="291" customFormat="false" ht="15" hidden="false" customHeight="false" outlineLevel="0" collapsed="false">
      <c r="A291" s="0" t="str">
        <f aca="false">cleaned_data!A291</f>
        <v>STR-1073</v>
      </c>
      <c r="B291" s="0" t="str">
        <f aca="false">cleaned_data!B291</f>
        <v>2025-02-01</v>
      </c>
      <c r="C291" s="0" t="str">
        <f aca="false">cleaned_data!C291</f>
        <v>East</v>
      </c>
      <c r="D291" s="0" t="str">
        <f aca="false">cleaned_data!D291</f>
        <v>Residential</v>
      </c>
      <c r="E291" s="0" t="n">
        <f aca="false">cleaned_data!E291</f>
        <v>68909.26</v>
      </c>
      <c r="F291" s="0" t="n">
        <f aca="false">cleaned_data!F291</f>
        <v>7794</v>
      </c>
      <c r="G291" s="0" t="n">
        <f aca="false">cleaned_data!G291</f>
        <v>0.284</v>
      </c>
      <c r="H291" s="0" t="n">
        <f aca="false">cleaned_data!H291</f>
        <v>22</v>
      </c>
      <c r="I291" s="0" t="n">
        <f aca="false">cleaned_data!I291</f>
        <v>89</v>
      </c>
      <c r="J291" s="0" t="n">
        <f aca="false">cleaned_data!J291</f>
        <v>0.33</v>
      </c>
      <c r="K291" s="0" t="n">
        <f aca="false">cleaned_data!K291</f>
        <v>0</v>
      </c>
      <c r="L291" s="0" t="n">
        <f aca="false">cleaned_data!L291</f>
        <v>4</v>
      </c>
      <c r="M291" s="0" t="n">
        <f aca="false">cleaned_data!M291</f>
        <v>696261.49</v>
      </c>
      <c r="N291" s="0" t="n">
        <f aca="false">cleaned_data!N291</f>
        <v>72455.35</v>
      </c>
      <c r="O291" s="0" t="n">
        <f aca="false">IF(cleaned_data!C291="North",1,0)</f>
        <v>0</v>
      </c>
      <c r="P291" s="0" t="n">
        <f aca="false">IF(cleaned_data!C291="South",1,0)</f>
        <v>0</v>
      </c>
      <c r="Q291" s="0" t="n">
        <f aca="false">IF(cleaned_data!C291="West",1,0)</f>
        <v>0</v>
      </c>
      <c r="R291" s="0" t="n">
        <f aca="false">IF(cleaned_data!D291="Airport",1,0)</f>
        <v>0</v>
      </c>
      <c r="S291" s="0" t="n">
        <f aca="false">IF(cleaned_data!D291="Mall",1,0)</f>
        <v>0</v>
      </c>
      <c r="T291" s="0" t="n">
        <f aca="false">IF(cleaned_data!D291="Residential",1,0)</f>
        <v>1</v>
      </c>
    </row>
    <row r="292" customFormat="false" ht="15" hidden="false" customHeight="false" outlineLevel="0" collapsed="false">
      <c r="A292" s="0" t="str">
        <f aca="false">cleaned_data!A292</f>
        <v>STR-1073</v>
      </c>
      <c r="B292" s="0" t="str">
        <f aca="false">cleaned_data!B292</f>
        <v>2025-03-01</v>
      </c>
      <c r="C292" s="0" t="str">
        <f aca="false">cleaned_data!C292</f>
        <v>East</v>
      </c>
      <c r="D292" s="0" t="str">
        <f aca="false">cleaned_data!D292</f>
        <v>Residential</v>
      </c>
      <c r="E292" s="0" t="n">
        <f aca="false">cleaned_data!E292</f>
        <v>56737.3</v>
      </c>
      <c r="F292" s="0" t="n">
        <f aca="false">cleaned_data!F292</f>
        <v>8300</v>
      </c>
      <c r="G292" s="0" t="n">
        <f aca="false">cleaned_data!G292</f>
        <v>0.032</v>
      </c>
      <c r="H292" s="0" t="n">
        <f aca="false">cleaned_data!H292</f>
        <v>21</v>
      </c>
      <c r="I292" s="0" t="n">
        <f aca="false">cleaned_data!I292</f>
        <v>83.2</v>
      </c>
      <c r="J292" s="0" t="n">
        <f aca="false">cleaned_data!J292</f>
        <v>3.44</v>
      </c>
      <c r="K292" s="0" t="n">
        <f aca="false">cleaned_data!K292</f>
        <v>1</v>
      </c>
      <c r="L292" s="0" t="n">
        <f aca="false">cleaned_data!L292</f>
        <v>4.3</v>
      </c>
      <c r="M292" s="0" t="n">
        <f aca="false">cleaned_data!M292</f>
        <v>813316.71</v>
      </c>
      <c r="N292" s="0" t="n">
        <f aca="false">cleaned_data!N292</f>
        <v>110077.42</v>
      </c>
      <c r="O292" s="0" t="n">
        <f aca="false">IF(cleaned_data!C292="North",1,0)</f>
        <v>0</v>
      </c>
      <c r="P292" s="0" t="n">
        <f aca="false">IF(cleaned_data!C292="South",1,0)</f>
        <v>0</v>
      </c>
      <c r="Q292" s="0" t="n">
        <f aca="false">IF(cleaned_data!C292="West",1,0)</f>
        <v>0</v>
      </c>
      <c r="R292" s="0" t="n">
        <f aca="false">IF(cleaned_data!D292="Airport",1,0)</f>
        <v>0</v>
      </c>
      <c r="S292" s="0" t="n">
        <f aca="false">IF(cleaned_data!D292="Mall",1,0)</f>
        <v>0</v>
      </c>
      <c r="T292" s="0" t="n">
        <f aca="false">IF(cleaned_data!D292="Residential",1,0)</f>
        <v>1</v>
      </c>
    </row>
    <row r="293" customFormat="false" ht="15" hidden="false" customHeight="false" outlineLevel="0" collapsed="false">
      <c r="A293" s="0" t="str">
        <f aca="false">cleaned_data!A293</f>
        <v>STR-1073</v>
      </c>
      <c r="B293" s="0" t="str">
        <f aca="false">cleaned_data!B293</f>
        <v>2025-04-01</v>
      </c>
      <c r="C293" s="0" t="str">
        <f aca="false">cleaned_data!C293</f>
        <v>East</v>
      </c>
      <c r="D293" s="0" t="str">
        <f aca="false">cleaned_data!D293</f>
        <v>Residential</v>
      </c>
      <c r="E293" s="0" t="n">
        <f aca="false">cleaned_data!E293</f>
        <v>54080.91</v>
      </c>
      <c r="F293" s="0" t="n">
        <f aca="false">cleaned_data!F293</f>
        <v>7083</v>
      </c>
      <c r="G293" s="0" t="n">
        <f aca="false">cleaned_data!G293</f>
        <v>0</v>
      </c>
      <c r="H293" s="0" t="n">
        <f aca="false">cleaned_data!H293</f>
        <v>15</v>
      </c>
      <c r="I293" s="0" t="n">
        <f aca="false">cleaned_data!I293</f>
        <v>97</v>
      </c>
      <c r="J293" s="0" t="n">
        <f aca="false">cleaned_data!J293</f>
        <v>5.33</v>
      </c>
      <c r="K293" s="0" t="n">
        <f aca="false">cleaned_data!K293</f>
        <v>0</v>
      </c>
      <c r="L293" s="0" t="n">
        <f aca="false">cleaned_data!L293</f>
        <v>4.1</v>
      </c>
      <c r="M293" s="0" t="n">
        <f aca="false">cleaned_data!M293</f>
        <v>702068.92</v>
      </c>
      <c r="N293" s="0" t="n">
        <f aca="false">cleaned_data!N293</f>
        <v>111266.63</v>
      </c>
      <c r="O293" s="0" t="n">
        <f aca="false">IF(cleaned_data!C293="North",1,0)</f>
        <v>0</v>
      </c>
      <c r="P293" s="0" t="n">
        <f aca="false">IF(cleaned_data!C293="South",1,0)</f>
        <v>0</v>
      </c>
      <c r="Q293" s="0" t="n">
        <f aca="false">IF(cleaned_data!C293="West",1,0)</f>
        <v>0</v>
      </c>
      <c r="R293" s="0" t="n">
        <f aca="false">IF(cleaned_data!D293="Airport",1,0)</f>
        <v>0</v>
      </c>
      <c r="S293" s="0" t="n">
        <f aca="false">IF(cleaned_data!D293="Mall",1,0)</f>
        <v>0</v>
      </c>
      <c r="T293" s="0" t="n">
        <f aca="false">IF(cleaned_data!D293="Residential",1,0)</f>
        <v>1</v>
      </c>
    </row>
    <row r="294" customFormat="false" ht="15" hidden="false" customHeight="false" outlineLevel="0" collapsed="false">
      <c r="A294" s="0" t="str">
        <f aca="false">cleaned_data!A294</f>
        <v>STR-1074</v>
      </c>
      <c r="B294" s="0" t="str">
        <f aca="false">cleaned_data!B294</f>
        <v>2025-01-01</v>
      </c>
      <c r="C294" s="0" t="str">
        <f aca="false">cleaned_data!C294</f>
        <v>West</v>
      </c>
      <c r="D294" s="0" t="str">
        <f aca="false">cleaned_data!D294</f>
        <v>High Street</v>
      </c>
      <c r="E294" s="0" t="n">
        <f aca="false">cleaned_data!E294</f>
        <v>51996.32</v>
      </c>
      <c r="F294" s="0" t="n">
        <f aca="false">cleaned_data!F294</f>
        <v>3834</v>
      </c>
      <c r="G294" s="0" t="n">
        <f aca="false">cleaned_data!G294</f>
        <v>0.096</v>
      </c>
      <c r="H294" s="0" t="n">
        <f aca="false">cleaned_data!H294</f>
        <v>8</v>
      </c>
      <c r="I294" s="0" t="n">
        <f aca="false">cleaned_data!I294</f>
        <v>86.7</v>
      </c>
      <c r="J294" s="0" t="n">
        <f aca="false">cleaned_data!J294</f>
        <v>6.04</v>
      </c>
      <c r="K294" s="0" t="n">
        <f aca="false">cleaned_data!K294</f>
        <v>0</v>
      </c>
      <c r="L294" s="0" t="n">
        <f aca="false">cleaned_data!L294</f>
        <v>4.5</v>
      </c>
      <c r="M294" s="0" t="n">
        <f aca="false">cleaned_data!M294</f>
        <v>546223.7</v>
      </c>
      <c r="N294" s="0" t="n">
        <f aca="false">cleaned_data!N294</f>
        <v>100769.17</v>
      </c>
      <c r="O294" s="0" t="n">
        <f aca="false">IF(cleaned_data!C294="North",1,0)</f>
        <v>0</v>
      </c>
      <c r="P294" s="0" t="n">
        <f aca="false">IF(cleaned_data!C294="South",1,0)</f>
        <v>0</v>
      </c>
      <c r="Q294" s="0" t="n">
        <f aca="false">IF(cleaned_data!C294="West",1,0)</f>
        <v>1</v>
      </c>
      <c r="R294" s="0" t="n">
        <f aca="false">IF(cleaned_data!D294="Airport",1,0)</f>
        <v>0</v>
      </c>
      <c r="S294" s="0" t="n">
        <f aca="false">IF(cleaned_data!D294="Mall",1,0)</f>
        <v>0</v>
      </c>
      <c r="T294" s="0" t="n">
        <f aca="false">IF(cleaned_data!D294="Residential",1,0)</f>
        <v>0</v>
      </c>
    </row>
    <row r="295" customFormat="false" ht="15" hidden="false" customHeight="false" outlineLevel="0" collapsed="false">
      <c r="A295" s="0" t="str">
        <f aca="false">cleaned_data!A295</f>
        <v>STR-1074</v>
      </c>
      <c r="B295" s="0" t="str">
        <f aca="false">cleaned_data!B295</f>
        <v>2025-02-01</v>
      </c>
      <c r="C295" s="0" t="str">
        <f aca="false">cleaned_data!C295</f>
        <v>West</v>
      </c>
      <c r="D295" s="0" t="str">
        <f aca="false">cleaned_data!D295</f>
        <v>High Street</v>
      </c>
      <c r="E295" s="0" t="n">
        <f aca="false">cleaned_data!E295</f>
        <v>40102.88</v>
      </c>
      <c r="F295" s="0" t="n">
        <f aca="false">cleaned_data!F295</f>
        <v>2358</v>
      </c>
      <c r="G295" s="0" t="n">
        <f aca="false">cleaned_data!G295</f>
        <v>0.119</v>
      </c>
      <c r="H295" s="0" t="n">
        <f aca="false">cleaned_data!H295</f>
        <v>9</v>
      </c>
      <c r="I295" s="0" t="n">
        <f aca="false">cleaned_data!I295</f>
        <v>88.7</v>
      </c>
      <c r="J295" s="0" t="n">
        <f aca="false">cleaned_data!J295</f>
        <v>1.6</v>
      </c>
      <c r="K295" s="0" t="n">
        <f aca="false">cleaned_data!K295</f>
        <v>0</v>
      </c>
      <c r="L295" s="0" t="n">
        <f aca="false">cleaned_data!L295</f>
        <v>4.2</v>
      </c>
      <c r="M295" s="0" t="n">
        <f aca="false">cleaned_data!M295</f>
        <v>533121.26</v>
      </c>
      <c r="N295" s="0" t="n">
        <f aca="false">cleaned_data!N295</f>
        <v>55063.39</v>
      </c>
      <c r="O295" s="0" t="n">
        <f aca="false">IF(cleaned_data!C295="North",1,0)</f>
        <v>0</v>
      </c>
      <c r="P295" s="0" t="n">
        <f aca="false">IF(cleaned_data!C295="South",1,0)</f>
        <v>0</v>
      </c>
      <c r="Q295" s="0" t="n">
        <f aca="false">IF(cleaned_data!C295="West",1,0)</f>
        <v>1</v>
      </c>
      <c r="R295" s="0" t="n">
        <f aca="false">IF(cleaned_data!D295="Airport",1,0)</f>
        <v>0</v>
      </c>
      <c r="S295" s="0" t="n">
        <f aca="false">IF(cleaned_data!D295="Mall",1,0)</f>
        <v>0</v>
      </c>
      <c r="T295" s="0" t="n">
        <f aca="false">IF(cleaned_data!D295="Residential",1,0)</f>
        <v>0</v>
      </c>
    </row>
    <row r="296" customFormat="false" ht="15" hidden="false" customHeight="false" outlineLevel="0" collapsed="false">
      <c r="A296" s="0" t="str">
        <f aca="false">cleaned_data!A296</f>
        <v>STR-1074</v>
      </c>
      <c r="B296" s="0" t="str">
        <f aca="false">cleaned_data!B296</f>
        <v>2025-03-01</v>
      </c>
      <c r="C296" s="0" t="str">
        <f aca="false">cleaned_data!C296</f>
        <v>West</v>
      </c>
      <c r="D296" s="0" t="str">
        <f aca="false">cleaned_data!D296</f>
        <v>High Street</v>
      </c>
      <c r="E296" s="0" t="n">
        <f aca="false">cleaned_data!E296</f>
        <v>59825.51</v>
      </c>
      <c r="F296" s="0" t="n">
        <f aca="false">cleaned_data!F296</f>
        <v>1231</v>
      </c>
      <c r="G296" s="0" t="n">
        <f aca="false">cleaned_data!G296</f>
        <v>0.214</v>
      </c>
      <c r="H296" s="0" t="n">
        <f aca="false">cleaned_data!H296</f>
        <v>10</v>
      </c>
      <c r="I296" s="0" t="n">
        <f aca="false">cleaned_data!I296</f>
        <v>84.8</v>
      </c>
      <c r="J296" s="0" t="n">
        <f aca="false">cleaned_data!J296</f>
        <v>8.96</v>
      </c>
      <c r="K296" s="0" t="n">
        <f aca="false">cleaned_data!K296</f>
        <v>0</v>
      </c>
      <c r="L296" s="0" t="n">
        <f aca="false">cleaned_data!L296</f>
        <v>4.7</v>
      </c>
      <c r="M296" s="0" t="n">
        <f aca="false">cleaned_data!M296</f>
        <v>498970.32</v>
      </c>
      <c r="N296" s="0" t="n">
        <f aca="false">cleaned_data!N296</f>
        <v>69656.7</v>
      </c>
      <c r="O296" s="0" t="n">
        <f aca="false">IF(cleaned_data!C296="North",1,0)</f>
        <v>0</v>
      </c>
      <c r="P296" s="0" t="n">
        <f aca="false">IF(cleaned_data!C296="South",1,0)</f>
        <v>0</v>
      </c>
      <c r="Q296" s="0" t="n">
        <f aca="false">IF(cleaned_data!C296="West",1,0)</f>
        <v>1</v>
      </c>
      <c r="R296" s="0" t="n">
        <f aca="false">IF(cleaned_data!D296="Airport",1,0)</f>
        <v>0</v>
      </c>
      <c r="S296" s="0" t="n">
        <f aca="false">IF(cleaned_data!D296="Mall",1,0)</f>
        <v>0</v>
      </c>
      <c r="T296" s="0" t="n">
        <f aca="false">IF(cleaned_data!D296="Residential",1,0)</f>
        <v>0</v>
      </c>
    </row>
    <row r="297" customFormat="false" ht="15" hidden="false" customHeight="false" outlineLevel="0" collapsed="false">
      <c r="A297" s="0" t="str">
        <f aca="false">cleaned_data!A297</f>
        <v>STR-1074</v>
      </c>
      <c r="B297" s="0" t="str">
        <f aca="false">cleaned_data!B297</f>
        <v>2025-04-01</v>
      </c>
      <c r="C297" s="0" t="str">
        <f aca="false">cleaned_data!C297</f>
        <v>West</v>
      </c>
      <c r="D297" s="0" t="str">
        <f aca="false">cleaned_data!D297</f>
        <v>High Street</v>
      </c>
      <c r="E297" s="0" t="n">
        <f aca="false">cleaned_data!E297</f>
        <v>27398.28</v>
      </c>
      <c r="F297" s="0" t="n">
        <f aca="false">cleaned_data!F297</f>
        <v>1723</v>
      </c>
      <c r="G297" s="0" t="n">
        <f aca="false">cleaned_data!G297</f>
        <v>0.171</v>
      </c>
      <c r="H297" s="0" t="n">
        <f aca="false">cleaned_data!H297</f>
        <v>9</v>
      </c>
      <c r="I297" s="0" t="n">
        <f aca="false">cleaned_data!I297</f>
        <v>81</v>
      </c>
      <c r="J297" s="0" t="n">
        <f aca="false">cleaned_data!J297</f>
        <v>0.74</v>
      </c>
      <c r="K297" s="0" t="n">
        <f aca="false">cleaned_data!K297</f>
        <v>0</v>
      </c>
      <c r="L297" s="0" t="n">
        <f aca="false">cleaned_data!L297</f>
        <v>4.6</v>
      </c>
      <c r="M297" s="0" t="n">
        <f aca="false">cleaned_data!M297</f>
        <v>487738.26</v>
      </c>
      <c r="N297" s="0" t="n">
        <f aca="false">cleaned_data!N297</f>
        <v>96435.6</v>
      </c>
      <c r="O297" s="0" t="n">
        <f aca="false">IF(cleaned_data!C297="North",1,0)</f>
        <v>0</v>
      </c>
      <c r="P297" s="0" t="n">
        <f aca="false">IF(cleaned_data!C297="South",1,0)</f>
        <v>0</v>
      </c>
      <c r="Q297" s="0" t="n">
        <f aca="false">IF(cleaned_data!C297="West",1,0)</f>
        <v>1</v>
      </c>
      <c r="R297" s="0" t="n">
        <f aca="false">IF(cleaned_data!D297="Airport",1,0)</f>
        <v>0</v>
      </c>
      <c r="S297" s="0" t="n">
        <f aca="false">IF(cleaned_data!D297="Mall",1,0)</f>
        <v>0</v>
      </c>
      <c r="T297" s="0" t="n">
        <f aca="false">IF(cleaned_data!D297="Residential",1,0)</f>
        <v>0</v>
      </c>
    </row>
    <row r="298" customFormat="false" ht="15" hidden="false" customHeight="false" outlineLevel="0" collapsed="false">
      <c r="A298" s="0" t="str">
        <f aca="false">cleaned_data!A298</f>
        <v>STR-1075</v>
      </c>
      <c r="B298" s="0" t="str">
        <f aca="false">cleaned_data!B298</f>
        <v>2025-01-01</v>
      </c>
      <c r="C298" s="0" t="str">
        <f aca="false">cleaned_data!C298</f>
        <v>West</v>
      </c>
      <c r="D298" s="0" t="str">
        <f aca="false">cleaned_data!D298</f>
        <v>High Street</v>
      </c>
      <c r="E298" s="0" t="n">
        <f aca="false">cleaned_data!E298</f>
        <v>55599.56</v>
      </c>
      <c r="F298" s="0" t="n">
        <f aca="false">cleaned_data!F298</f>
        <v>5896</v>
      </c>
      <c r="G298" s="0" t="n">
        <f aca="false">cleaned_data!G298</f>
        <v>0.036</v>
      </c>
      <c r="H298" s="0" t="n">
        <f aca="false">cleaned_data!H298</f>
        <v>12</v>
      </c>
      <c r="I298" s="0" t="n">
        <f aca="false">cleaned_data!I298</f>
        <v>93.1</v>
      </c>
      <c r="J298" s="0" t="n">
        <f aca="false">cleaned_data!J298</f>
        <v>6.13</v>
      </c>
      <c r="K298" s="0" t="n">
        <f aca="false">cleaned_data!K298</f>
        <v>0</v>
      </c>
      <c r="L298" s="0" t="n">
        <f aca="false">cleaned_data!L298</f>
        <v>3.3</v>
      </c>
      <c r="M298" s="0" t="n">
        <f aca="false">cleaned_data!M298</f>
        <v>668459.37</v>
      </c>
      <c r="N298" s="0" t="n">
        <f aca="false">cleaned_data!N298</f>
        <v>126435.42</v>
      </c>
      <c r="O298" s="0" t="n">
        <f aca="false">IF(cleaned_data!C298="North",1,0)</f>
        <v>0</v>
      </c>
      <c r="P298" s="0" t="n">
        <f aca="false">IF(cleaned_data!C298="South",1,0)</f>
        <v>0</v>
      </c>
      <c r="Q298" s="0" t="n">
        <f aca="false">IF(cleaned_data!C298="West",1,0)</f>
        <v>1</v>
      </c>
      <c r="R298" s="0" t="n">
        <f aca="false">IF(cleaned_data!D298="Airport",1,0)</f>
        <v>0</v>
      </c>
      <c r="S298" s="0" t="n">
        <f aca="false">IF(cleaned_data!D298="Mall",1,0)</f>
        <v>0</v>
      </c>
      <c r="T298" s="0" t="n">
        <f aca="false">IF(cleaned_data!D298="Residential",1,0)</f>
        <v>0</v>
      </c>
    </row>
    <row r="299" customFormat="false" ht="15" hidden="false" customHeight="false" outlineLevel="0" collapsed="false">
      <c r="A299" s="0" t="str">
        <f aca="false">cleaned_data!A299</f>
        <v>STR-1075</v>
      </c>
      <c r="B299" s="0" t="str">
        <f aca="false">cleaned_data!B299</f>
        <v>2025-02-01</v>
      </c>
      <c r="C299" s="0" t="str">
        <f aca="false">cleaned_data!C299</f>
        <v>West</v>
      </c>
      <c r="D299" s="0" t="str">
        <f aca="false">cleaned_data!D299</f>
        <v>High Street</v>
      </c>
      <c r="E299" s="0" t="n">
        <f aca="false">cleaned_data!E299</f>
        <v>55477.61</v>
      </c>
      <c r="F299" s="0" t="n">
        <f aca="false">cleaned_data!F299</f>
        <v>5903</v>
      </c>
      <c r="G299" s="0" t="n">
        <f aca="false">cleaned_data!G299</f>
        <v>0.102</v>
      </c>
      <c r="H299" s="0" t="n">
        <f aca="false">cleaned_data!H299</f>
        <v>14</v>
      </c>
      <c r="I299" s="0" t="n">
        <f aca="false">cleaned_data!I299</f>
        <v>96.2</v>
      </c>
      <c r="J299" s="0" t="n">
        <f aca="false">cleaned_data!J299</f>
        <v>1.41</v>
      </c>
      <c r="K299" s="0" t="n">
        <f aca="false">cleaned_data!K299</f>
        <v>0</v>
      </c>
      <c r="L299" s="0" t="n">
        <f aca="false">cleaned_data!L299</f>
        <v>3.3</v>
      </c>
      <c r="M299" s="0" t="n">
        <f aca="false">cleaned_data!M299</f>
        <v>763162.45</v>
      </c>
      <c r="N299" s="0" t="n">
        <f aca="false">cleaned_data!N299</f>
        <v>162524.05</v>
      </c>
      <c r="O299" s="0" t="n">
        <f aca="false">IF(cleaned_data!C299="North",1,0)</f>
        <v>0</v>
      </c>
      <c r="P299" s="0" t="n">
        <f aca="false">IF(cleaned_data!C299="South",1,0)</f>
        <v>0</v>
      </c>
      <c r="Q299" s="0" t="n">
        <f aca="false">IF(cleaned_data!C299="West",1,0)</f>
        <v>1</v>
      </c>
      <c r="R299" s="0" t="n">
        <f aca="false">IF(cleaned_data!D299="Airport",1,0)</f>
        <v>0</v>
      </c>
      <c r="S299" s="0" t="n">
        <f aca="false">IF(cleaned_data!D299="Mall",1,0)</f>
        <v>0</v>
      </c>
      <c r="T299" s="0" t="n">
        <f aca="false">IF(cleaned_data!D299="Residential",1,0)</f>
        <v>0</v>
      </c>
    </row>
    <row r="300" customFormat="false" ht="15" hidden="false" customHeight="false" outlineLevel="0" collapsed="false">
      <c r="A300" s="0" t="str">
        <f aca="false">cleaned_data!A300</f>
        <v>STR-1075</v>
      </c>
      <c r="B300" s="0" t="str">
        <f aca="false">cleaned_data!B300</f>
        <v>2025-03-01</v>
      </c>
      <c r="C300" s="0" t="str">
        <f aca="false">cleaned_data!C300</f>
        <v>West</v>
      </c>
      <c r="D300" s="0" t="str">
        <f aca="false">cleaned_data!D300</f>
        <v>High Street</v>
      </c>
      <c r="E300" s="0" t="n">
        <f aca="false">cleaned_data!E300</f>
        <v>46174.7</v>
      </c>
      <c r="F300" s="0" t="n">
        <f aca="false">cleaned_data!F300</f>
        <v>4898</v>
      </c>
      <c r="G300" s="0" t="n">
        <f aca="false">cleaned_data!G300</f>
        <v>0.114</v>
      </c>
      <c r="H300" s="0" t="n">
        <f aca="false">cleaned_data!H300</f>
        <v>11</v>
      </c>
      <c r="I300" s="0" t="n">
        <f aca="false">cleaned_data!I300</f>
        <v>91.7</v>
      </c>
      <c r="J300" s="0" t="n">
        <f aca="false">cleaned_data!J300</f>
        <v>3.75</v>
      </c>
      <c r="K300" s="0" t="n">
        <f aca="false">cleaned_data!K300</f>
        <v>0</v>
      </c>
      <c r="L300" s="0" t="n">
        <f aca="false">cleaned_data!L300</f>
        <v>3.1</v>
      </c>
      <c r="M300" s="0" t="n">
        <f aca="false">cleaned_data!M300</f>
        <v>599017.33</v>
      </c>
      <c r="N300" s="0" t="n">
        <f aca="false">cleaned_data!N300</f>
        <v>134009.92</v>
      </c>
      <c r="O300" s="0" t="n">
        <f aca="false">IF(cleaned_data!C300="North",1,0)</f>
        <v>0</v>
      </c>
      <c r="P300" s="0" t="n">
        <f aca="false">IF(cleaned_data!C300="South",1,0)</f>
        <v>0</v>
      </c>
      <c r="Q300" s="0" t="n">
        <f aca="false">IF(cleaned_data!C300="West",1,0)</f>
        <v>1</v>
      </c>
      <c r="R300" s="0" t="n">
        <f aca="false">IF(cleaned_data!D300="Airport",1,0)</f>
        <v>0</v>
      </c>
      <c r="S300" s="0" t="n">
        <f aca="false">IF(cleaned_data!D300="Mall",1,0)</f>
        <v>0</v>
      </c>
      <c r="T300" s="0" t="n">
        <f aca="false">IF(cleaned_data!D300="Residential",1,0)</f>
        <v>0</v>
      </c>
    </row>
    <row r="301" customFormat="false" ht="15" hidden="false" customHeight="false" outlineLevel="0" collapsed="false">
      <c r="A301" s="0" t="str">
        <f aca="false">cleaned_data!A301</f>
        <v>STR-1075</v>
      </c>
      <c r="B301" s="0" t="str">
        <f aca="false">cleaned_data!B301</f>
        <v>2025-04-01</v>
      </c>
      <c r="C301" s="0" t="str">
        <f aca="false">cleaned_data!C301</f>
        <v>West</v>
      </c>
      <c r="D301" s="0" t="str">
        <f aca="false">cleaned_data!D301</f>
        <v>High Street</v>
      </c>
      <c r="E301" s="0" t="n">
        <f aca="false">cleaned_data!E301</f>
        <v>24362.98</v>
      </c>
      <c r="F301" s="0" t="n">
        <f aca="false">cleaned_data!F301</f>
        <v>1462</v>
      </c>
      <c r="G301" s="0" t="n">
        <f aca="false">cleaned_data!G301</f>
        <v>0.117</v>
      </c>
      <c r="H301" s="0" t="n">
        <f aca="false">cleaned_data!H301</f>
        <v>6</v>
      </c>
      <c r="I301" s="0" t="n">
        <f aca="false">cleaned_data!I301</f>
        <v>89.3</v>
      </c>
      <c r="J301" s="0" t="n">
        <f aca="false">cleaned_data!J301</f>
        <v>15.06</v>
      </c>
      <c r="K301" s="0" t="n">
        <f aca="false">cleaned_data!K301</f>
        <v>0</v>
      </c>
      <c r="L301" s="0" t="n">
        <f aca="false">cleaned_data!L301</f>
        <v>3.2</v>
      </c>
      <c r="M301" s="0" t="n">
        <f aca="false">cleaned_data!M301</f>
        <v>401582.58</v>
      </c>
      <c r="N301" s="0" t="n">
        <f aca="false">cleaned_data!N301</f>
        <v>68454.93</v>
      </c>
      <c r="O301" s="0" t="n">
        <f aca="false">IF(cleaned_data!C301="North",1,0)</f>
        <v>0</v>
      </c>
      <c r="P301" s="0" t="n">
        <f aca="false">IF(cleaned_data!C301="South",1,0)</f>
        <v>0</v>
      </c>
      <c r="Q301" s="0" t="n">
        <f aca="false">IF(cleaned_data!C301="West",1,0)</f>
        <v>1</v>
      </c>
      <c r="R301" s="0" t="n">
        <f aca="false">IF(cleaned_data!D301="Airport",1,0)</f>
        <v>0</v>
      </c>
      <c r="S301" s="0" t="n">
        <f aca="false">IF(cleaned_data!D301="Mall",1,0)</f>
        <v>0</v>
      </c>
      <c r="T301" s="0" t="n">
        <f aca="false">IF(cleaned_data!D301="Residential",1,0)</f>
        <v>0</v>
      </c>
    </row>
    <row r="302" customFormat="false" ht="15" hidden="false" customHeight="false" outlineLevel="0" collapsed="false">
      <c r="A302" s="0" t="str">
        <f aca="false">cleaned_data!A302</f>
        <v>STR-1076</v>
      </c>
      <c r="B302" s="0" t="str">
        <f aca="false">cleaned_data!B302</f>
        <v>2025-01-01</v>
      </c>
      <c r="C302" s="0" t="str">
        <f aca="false">cleaned_data!C302</f>
        <v>North</v>
      </c>
      <c r="D302" s="0" t="str">
        <f aca="false">cleaned_data!D302</f>
        <v>Mall</v>
      </c>
      <c r="E302" s="0" t="n">
        <f aca="false">cleaned_data!E302</f>
        <v>40647.67</v>
      </c>
      <c r="F302" s="0" t="n">
        <f aca="false">cleaned_data!F302</f>
        <v>8252</v>
      </c>
      <c r="G302" s="0" t="n">
        <f aca="false">cleaned_data!G302</f>
        <v>0.141</v>
      </c>
      <c r="H302" s="0" t="n">
        <f aca="false">cleaned_data!H302</f>
        <v>22</v>
      </c>
      <c r="I302" s="0" t="n">
        <f aca="false">cleaned_data!I302</f>
        <v>88.2</v>
      </c>
      <c r="J302" s="0" t="n">
        <f aca="false">cleaned_data!J302</f>
        <v>5.07</v>
      </c>
      <c r="K302" s="0" t="n">
        <f aca="false">cleaned_data!K302</f>
        <v>1</v>
      </c>
      <c r="L302" s="0" t="n">
        <f aca="false">cleaned_data!L302</f>
        <v>4.1</v>
      </c>
      <c r="M302" s="0" t="n">
        <f aca="false">cleaned_data!M302</f>
        <v>703812.99</v>
      </c>
      <c r="N302" s="0" t="n">
        <f aca="false">cleaned_data!N302</f>
        <v>133577.98</v>
      </c>
      <c r="O302" s="0" t="n">
        <f aca="false">IF(cleaned_data!C302="North",1,0)</f>
        <v>1</v>
      </c>
      <c r="P302" s="0" t="n">
        <f aca="false">IF(cleaned_data!C302="South",1,0)</f>
        <v>0</v>
      </c>
      <c r="Q302" s="0" t="n">
        <f aca="false">IF(cleaned_data!C302="West",1,0)</f>
        <v>0</v>
      </c>
      <c r="R302" s="0" t="n">
        <f aca="false">IF(cleaned_data!D302="Airport",1,0)</f>
        <v>0</v>
      </c>
      <c r="S302" s="0" t="n">
        <f aca="false">IF(cleaned_data!D302="Mall",1,0)</f>
        <v>1</v>
      </c>
      <c r="T302" s="0" t="n">
        <f aca="false">IF(cleaned_data!D302="Residential",1,0)</f>
        <v>0</v>
      </c>
    </row>
    <row r="303" customFormat="false" ht="15" hidden="false" customHeight="false" outlineLevel="0" collapsed="false">
      <c r="A303" s="0" t="str">
        <f aca="false">cleaned_data!A303</f>
        <v>STR-1076</v>
      </c>
      <c r="B303" s="0" t="str">
        <f aca="false">cleaned_data!B303</f>
        <v>2025-02-01</v>
      </c>
      <c r="C303" s="0" t="str">
        <f aca="false">cleaned_data!C303</f>
        <v>North</v>
      </c>
      <c r="D303" s="0" t="str">
        <f aca="false">cleaned_data!D303</f>
        <v>Mall</v>
      </c>
      <c r="E303" s="0" t="n">
        <f aca="false">cleaned_data!E303</f>
        <v>63986.98</v>
      </c>
      <c r="F303" s="0" t="n">
        <f aca="false">cleaned_data!F303</f>
        <v>7989</v>
      </c>
      <c r="G303" s="0" t="n">
        <f aca="false">cleaned_data!G303</f>
        <v>0.074</v>
      </c>
      <c r="H303" s="0" t="n">
        <f aca="false">cleaned_data!H303</f>
        <v>20</v>
      </c>
      <c r="I303" s="0" t="n">
        <f aca="false">cleaned_data!I303</f>
        <v>83.3</v>
      </c>
      <c r="J303" s="0" t="n">
        <f aca="false">cleaned_data!J303</f>
        <v>3.6</v>
      </c>
      <c r="K303" s="0" t="n">
        <f aca="false">cleaned_data!K303</f>
        <v>0</v>
      </c>
      <c r="L303" s="0" t="n">
        <f aca="false">cleaned_data!L303</f>
        <v>3.7</v>
      </c>
      <c r="M303" s="0" t="n">
        <f aca="false">cleaned_data!M303</f>
        <v>724346.73</v>
      </c>
      <c r="N303" s="0" t="n">
        <f aca="false">cleaned_data!N303</f>
        <v>155013.91</v>
      </c>
      <c r="O303" s="0" t="n">
        <f aca="false">IF(cleaned_data!C303="North",1,0)</f>
        <v>1</v>
      </c>
      <c r="P303" s="0" t="n">
        <f aca="false">IF(cleaned_data!C303="South",1,0)</f>
        <v>0</v>
      </c>
      <c r="Q303" s="0" t="n">
        <f aca="false">IF(cleaned_data!C303="West",1,0)</f>
        <v>0</v>
      </c>
      <c r="R303" s="0" t="n">
        <f aca="false">IF(cleaned_data!D303="Airport",1,0)</f>
        <v>0</v>
      </c>
      <c r="S303" s="0" t="n">
        <f aca="false">IF(cleaned_data!D303="Mall",1,0)</f>
        <v>1</v>
      </c>
      <c r="T303" s="0" t="n">
        <f aca="false">IF(cleaned_data!D303="Residential",1,0)</f>
        <v>0</v>
      </c>
    </row>
    <row r="304" customFormat="false" ht="15" hidden="false" customHeight="false" outlineLevel="0" collapsed="false">
      <c r="A304" s="0" t="str">
        <f aca="false">cleaned_data!A304</f>
        <v>STR-1076</v>
      </c>
      <c r="B304" s="0" t="str">
        <f aca="false">cleaned_data!B304</f>
        <v>2025-03-01</v>
      </c>
      <c r="C304" s="0" t="str">
        <f aca="false">cleaned_data!C304</f>
        <v>North</v>
      </c>
      <c r="D304" s="0" t="str">
        <f aca="false">cleaned_data!D304</f>
        <v>Mall</v>
      </c>
      <c r="E304" s="0" t="n">
        <f aca="false">cleaned_data!E304</f>
        <v>52843.75</v>
      </c>
      <c r="F304" s="0" t="n">
        <f aca="false">cleaned_data!F304</f>
        <v>8268</v>
      </c>
      <c r="G304" s="0" t="n">
        <f aca="false">cleaned_data!G304</f>
        <v>0.138</v>
      </c>
      <c r="H304" s="0" t="n">
        <f aca="false">cleaned_data!H304</f>
        <v>19</v>
      </c>
      <c r="I304" s="0" t="n">
        <f aca="false">cleaned_data!I304</f>
        <v>87.3</v>
      </c>
      <c r="J304" s="0" t="n">
        <f aca="false">cleaned_data!J304</f>
        <v>4.39</v>
      </c>
      <c r="K304" s="0" t="n">
        <f aca="false">cleaned_data!K304</f>
        <v>1</v>
      </c>
      <c r="L304" s="0" t="n">
        <f aca="false">cleaned_data!L304</f>
        <v>4.7</v>
      </c>
      <c r="M304" s="0" t="n">
        <f aca="false">cleaned_data!M304</f>
        <v>730890.01</v>
      </c>
      <c r="N304" s="0" t="n">
        <f aca="false">cleaned_data!N304</f>
        <v>105502.56</v>
      </c>
      <c r="O304" s="0" t="n">
        <f aca="false">IF(cleaned_data!C304="North",1,0)</f>
        <v>1</v>
      </c>
      <c r="P304" s="0" t="n">
        <f aca="false">IF(cleaned_data!C304="South",1,0)</f>
        <v>0</v>
      </c>
      <c r="Q304" s="0" t="n">
        <f aca="false">IF(cleaned_data!C304="West",1,0)</f>
        <v>0</v>
      </c>
      <c r="R304" s="0" t="n">
        <f aca="false">IF(cleaned_data!D304="Airport",1,0)</f>
        <v>0</v>
      </c>
      <c r="S304" s="0" t="n">
        <f aca="false">IF(cleaned_data!D304="Mall",1,0)</f>
        <v>1</v>
      </c>
      <c r="T304" s="0" t="n">
        <f aca="false">IF(cleaned_data!D304="Residential",1,0)</f>
        <v>0</v>
      </c>
    </row>
    <row r="305" customFormat="false" ht="15" hidden="false" customHeight="false" outlineLevel="0" collapsed="false">
      <c r="A305" s="0" t="str">
        <f aca="false">cleaned_data!A305</f>
        <v>STR-1076</v>
      </c>
      <c r="B305" s="0" t="str">
        <f aca="false">cleaned_data!B305</f>
        <v>2025-04-01</v>
      </c>
      <c r="C305" s="0" t="str">
        <f aca="false">cleaned_data!C305</f>
        <v>North</v>
      </c>
      <c r="D305" s="0" t="str">
        <f aca="false">cleaned_data!D305</f>
        <v>Mall</v>
      </c>
      <c r="E305" s="0" t="n">
        <f aca="false">cleaned_data!E305</f>
        <v>31997.25</v>
      </c>
      <c r="F305" s="0" t="n">
        <f aca="false">cleaned_data!F305</f>
        <v>8183</v>
      </c>
      <c r="G305" s="0" t="n">
        <f aca="false">cleaned_data!G305</f>
        <v>0.198</v>
      </c>
      <c r="H305" s="0" t="n">
        <f aca="false">cleaned_data!H305</f>
        <v>18</v>
      </c>
      <c r="I305" s="0" t="n">
        <f aca="false">cleaned_data!I305</f>
        <v>93</v>
      </c>
      <c r="J305" s="0" t="n">
        <f aca="false">cleaned_data!J305</f>
        <v>2.79</v>
      </c>
      <c r="K305" s="0" t="n">
        <f aca="false">cleaned_data!K305</f>
        <v>0</v>
      </c>
      <c r="L305" s="0" t="n">
        <f aca="false">cleaned_data!L305</f>
        <v>4.2</v>
      </c>
      <c r="M305" s="0" t="n">
        <f aca="false">cleaned_data!M305</f>
        <v>780580.95</v>
      </c>
      <c r="N305" s="0" t="n">
        <f aca="false">cleaned_data!N305</f>
        <v>138144.46</v>
      </c>
      <c r="O305" s="0" t="n">
        <f aca="false">IF(cleaned_data!C305="North",1,0)</f>
        <v>1</v>
      </c>
      <c r="P305" s="0" t="n">
        <f aca="false">IF(cleaned_data!C305="South",1,0)</f>
        <v>0</v>
      </c>
      <c r="Q305" s="0" t="n">
        <f aca="false">IF(cleaned_data!C305="West",1,0)</f>
        <v>0</v>
      </c>
      <c r="R305" s="0" t="n">
        <f aca="false">IF(cleaned_data!D305="Airport",1,0)</f>
        <v>0</v>
      </c>
      <c r="S305" s="0" t="n">
        <f aca="false">IF(cleaned_data!D305="Mall",1,0)</f>
        <v>1</v>
      </c>
      <c r="T305" s="0" t="n">
        <f aca="false">IF(cleaned_data!D305="Residential",1,0)</f>
        <v>0</v>
      </c>
    </row>
    <row r="306" customFormat="false" ht="15" hidden="false" customHeight="false" outlineLevel="0" collapsed="false">
      <c r="A306" s="0" t="str">
        <f aca="false">cleaned_data!A306</f>
        <v>STR-1077</v>
      </c>
      <c r="B306" s="0" t="str">
        <f aca="false">cleaned_data!B306</f>
        <v>2025-01-01</v>
      </c>
      <c r="C306" s="0" t="str">
        <f aca="false">cleaned_data!C306</f>
        <v>South</v>
      </c>
      <c r="D306" s="0" t="str">
        <f aca="false">cleaned_data!D306</f>
        <v>Residential</v>
      </c>
      <c r="E306" s="0" t="n">
        <f aca="false">cleaned_data!E306</f>
        <v>54948.02</v>
      </c>
      <c r="F306" s="0" t="n">
        <f aca="false">cleaned_data!F306</f>
        <v>6534</v>
      </c>
      <c r="G306" s="0" t="n">
        <f aca="false">cleaned_data!G306</f>
        <v>0.183</v>
      </c>
      <c r="H306" s="0" t="n">
        <f aca="false">cleaned_data!H306</f>
        <v>14</v>
      </c>
      <c r="I306" s="0" t="n">
        <f aca="false">cleaned_data!I306</f>
        <v>94.5</v>
      </c>
      <c r="J306" s="0" t="n">
        <f aca="false">cleaned_data!J306</f>
        <v>1.56</v>
      </c>
      <c r="K306" s="0" t="n">
        <f aca="false">cleaned_data!K306</f>
        <v>0</v>
      </c>
      <c r="L306" s="0" t="n">
        <f aca="false">cleaned_data!L306</f>
        <v>4</v>
      </c>
      <c r="M306" s="0" t="n">
        <f aca="false">cleaned_data!M306</f>
        <v>727957.48</v>
      </c>
      <c r="N306" s="0" t="n">
        <f aca="false">cleaned_data!N306</f>
        <v>74805.23</v>
      </c>
      <c r="O306" s="0" t="n">
        <f aca="false">IF(cleaned_data!C306="North",1,0)</f>
        <v>0</v>
      </c>
      <c r="P306" s="0" t="n">
        <f aca="false">IF(cleaned_data!C306="South",1,0)</f>
        <v>1</v>
      </c>
      <c r="Q306" s="0" t="n">
        <f aca="false">IF(cleaned_data!C306="West",1,0)</f>
        <v>0</v>
      </c>
      <c r="R306" s="0" t="n">
        <f aca="false">IF(cleaned_data!D306="Airport",1,0)</f>
        <v>0</v>
      </c>
      <c r="S306" s="0" t="n">
        <f aca="false">IF(cleaned_data!D306="Mall",1,0)</f>
        <v>0</v>
      </c>
      <c r="T306" s="0" t="n">
        <f aca="false">IF(cleaned_data!D306="Residential",1,0)</f>
        <v>1</v>
      </c>
    </row>
    <row r="307" customFormat="false" ht="15" hidden="false" customHeight="false" outlineLevel="0" collapsed="false">
      <c r="A307" s="0" t="str">
        <f aca="false">cleaned_data!A307</f>
        <v>STR-1077</v>
      </c>
      <c r="B307" s="0" t="str">
        <f aca="false">cleaned_data!B307</f>
        <v>2025-02-01</v>
      </c>
      <c r="C307" s="0" t="str">
        <f aca="false">cleaned_data!C307</f>
        <v>South</v>
      </c>
      <c r="D307" s="0" t="str">
        <f aca="false">cleaned_data!D307</f>
        <v>Residential</v>
      </c>
      <c r="E307" s="0" t="n">
        <f aca="false">cleaned_data!E307</f>
        <v>46146.24</v>
      </c>
      <c r="F307" s="0" t="n">
        <f aca="false">cleaned_data!F307</f>
        <v>5804</v>
      </c>
      <c r="G307" s="0" t="n">
        <f aca="false">cleaned_data!G307</f>
        <v>0.047</v>
      </c>
      <c r="H307" s="0" t="n">
        <f aca="false">cleaned_data!H307</f>
        <v>16</v>
      </c>
      <c r="I307" s="0" t="n">
        <f aca="false">cleaned_data!I307</f>
        <v>86.9</v>
      </c>
      <c r="J307" s="0" t="n">
        <f aca="false">cleaned_data!J307</f>
        <v>15.82</v>
      </c>
      <c r="K307" s="0" t="n">
        <f aca="false">cleaned_data!K307</f>
        <v>0</v>
      </c>
      <c r="L307" s="0" t="n">
        <f aca="false">cleaned_data!L307</f>
        <v>3.8</v>
      </c>
      <c r="M307" s="0" t="n">
        <f aca="false">cleaned_data!M307</f>
        <v>538376</v>
      </c>
      <c r="N307" s="0" t="n">
        <f aca="false">cleaned_data!N307</f>
        <v>87605.62</v>
      </c>
      <c r="O307" s="0" t="n">
        <f aca="false">IF(cleaned_data!C307="North",1,0)</f>
        <v>0</v>
      </c>
      <c r="P307" s="0" t="n">
        <f aca="false">IF(cleaned_data!C307="South",1,0)</f>
        <v>1</v>
      </c>
      <c r="Q307" s="0" t="n">
        <f aca="false">IF(cleaned_data!C307="West",1,0)</f>
        <v>0</v>
      </c>
      <c r="R307" s="0" t="n">
        <f aca="false">IF(cleaned_data!D307="Airport",1,0)</f>
        <v>0</v>
      </c>
      <c r="S307" s="0" t="n">
        <f aca="false">IF(cleaned_data!D307="Mall",1,0)</f>
        <v>0</v>
      </c>
      <c r="T307" s="0" t="n">
        <f aca="false">IF(cleaned_data!D307="Residential",1,0)</f>
        <v>1</v>
      </c>
    </row>
    <row r="308" customFormat="false" ht="15" hidden="false" customHeight="false" outlineLevel="0" collapsed="false">
      <c r="A308" s="0" t="str">
        <f aca="false">cleaned_data!A308</f>
        <v>STR-1077</v>
      </c>
      <c r="B308" s="0" t="str">
        <f aca="false">cleaned_data!B308</f>
        <v>2025-03-01</v>
      </c>
      <c r="C308" s="0" t="str">
        <f aca="false">cleaned_data!C308</f>
        <v>South</v>
      </c>
      <c r="D308" s="0" t="str">
        <f aca="false">cleaned_data!D308</f>
        <v>Residential</v>
      </c>
      <c r="E308" s="0" t="n">
        <f aca="false">cleaned_data!E308</f>
        <v>22387.26</v>
      </c>
      <c r="F308" s="0" t="n">
        <f aca="false">cleaned_data!F308</f>
        <v>6301</v>
      </c>
      <c r="G308" s="0" t="n">
        <f aca="false">cleaned_data!G308</f>
        <v>0.146</v>
      </c>
      <c r="H308" s="0" t="n">
        <f aca="false">cleaned_data!H308</f>
        <v>14</v>
      </c>
      <c r="I308" s="0" t="n">
        <f aca="false">cleaned_data!I308</f>
        <v>85.9</v>
      </c>
      <c r="J308" s="0" t="n">
        <f aca="false">cleaned_data!J308</f>
        <v>1.17</v>
      </c>
      <c r="K308" s="0" t="n">
        <f aca="false">cleaned_data!K308</f>
        <v>1</v>
      </c>
      <c r="L308" s="0" t="n">
        <f aca="false">cleaned_data!L308</f>
        <v>3.7</v>
      </c>
      <c r="M308" s="0" t="n">
        <f aca="false">cleaned_data!M308</f>
        <v>665342.49</v>
      </c>
      <c r="N308" s="0" t="n">
        <f aca="false">cleaned_data!N308</f>
        <v>93441.81</v>
      </c>
      <c r="O308" s="0" t="n">
        <f aca="false">IF(cleaned_data!C308="North",1,0)</f>
        <v>0</v>
      </c>
      <c r="P308" s="0" t="n">
        <f aca="false">IF(cleaned_data!C308="South",1,0)</f>
        <v>1</v>
      </c>
      <c r="Q308" s="0" t="n">
        <f aca="false">IF(cleaned_data!C308="West",1,0)</f>
        <v>0</v>
      </c>
      <c r="R308" s="0" t="n">
        <f aca="false">IF(cleaned_data!D308="Airport",1,0)</f>
        <v>0</v>
      </c>
      <c r="S308" s="0" t="n">
        <f aca="false">IF(cleaned_data!D308="Mall",1,0)</f>
        <v>0</v>
      </c>
      <c r="T308" s="0" t="n">
        <f aca="false">IF(cleaned_data!D308="Residential",1,0)</f>
        <v>1</v>
      </c>
    </row>
    <row r="309" customFormat="false" ht="15" hidden="false" customHeight="false" outlineLevel="0" collapsed="false">
      <c r="A309" s="0" t="str">
        <f aca="false">cleaned_data!A309</f>
        <v>STR-1077</v>
      </c>
      <c r="B309" s="0" t="str">
        <f aca="false">cleaned_data!B309</f>
        <v>2025-04-01</v>
      </c>
      <c r="C309" s="0" t="str">
        <f aca="false">cleaned_data!C309</f>
        <v>South</v>
      </c>
      <c r="D309" s="0" t="str">
        <f aca="false">cleaned_data!D309</f>
        <v>Residential</v>
      </c>
      <c r="E309" s="0" t="n">
        <f aca="false">cleaned_data!E309</f>
        <v>60684.05</v>
      </c>
      <c r="F309" s="0" t="n">
        <f aca="false">cleaned_data!F309</f>
        <v>6399</v>
      </c>
      <c r="G309" s="0" t="n">
        <f aca="false">cleaned_data!G309</f>
        <v>0.075</v>
      </c>
      <c r="H309" s="0" t="n">
        <f aca="false">cleaned_data!H309</f>
        <v>16</v>
      </c>
      <c r="I309" s="0" t="n">
        <f aca="false">cleaned_data!I309</f>
        <v>99</v>
      </c>
      <c r="J309" s="0" t="n">
        <f aca="false">cleaned_data!J309</f>
        <v>3.82</v>
      </c>
      <c r="K309" s="0" t="n">
        <f aca="false">cleaned_data!K309</f>
        <v>0</v>
      </c>
      <c r="L309" s="0" t="n">
        <f aca="false">cleaned_data!L309</f>
        <v>3.5</v>
      </c>
      <c r="M309" s="0" t="n">
        <f aca="false">cleaned_data!M309</f>
        <v>651164.18</v>
      </c>
      <c r="N309" s="0" t="n">
        <f aca="false">cleaned_data!N309</f>
        <v>109466.5</v>
      </c>
      <c r="O309" s="0" t="n">
        <f aca="false">IF(cleaned_data!C309="North",1,0)</f>
        <v>0</v>
      </c>
      <c r="P309" s="0" t="n">
        <f aca="false">IF(cleaned_data!C309="South",1,0)</f>
        <v>1</v>
      </c>
      <c r="Q309" s="0" t="n">
        <f aca="false">IF(cleaned_data!C309="West",1,0)</f>
        <v>0</v>
      </c>
      <c r="R309" s="0" t="n">
        <f aca="false">IF(cleaned_data!D309="Airport",1,0)</f>
        <v>0</v>
      </c>
      <c r="S309" s="0" t="n">
        <f aca="false">IF(cleaned_data!D309="Mall",1,0)</f>
        <v>0</v>
      </c>
      <c r="T309" s="0" t="n">
        <f aca="false">IF(cleaned_data!D309="Residential",1,0)</f>
        <v>1</v>
      </c>
    </row>
    <row r="310" customFormat="false" ht="15" hidden="false" customHeight="false" outlineLevel="0" collapsed="false">
      <c r="A310" s="0" t="str">
        <f aca="false">cleaned_data!A310</f>
        <v>STR-1078</v>
      </c>
      <c r="B310" s="0" t="str">
        <f aca="false">cleaned_data!B310</f>
        <v>2025-01-01</v>
      </c>
      <c r="C310" s="0" t="str">
        <f aca="false">cleaned_data!C310</f>
        <v>South</v>
      </c>
      <c r="D310" s="0" t="str">
        <f aca="false">cleaned_data!D310</f>
        <v>High Street</v>
      </c>
      <c r="E310" s="0" t="n">
        <f aca="false">cleaned_data!E310</f>
        <v>48465.6</v>
      </c>
      <c r="F310" s="0" t="n">
        <f aca="false">cleaned_data!F310</f>
        <v>5759</v>
      </c>
      <c r="G310" s="0" t="n">
        <f aca="false">cleaned_data!G310</f>
        <v>0.154</v>
      </c>
      <c r="H310" s="0" t="n">
        <f aca="false">cleaned_data!H310</f>
        <v>13</v>
      </c>
      <c r="I310" s="0" t="n">
        <f aca="false">cleaned_data!I310</f>
        <v>87.5</v>
      </c>
      <c r="J310" s="0" t="n">
        <f aca="false">cleaned_data!J310</f>
        <v>4.14</v>
      </c>
      <c r="K310" s="0" t="n">
        <f aca="false">cleaned_data!K310</f>
        <v>0</v>
      </c>
      <c r="L310" s="0" t="n">
        <f aca="false">cleaned_data!L310</f>
        <v>4</v>
      </c>
      <c r="M310" s="0" t="n">
        <f aca="false">cleaned_data!M310</f>
        <v>628538.3</v>
      </c>
      <c r="N310" s="0" t="n">
        <f aca="false">cleaned_data!N310</f>
        <v>112509.15</v>
      </c>
      <c r="O310" s="0" t="n">
        <f aca="false">IF(cleaned_data!C310="North",1,0)</f>
        <v>0</v>
      </c>
      <c r="P310" s="0" t="n">
        <f aca="false">IF(cleaned_data!C310="South",1,0)</f>
        <v>1</v>
      </c>
      <c r="Q310" s="0" t="n">
        <f aca="false">IF(cleaned_data!C310="West",1,0)</f>
        <v>0</v>
      </c>
      <c r="R310" s="0" t="n">
        <f aca="false">IF(cleaned_data!D310="Airport",1,0)</f>
        <v>0</v>
      </c>
      <c r="S310" s="0" t="n">
        <f aca="false">IF(cleaned_data!D310="Mall",1,0)</f>
        <v>0</v>
      </c>
      <c r="T310" s="0" t="n">
        <f aca="false">IF(cleaned_data!D310="Residential",1,0)</f>
        <v>0</v>
      </c>
    </row>
    <row r="311" customFormat="false" ht="15" hidden="false" customHeight="false" outlineLevel="0" collapsed="false">
      <c r="A311" s="0" t="str">
        <f aca="false">cleaned_data!A311</f>
        <v>STR-1078</v>
      </c>
      <c r="B311" s="0" t="str">
        <f aca="false">cleaned_data!B311</f>
        <v>2025-02-01</v>
      </c>
      <c r="C311" s="0" t="str">
        <f aca="false">cleaned_data!C311</f>
        <v>South</v>
      </c>
      <c r="D311" s="0" t="str">
        <f aca="false">cleaned_data!D311</f>
        <v>High Street</v>
      </c>
      <c r="E311" s="0" t="n">
        <f aca="false">cleaned_data!E311</f>
        <v>23702.38</v>
      </c>
      <c r="F311" s="0" t="n">
        <f aca="false">cleaned_data!F311</f>
        <v>5285</v>
      </c>
      <c r="G311" s="0" t="n">
        <f aca="false">cleaned_data!G311</f>
        <v>0.167</v>
      </c>
      <c r="H311" s="0" t="n">
        <f aca="false">cleaned_data!H311</f>
        <v>14</v>
      </c>
      <c r="I311" s="0" t="n">
        <f aca="false">cleaned_data!I311</f>
        <v>79.7</v>
      </c>
      <c r="J311" s="0" t="n">
        <f aca="false">cleaned_data!J311</f>
        <v>1.1</v>
      </c>
      <c r="K311" s="0" t="n">
        <f aca="false">cleaned_data!K311</f>
        <v>0</v>
      </c>
      <c r="L311" s="0" t="n">
        <f aca="false">cleaned_data!L311</f>
        <v>4.3</v>
      </c>
      <c r="M311" s="0" t="n">
        <f aca="false">cleaned_data!M311</f>
        <v>536524.84</v>
      </c>
      <c r="N311" s="0" t="n">
        <f aca="false">cleaned_data!N311</f>
        <v>92752.94</v>
      </c>
      <c r="O311" s="0" t="n">
        <f aca="false">IF(cleaned_data!C311="North",1,0)</f>
        <v>0</v>
      </c>
      <c r="P311" s="0" t="n">
        <f aca="false">IF(cleaned_data!C311="South",1,0)</f>
        <v>1</v>
      </c>
      <c r="Q311" s="0" t="n">
        <f aca="false">IF(cleaned_data!C311="West",1,0)</f>
        <v>0</v>
      </c>
      <c r="R311" s="0" t="n">
        <f aca="false">IF(cleaned_data!D311="Airport",1,0)</f>
        <v>0</v>
      </c>
      <c r="S311" s="0" t="n">
        <f aca="false">IF(cleaned_data!D311="Mall",1,0)</f>
        <v>0</v>
      </c>
      <c r="T311" s="0" t="n">
        <f aca="false">IF(cleaned_data!D311="Residential",1,0)</f>
        <v>0</v>
      </c>
    </row>
    <row r="312" customFormat="false" ht="15" hidden="false" customHeight="false" outlineLevel="0" collapsed="false">
      <c r="A312" s="0" t="str">
        <f aca="false">cleaned_data!A312</f>
        <v>STR-1078</v>
      </c>
      <c r="B312" s="0" t="str">
        <f aca="false">cleaned_data!B312</f>
        <v>2025-03-01</v>
      </c>
      <c r="C312" s="0" t="str">
        <f aca="false">cleaned_data!C312</f>
        <v>South</v>
      </c>
      <c r="D312" s="0" t="str">
        <f aca="false">cleaned_data!D312</f>
        <v>High Street</v>
      </c>
      <c r="E312" s="0" t="n">
        <f aca="false">cleaned_data!E312</f>
        <v>54322.94</v>
      </c>
      <c r="F312" s="0" t="n">
        <f aca="false">cleaned_data!F312</f>
        <v>5434</v>
      </c>
      <c r="G312" s="0" t="n">
        <f aca="false">cleaned_data!G312</f>
        <v>0.2</v>
      </c>
      <c r="H312" s="0" t="n">
        <f aca="false">cleaned_data!H312</f>
        <v>13</v>
      </c>
      <c r="I312" s="0" t="n">
        <f aca="false">cleaned_data!I312</f>
        <v>85.7</v>
      </c>
      <c r="J312" s="0" t="n">
        <f aca="false">cleaned_data!J312</f>
        <v>10.6</v>
      </c>
      <c r="K312" s="0" t="n">
        <f aca="false">cleaned_data!K312</f>
        <v>0</v>
      </c>
      <c r="L312" s="0" t="n">
        <f aca="false">cleaned_data!L312</f>
        <v>4.2</v>
      </c>
      <c r="M312" s="0" t="n">
        <f aca="false">cleaned_data!M312</f>
        <v>621677.3</v>
      </c>
      <c r="N312" s="0" t="n">
        <f aca="false">cleaned_data!N312</f>
        <v>105192.52</v>
      </c>
      <c r="O312" s="0" t="n">
        <f aca="false">IF(cleaned_data!C312="North",1,0)</f>
        <v>0</v>
      </c>
      <c r="P312" s="0" t="n">
        <f aca="false">IF(cleaned_data!C312="South",1,0)</f>
        <v>1</v>
      </c>
      <c r="Q312" s="0" t="n">
        <f aca="false">IF(cleaned_data!C312="West",1,0)</f>
        <v>0</v>
      </c>
      <c r="R312" s="0" t="n">
        <f aca="false">IF(cleaned_data!D312="Airport",1,0)</f>
        <v>0</v>
      </c>
      <c r="S312" s="0" t="n">
        <f aca="false">IF(cleaned_data!D312="Mall",1,0)</f>
        <v>0</v>
      </c>
      <c r="T312" s="0" t="n">
        <f aca="false">IF(cleaned_data!D312="Residential",1,0)</f>
        <v>0</v>
      </c>
    </row>
    <row r="313" customFormat="false" ht="15" hidden="false" customHeight="false" outlineLevel="0" collapsed="false">
      <c r="A313" s="0" t="str">
        <f aca="false">cleaned_data!A313</f>
        <v>STR-1078</v>
      </c>
      <c r="B313" s="0" t="str">
        <f aca="false">cleaned_data!B313</f>
        <v>2025-04-01</v>
      </c>
      <c r="C313" s="0" t="str">
        <f aca="false">cleaned_data!C313</f>
        <v>South</v>
      </c>
      <c r="D313" s="0" t="str">
        <f aca="false">cleaned_data!D313</f>
        <v>High Street</v>
      </c>
      <c r="E313" s="0" t="n">
        <f aca="false">cleaned_data!E313</f>
        <v>86026.58</v>
      </c>
      <c r="F313" s="0" t="n">
        <f aca="false">cleaned_data!F313</f>
        <v>7479</v>
      </c>
      <c r="G313" s="0" t="n">
        <f aca="false">cleaned_data!G313</f>
        <v>0.142</v>
      </c>
      <c r="H313" s="0" t="n">
        <f aca="false">cleaned_data!H313</f>
        <v>20</v>
      </c>
      <c r="I313" s="0" t="n">
        <f aca="false">cleaned_data!I313</f>
        <v>89</v>
      </c>
      <c r="J313" s="0" t="n">
        <f aca="false">cleaned_data!J313</f>
        <v>0.9</v>
      </c>
      <c r="K313" s="0" t="n">
        <f aca="false">cleaned_data!K313</f>
        <v>0</v>
      </c>
      <c r="L313" s="0" t="n">
        <f aca="false">cleaned_data!L313</f>
        <v>3.9</v>
      </c>
      <c r="M313" s="0" t="n">
        <f aca="false">cleaned_data!M313</f>
        <v>771129.07</v>
      </c>
      <c r="N313" s="0" t="n">
        <f aca="false">cleaned_data!N313</f>
        <v>116851.13</v>
      </c>
      <c r="O313" s="0" t="n">
        <f aca="false">IF(cleaned_data!C313="North",1,0)</f>
        <v>0</v>
      </c>
      <c r="P313" s="0" t="n">
        <f aca="false">IF(cleaned_data!C313="South",1,0)</f>
        <v>1</v>
      </c>
      <c r="Q313" s="0" t="n">
        <f aca="false">IF(cleaned_data!C313="West",1,0)</f>
        <v>0</v>
      </c>
      <c r="R313" s="0" t="n">
        <f aca="false">IF(cleaned_data!D313="Airport",1,0)</f>
        <v>0</v>
      </c>
      <c r="S313" s="0" t="n">
        <f aca="false">IF(cleaned_data!D313="Mall",1,0)</f>
        <v>0</v>
      </c>
      <c r="T313" s="0" t="n">
        <f aca="false">IF(cleaned_data!D313="Residential",1,0)</f>
        <v>0</v>
      </c>
    </row>
    <row r="314" customFormat="false" ht="15" hidden="false" customHeight="false" outlineLevel="0" collapsed="false">
      <c r="A314" s="0" t="str">
        <f aca="false">cleaned_data!A314</f>
        <v>STR-1079</v>
      </c>
      <c r="B314" s="0" t="str">
        <f aca="false">cleaned_data!B314</f>
        <v>2025-01-01</v>
      </c>
      <c r="C314" s="0" t="str">
        <f aca="false">cleaned_data!C314</f>
        <v>North</v>
      </c>
      <c r="D314" s="0" t="str">
        <f aca="false">cleaned_data!D314</f>
        <v>Residential</v>
      </c>
      <c r="E314" s="0" t="n">
        <f aca="false">cleaned_data!E314</f>
        <v>78967.52</v>
      </c>
      <c r="F314" s="0" t="n">
        <f aca="false">cleaned_data!F314</f>
        <v>6164</v>
      </c>
      <c r="G314" s="0" t="n">
        <f aca="false">cleaned_data!G314</f>
        <v>0.021</v>
      </c>
      <c r="H314" s="0" t="n">
        <f aca="false">cleaned_data!H314</f>
        <v>16</v>
      </c>
      <c r="I314" s="0" t="n">
        <f aca="false">cleaned_data!I314</f>
        <v>85.5</v>
      </c>
      <c r="J314" s="0" t="n">
        <f aca="false">cleaned_data!J314</f>
        <v>0.2</v>
      </c>
      <c r="K314" s="0" t="n">
        <f aca="false">cleaned_data!K314</f>
        <v>0</v>
      </c>
      <c r="L314" s="0" t="n">
        <f aca="false">cleaned_data!L314</f>
        <v>3.4</v>
      </c>
      <c r="M314" s="0" t="n">
        <f aca="false">cleaned_data!M314</f>
        <v>702052.47</v>
      </c>
      <c r="N314" s="0" t="n">
        <f aca="false">cleaned_data!N314</f>
        <v>121732.51</v>
      </c>
      <c r="O314" s="0" t="n">
        <f aca="false">IF(cleaned_data!C314="North",1,0)</f>
        <v>1</v>
      </c>
      <c r="P314" s="0" t="n">
        <f aca="false">IF(cleaned_data!C314="South",1,0)</f>
        <v>0</v>
      </c>
      <c r="Q314" s="0" t="n">
        <f aca="false">IF(cleaned_data!C314="West",1,0)</f>
        <v>0</v>
      </c>
      <c r="R314" s="0" t="n">
        <f aca="false">IF(cleaned_data!D314="Airport",1,0)</f>
        <v>0</v>
      </c>
      <c r="S314" s="0" t="n">
        <f aca="false">IF(cleaned_data!D314="Mall",1,0)</f>
        <v>0</v>
      </c>
      <c r="T314" s="0" t="n">
        <f aca="false">IF(cleaned_data!D314="Residential",1,0)</f>
        <v>1</v>
      </c>
    </row>
    <row r="315" customFormat="false" ht="15" hidden="false" customHeight="false" outlineLevel="0" collapsed="false">
      <c r="A315" s="0" t="str">
        <f aca="false">cleaned_data!A315</f>
        <v>STR-1079</v>
      </c>
      <c r="B315" s="0" t="str">
        <f aca="false">cleaned_data!B315</f>
        <v>2025-02-01</v>
      </c>
      <c r="C315" s="0" t="str">
        <f aca="false">cleaned_data!C315</f>
        <v>North</v>
      </c>
      <c r="D315" s="0" t="str">
        <f aca="false">cleaned_data!D315</f>
        <v>Residential</v>
      </c>
      <c r="E315" s="0" t="n">
        <f aca="false">cleaned_data!E315</f>
        <v>46767.99</v>
      </c>
      <c r="F315" s="0" t="n">
        <f aca="false">cleaned_data!F315</f>
        <v>7973</v>
      </c>
      <c r="G315" s="0" t="n">
        <f aca="false">cleaned_data!G315</f>
        <v>0.183</v>
      </c>
      <c r="H315" s="0" t="n">
        <f aca="false">cleaned_data!H315</f>
        <v>18</v>
      </c>
      <c r="I315" s="0" t="n">
        <f aca="false">cleaned_data!I315</f>
        <v>94.8</v>
      </c>
      <c r="J315" s="0" t="n">
        <f aca="false">cleaned_data!J315</f>
        <v>4.67</v>
      </c>
      <c r="K315" s="0" t="n">
        <f aca="false">cleaned_data!K315</f>
        <v>0</v>
      </c>
      <c r="L315" s="0" t="n">
        <f aca="false">cleaned_data!L315</f>
        <v>3.9</v>
      </c>
      <c r="M315" s="0" t="n">
        <f aca="false">cleaned_data!M315</f>
        <v>688368.46</v>
      </c>
      <c r="N315" s="0" t="n">
        <f aca="false">cleaned_data!N315</f>
        <v>93588.42</v>
      </c>
      <c r="O315" s="0" t="n">
        <f aca="false">IF(cleaned_data!C315="North",1,0)</f>
        <v>1</v>
      </c>
      <c r="P315" s="0" t="n">
        <f aca="false">IF(cleaned_data!C315="South",1,0)</f>
        <v>0</v>
      </c>
      <c r="Q315" s="0" t="n">
        <f aca="false">IF(cleaned_data!C315="West",1,0)</f>
        <v>0</v>
      </c>
      <c r="R315" s="0" t="n">
        <f aca="false">IF(cleaned_data!D315="Airport",1,0)</f>
        <v>0</v>
      </c>
      <c r="S315" s="0" t="n">
        <f aca="false">IF(cleaned_data!D315="Mall",1,0)</f>
        <v>0</v>
      </c>
      <c r="T315" s="0" t="n">
        <f aca="false">IF(cleaned_data!D315="Residential",1,0)</f>
        <v>1</v>
      </c>
    </row>
    <row r="316" customFormat="false" ht="15" hidden="false" customHeight="false" outlineLevel="0" collapsed="false">
      <c r="A316" s="0" t="str">
        <f aca="false">cleaned_data!A316</f>
        <v>STR-1079</v>
      </c>
      <c r="B316" s="0" t="str">
        <f aca="false">cleaned_data!B316</f>
        <v>2025-03-01</v>
      </c>
      <c r="C316" s="0" t="str">
        <f aca="false">cleaned_data!C316</f>
        <v>North</v>
      </c>
      <c r="D316" s="0" t="str">
        <f aca="false">cleaned_data!D316</f>
        <v>Residential</v>
      </c>
      <c r="E316" s="0" t="n">
        <f aca="false">cleaned_data!E316</f>
        <v>62507.16</v>
      </c>
      <c r="F316" s="0" t="n">
        <f aca="false">cleaned_data!F316</f>
        <v>6000</v>
      </c>
      <c r="G316" s="0" t="n">
        <f aca="false">cleaned_data!G316</f>
        <v>0.091</v>
      </c>
      <c r="H316" s="0" t="n">
        <f aca="false">cleaned_data!H316</f>
        <v>14</v>
      </c>
      <c r="I316" s="0" t="n">
        <f aca="false">cleaned_data!I316</f>
        <v>98.2</v>
      </c>
      <c r="J316" s="0" t="n">
        <f aca="false">cleaned_data!J316</f>
        <v>4.38</v>
      </c>
      <c r="K316" s="0" t="n">
        <f aca="false">cleaned_data!K316</f>
        <v>1</v>
      </c>
      <c r="L316" s="0" t="n">
        <f aca="false">cleaned_data!L316</f>
        <v>3.9</v>
      </c>
      <c r="M316" s="0" t="n">
        <f aca="false">cleaned_data!M316</f>
        <v>712375.77</v>
      </c>
      <c r="N316" s="0" t="n">
        <f aca="false">cleaned_data!N316</f>
        <v>104171.53</v>
      </c>
      <c r="O316" s="0" t="n">
        <f aca="false">IF(cleaned_data!C316="North",1,0)</f>
        <v>1</v>
      </c>
      <c r="P316" s="0" t="n">
        <f aca="false">IF(cleaned_data!C316="South",1,0)</f>
        <v>0</v>
      </c>
      <c r="Q316" s="0" t="n">
        <f aca="false">IF(cleaned_data!C316="West",1,0)</f>
        <v>0</v>
      </c>
      <c r="R316" s="0" t="n">
        <f aca="false">IF(cleaned_data!D316="Airport",1,0)</f>
        <v>0</v>
      </c>
      <c r="S316" s="0" t="n">
        <f aca="false">IF(cleaned_data!D316="Mall",1,0)</f>
        <v>0</v>
      </c>
      <c r="T316" s="0" t="n">
        <f aca="false">IF(cleaned_data!D316="Residential",1,0)</f>
        <v>1</v>
      </c>
    </row>
    <row r="317" customFormat="false" ht="15" hidden="false" customHeight="false" outlineLevel="0" collapsed="false">
      <c r="A317" s="0" t="str">
        <f aca="false">cleaned_data!A317</f>
        <v>STR-1079</v>
      </c>
      <c r="B317" s="0" t="str">
        <f aca="false">cleaned_data!B317</f>
        <v>2025-04-01</v>
      </c>
      <c r="C317" s="0" t="str">
        <f aca="false">cleaned_data!C317</f>
        <v>North</v>
      </c>
      <c r="D317" s="0" t="str">
        <f aca="false">cleaned_data!D317</f>
        <v>Residential</v>
      </c>
      <c r="E317" s="0" t="n">
        <f aca="false">cleaned_data!E317</f>
        <v>66456.28</v>
      </c>
      <c r="F317" s="0" t="n">
        <f aca="false">cleaned_data!F317</f>
        <v>9967</v>
      </c>
      <c r="G317" s="0" t="n">
        <f aca="false">cleaned_data!G317</f>
        <v>0.108</v>
      </c>
      <c r="H317" s="0" t="n">
        <f aca="false">cleaned_data!H317</f>
        <v>20</v>
      </c>
      <c r="I317" s="0" t="n">
        <f aca="false">cleaned_data!I317</f>
        <v>94.7</v>
      </c>
      <c r="J317" s="0" t="n">
        <f aca="false">cleaned_data!J317</f>
        <v>4.48</v>
      </c>
      <c r="K317" s="0" t="n">
        <f aca="false">cleaned_data!K317</f>
        <v>0</v>
      </c>
      <c r="L317" s="0" t="n">
        <f aca="false">cleaned_data!L317</f>
        <v>4.2</v>
      </c>
      <c r="M317" s="0" t="n">
        <f aca="false">cleaned_data!M317</f>
        <v>844710.67</v>
      </c>
      <c r="N317" s="0" t="n">
        <f aca="false">cleaned_data!N317</f>
        <v>137140.18</v>
      </c>
      <c r="O317" s="0" t="n">
        <f aca="false">IF(cleaned_data!C317="North",1,0)</f>
        <v>1</v>
      </c>
      <c r="P317" s="0" t="n">
        <f aca="false">IF(cleaned_data!C317="South",1,0)</f>
        <v>0</v>
      </c>
      <c r="Q317" s="0" t="n">
        <f aca="false">IF(cleaned_data!C317="West",1,0)</f>
        <v>0</v>
      </c>
      <c r="R317" s="0" t="n">
        <f aca="false">IF(cleaned_data!D317="Airport",1,0)</f>
        <v>0</v>
      </c>
      <c r="S317" s="0" t="n">
        <f aca="false">IF(cleaned_data!D317="Mall",1,0)</f>
        <v>0</v>
      </c>
      <c r="T317" s="0" t="n">
        <f aca="false">IF(cleaned_data!D317="Residential",1,0)</f>
        <v>1</v>
      </c>
    </row>
    <row r="318" customFormat="false" ht="15" hidden="false" customHeight="false" outlineLevel="0" collapsed="false">
      <c r="A318" s="0" t="str">
        <f aca="false">cleaned_data!A318</f>
        <v>STR-1080</v>
      </c>
      <c r="B318" s="0" t="str">
        <f aca="false">cleaned_data!B318</f>
        <v>2025-01-01</v>
      </c>
      <c r="C318" s="0" t="str">
        <f aca="false">cleaned_data!C318</f>
        <v>East</v>
      </c>
      <c r="D318" s="0" t="str">
        <f aca="false">cleaned_data!D318</f>
        <v>Residential</v>
      </c>
      <c r="E318" s="0" t="n">
        <f aca="false">cleaned_data!E318</f>
        <v>76614.32</v>
      </c>
      <c r="F318" s="0" t="n">
        <f aca="false">cleaned_data!F318</f>
        <v>5639</v>
      </c>
      <c r="G318" s="0" t="n">
        <f aca="false">cleaned_data!G318</f>
        <v>0.174</v>
      </c>
      <c r="H318" s="0" t="n">
        <f aca="false">cleaned_data!H318</f>
        <v>15</v>
      </c>
      <c r="I318" s="0" t="n">
        <f aca="false">cleaned_data!I318</f>
        <v>92.9</v>
      </c>
      <c r="J318" s="0" t="n">
        <f aca="false">cleaned_data!J318</f>
        <v>1.02</v>
      </c>
      <c r="K318" s="0" t="n">
        <f aca="false">cleaned_data!K318</f>
        <v>1</v>
      </c>
      <c r="L318" s="0" t="n">
        <f aca="false">cleaned_data!L318</f>
        <v>4</v>
      </c>
      <c r="M318" s="0" t="n">
        <f aca="false">cleaned_data!M318</f>
        <v>620264.2</v>
      </c>
      <c r="N318" s="0" t="n">
        <f aca="false">cleaned_data!N318</f>
        <v>91365.64</v>
      </c>
      <c r="O318" s="0" t="n">
        <f aca="false">IF(cleaned_data!C318="North",1,0)</f>
        <v>0</v>
      </c>
      <c r="P318" s="0" t="n">
        <f aca="false">IF(cleaned_data!C318="South",1,0)</f>
        <v>0</v>
      </c>
      <c r="Q318" s="0" t="n">
        <f aca="false">IF(cleaned_data!C318="West",1,0)</f>
        <v>0</v>
      </c>
      <c r="R318" s="0" t="n">
        <f aca="false">IF(cleaned_data!D318="Airport",1,0)</f>
        <v>0</v>
      </c>
      <c r="S318" s="0" t="n">
        <f aca="false">IF(cleaned_data!D318="Mall",1,0)</f>
        <v>0</v>
      </c>
      <c r="T318" s="0" t="n">
        <f aca="false">IF(cleaned_data!D318="Residential",1,0)</f>
        <v>1</v>
      </c>
    </row>
    <row r="319" customFormat="false" ht="15" hidden="false" customHeight="false" outlineLevel="0" collapsed="false">
      <c r="A319" s="0" t="str">
        <f aca="false">cleaned_data!A319</f>
        <v>STR-1080</v>
      </c>
      <c r="B319" s="0" t="str">
        <f aca="false">cleaned_data!B319</f>
        <v>2025-02-01</v>
      </c>
      <c r="C319" s="0" t="str">
        <f aca="false">cleaned_data!C319</f>
        <v>East</v>
      </c>
      <c r="D319" s="0" t="str">
        <f aca="false">cleaned_data!D319</f>
        <v>Residential</v>
      </c>
      <c r="E319" s="0" t="n">
        <f aca="false">cleaned_data!E319</f>
        <v>24088.06</v>
      </c>
      <c r="F319" s="0" t="n">
        <f aca="false">cleaned_data!F319</f>
        <v>3466</v>
      </c>
      <c r="G319" s="0" t="n">
        <f aca="false">cleaned_data!G319</f>
        <v>0</v>
      </c>
      <c r="H319" s="0" t="n">
        <f aca="false">cleaned_data!H319</f>
        <v>11</v>
      </c>
      <c r="I319" s="0" t="n">
        <f aca="false">cleaned_data!I319</f>
        <v>88</v>
      </c>
      <c r="J319" s="0" t="n">
        <f aca="false">cleaned_data!J319</f>
        <v>0.2</v>
      </c>
      <c r="K319" s="0" t="n">
        <f aca="false">cleaned_data!K319</f>
        <v>0</v>
      </c>
      <c r="L319" s="0" t="n">
        <f aca="false">cleaned_data!L319</f>
        <v>3.8</v>
      </c>
      <c r="M319" s="0" t="n">
        <f aca="false">cleaned_data!M319</f>
        <v>536845.42</v>
      </c>
      <c r="N319" s="0" t="n">
        <f aca="false">cleaned_data!N319</f>
        <v>107473.75</v>
      </c>
      <c r="O319" s="0" t="n">
        <f aca="false">IF(cleaned_data!C319="North",1,0)</f>
        <v>0</v>
      </c>
      <c r="P319" s="0" t="n">
        <f aca="false">IF(cleaned_data!C319="South",1,0)</f>
        <v>0</v>
      </c>
      <c r="Q319" s="0" t="n">
        <f aca="false">IF(cleaned_data!C319="West",1,0)</f>
        <v>0</v>
      </c>
      <c r="R319" s="0" t="n">
        <f aca="false">IF(cleaned_data!D319="Airport",1,0)</f>
        <v>0</v>
      </c>
      <c r="S319" s="0" t="n">
        <f aca="false">IF(cleaned_data!D319="Mall",1,0)</f>
        <v>0</v>
      </c>
      <c r="T319" s="0" t="n">
        <f aca="false">IF(cleaned_data!D319="Residential",1,0)</f>
        <v>1</v>
      </c>
    </row>
    <row r="320" customFormat="false" ht="15" hidden="false" customHeight="false" outlineLevel="0" collapsed="false">
      <c r="A320" s="0" t="str">
        <f aca="false">cleaned_data!A320</f>
        <v>STR-1080</v>
      </c>
      <c r="B320" s="0" t="str">
        <f aca="false">cleaned_data!B320</f>
        <v>2025-03-01</v>
      </c>
      <c r="C320" s="0" t="str">
        <f aca="false">cleaned_data!C320</f>
        <v>East</v>
      </c>
      <c r="D320" s="0" t="str">
        <f aca="false">cleaned_data!D320</f>
        <v>Residential</v>
      </c>
      <c r="E320" s="0" t="n">
        <f aca="false">cleaned_data!E320</f>
        <v>81902.58</v>
      </c>
      <c r="F320" s="0" t="n">
        <f aca="false">cleaned_data!F320</f>
        <v>7775</v>
      </c>
      <c r="G320" s="0" t="n">
        <f aca="false">cleaned_data!G320</f>
        <v>0.215</v>
      </c>
      <c r="H320" s="0" t="n">
        <f aca="false">cleaned_data!H320</f>
        <v>20</v>
      </c>
      <c r="I320" s="0" t="n">
        <f aca="false">cleaned_data!I320</f>
        <v>85.2</v>
      </c>
      <c r="J320" s="0" t="n">
        <f aca="false">cleaned_data!J320</f>
        <v>4.89</v>
      </c>
      <c r="K320" s="0" t="n">
        <f aca="false">cleaned_data!K320</f>
        <v>1</v>
      </c>
      <c r="L320" s="0" t="n">
        <f aca="false">cleaned_data!L320</f>
        <v>4.2</v>
      </c>
      <c r="M320" s="0" t="n">
        <f aca="false">cleaned_data!M320</f>
        <v>726776.22</v>
      </c>
      <c r="N320" s="0" t="n">
        <f aca="false">cleaned_data!N320</f>
        <v>90804.49</v>
      </c>
      <c r="O320" s="0" t="n">
        <f aca="false">IF(cleaned_data!C320="North",1,0)</f>
        <v>0</v>
      </c>
      <c r="P320" s="0" t="n">
        <f aca="false">IF(cleaned_data!C320="South",1,0)</f>
        <v>0</v>
      </c>
      <c r="Q320" s="0" t="n">
        <f aca="false">IF(cleaned_data!C320="West",1,0)</f>
        <v>0</v>
      </c>
      <c r="R320" s="0" t="n">
        <f aca="false">IF(cleaned_data!D320="Airport",1,0)</f>
        <v>0</v>
      </c>
      <c r="S320" s="0" t="n">
        <f aca="false">IF(cleaned_data!D320="Mall",1,0)</f>
        <v>0</v>
      </c>
      <c r="T320" s="0" t="n">
        <f aca="false">IF(cleaned_data!D320="Residential",1,0)</f>
        <v>1</v>
      </c>
    </row>
    <row r="321" customFormat="false" ht="15" hidden="false" customHeight="false" outlineLevel="0" collapsed="false">
      <c r="A321" s="0" t="str">
        <f aca="false">cleaned_data!A321</f>
        <v>STR-1080</v>
      </c>
      <c r="B321" s="0" t="str">
        <f aca="false">cleaned_data!B321</f>
        <v>2025-04-01</v>
      </c>
      <c r="C321" s="0" t="str">
        <f aca="false">cleaned_data!C321</f>
        <v>East</v>
      </c>
      <c r="D321" s="0" t="str">
        <f aca="false">cleaned_data!D321</f>
        <v>Residential</v>
      </c>
      <c r="E321" s="0" t="n">
        <f aca="false">cleaned_data!E321</f>
        <v>40553.11</v>
      </c>
      <c r="F321" s="0" t="n">
        <f aca="false">cleaned_data!F321</f>
        <v>5317</v>
      </c>
      <c r="G321" s="0" t="n">
        <f aca="false">cleaned_data!G321</f>
        <v>0.165</v>
      </c>
      <c r="H321" s="0" t="n">
        <f aca="false">cleaned_data!H321</f>
        <v>17</v>
      </c>
      <c r="I321" s="0" t="n">
        <f aca="false">cleaned_data!I321</f>
        <v>84.3</v>
      </c>
      <c r="J321" s="0" t="n">
        <f aca="false">cleaned_data!J321</f>
        <v>11.82</v>
      </c>
      <c r="K321" s="0" t="n">
        <f aca="false">cleaned_data!K321</f>
        <v>0</v>
      </c>
      <c r="L321" s="0" t="n">
        <f aca="false">cleaned_data!L321</f>
        <v>4.1</v>
      </c>
      <c r="M321" s="0" t="n">
        <f aca="false">cleaned_data!M321</f>
        <v>559660.84</v>
      </c>
      <c r="N321" s="0" t="n">
        <f aca="false">cleaned_data!N321</f>
        <v>71443.61</v>
      </c>
      <c r="O321" s="0" t="n">
        <f aca="false">IF(cleaned_data!C321="North",1,0)</f>
        <v>0</v>
      </c>
      <c r="P321" s="0" t="n">
        <f aca="false">IF(cleaned_data!C321="South",1,0)</f>
        <v>0</v>
      </c>
      <c r="Q321" s="0" t="n">
        <f aca="false">IF(cleaned_data!C321="West",1,0)</f>
        <v>0</v>
      </c>
      <c r="R321" s="0" t="n">
        <f aca="false">IF(cleaned_data!D321="Airport",1,0)</f>
        <v>0</v>
      </c>
      <c r="S321" s="0" t="n">
        <f aca="false">IF(cleaned_data!D321="Mall",1,0)</f>
        <v>0</v>
      </c>
      <c r="T321" s="0" t="n">
        <f aca="false">IF(cleaned_data!D321="Residential",1,0)</f>
        <v>1</v>
      </c>
    </row>
    <row r="323" customFormat="false" ht="15" hidden="false" customHeight="false" outlineLevel="0" collapsed="false">
      <c r="A323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6" min="3" style="0" width="22"/>
  </cols>
  <sheetData>
    <row r="1" customFormat="false" ht="17.35" hidden="false" customHeight="false" outlineLevel="0" collapsed="false">
      <c r="A1" s="3" t="s">
        <v>116</v>
      </c>
      <c r="B1" s="3"/>
      <c r="C1" s="3"/>
      <c r="D1" s="3"/>
      <c r="E1" s="3"/>
      <c r="F1" s="3"/>
    </row>
    <row r="3" customFormat="false" ht="15" hidden="false" customHeight="false" outlineLevel="0" collapsed="false">
      <c r="A3" s="4" t="s">
        <v>117</v>
      </c>
      <c r="B3" s="4"/>
      <c r="C3" s="4"/>
      <c r="D3" s="4"/>
      <c r="E3" s="4"/>
      <c r="F3" s="4"/>
    </row>
    <row r="4" customFormat="false" ht="15" hidden="false" customHeight="false" outlineLevel="0" collapsed="false">
      <c r="A4" s="5" t="s">
        <v>118</v>
      </c>
      <c r="B4" s="6" t="n">
        <f aca="false">INTERCEPT(cleaned_data!$M$2:$M$321,cleaned_data!$F$2:$F$321)</f>
        <v>446410.582933954</v>
      </c>
    </row>
    <row r="5" customFormat="false" ht="15" hidden="false" customHeight="false" outlineLevel="0" collapsed="false">
      <c r="A5" s="5" t="s">
        <v>119</v>
      </c>
      <c r="B5" s="6" t="n">
        <f aca="false">SLOPE(cleaned_data!$M$2:$M$321,cleaned_data!$F$2:$F$321)</f>
        <v>35.6780310726405</v>
      </c>
    </row>
    <row r="6" customFormat="false" ht="15" hidden="false" customHeight="false" outlineLevel="0" collapsed="false">
      <c r="A6" s="5" t="s">
        <v>120</v>
      </c>
      <c r="B6" s="6" t="n">
        <f aca="false">RSQ(cleaned_data!$M$2:$M$321,cleaned_data!$F$2:$F$321)</f>
        <v>0.736285340003311</v>
      </c>
    </row>
    <row r="7" customFormat="false" ht="15" hidden="false" customHeight="false" outlineLevel="0" collapsed="false">
      <c r="A7" s="5" t="s">
        <v>121</v>
      </c>
      <c r="B7" s="6" t="n">
        <f aca="false">SQRT((DEVSQ(cleaned_data!$M$2:$M$321)*(1-B6))/(COUNT(cleaned_data!$F$2:$F$321)-2)/DEVSQ(cleaned_data!$F$2:$F$321))</f>
        <v>1.19737828903408</v>
      </c>
    </row>
    <row r="8" customFormat="false" ht="15" hidden="false" customHeight="false" outlineLevel="0" collapsed="false">
      <c r="A8" s="5" t="s">
        <v>122</v>
      </c>
      <c r="B8" s="6" t="n">
        <f aca="false">B5/B7</f>
        <v>29.7967913727764</v>
      </c>
    </row>
    <row r="9" customFormat="false" ht="15" hidden="false" customHeight="false" outlineLevel="0" collapsed="false">
      <c r="A9" s="5" t="s">
        <v>123</v>
      </c>
      <c r="B9" s="6" t="n">
        <f aca="false">_xlfn.T.DIST.2T(ABS(B8),COUNT(cleaned_data!$F$2:$F$321)-2)</f>
        <v>4.75036150900558E-094</v>
      </c>
    </row>
    <row r="10" customFormat="false" ht="15" hidden="false" customHeight="false" outlineLevel="0" collapsed="false">
      <c r="A10" s="5" t="s">
        <v>124</v>
      </c>
      <c r="B10" s="6" t="n">
        <f aca="false">COUNT(cleaned_data!$F$2:$F$321)</f>
        <v>320</v>
      </c>
    </row>
    <row r="11" customFormat="false" ht="15" hidden="false" customHeight="false" outlineLevel="0" collapsed="false">
      <c r="A11" s="5" t="s">
        <v>125</v>
      </c>
      <c r="B11" s="0" t="str">
        <f aca="false">IF(B9&lt;0.05,"Yes - significant","No - not significant")</f>
        <v>Yes - significant</v>
      </c>
    </row>
    <row r="12" customFormat="false" ht="15" hidden="false" customHeight="false" outlineLevel="0" collapsed="false">
      <c r="A12" s="5" t="s">
        <v>126</v>
      </c>
      <c r="B12" s="0" t="str">
        <f aca="false">"monthly_sales = "&amp;ROUND(B4,2)&amp;" + "&amp;ROUND(B5,4)&amp;" * footfall"</f>
        <v>monthly_sales = 446410.58 + 35.678 * footfall</v>
      </c>
    </row>
    <row r="13" customFormat="false" ht="15" hidden="false" customHeight="false" outlineLevel="0" collapsed="false">
      <c r="A13" s="5" t="s">
        <v>127</v>
      </c>
      <c r="B13" s="2" t="s">
        <v>128</v>
      </c>
    </row>
    <row r="14" customFormat="false" ht="15" hidden="false" customHeight="false" outlineLevel="0" collapsed="false">
      <c r="A14" s="5"/>
    </row>
    <row r="15" customFormat="false" ht="15" hidden="false" customHeight="false" outlineLevel="0" collapsed="false">
      <c r="A15" s="4" t="s">
        <v>129</v>
      </c>
      <c r="B15" s="4"/>
      <c r="C15" s="4"/>
      <c r="D15" s="4"/>
      <c r="E15" s="4"/>
      <c r="F15" s="4"/>
    </row>
    <row r="16" customFormat="false" ht="15" hidden="false" customHeight="false" outlineLevel="0" collapsed="false">
      <c r="A16" s="5" t="s">
        <v>118</v>
      </c>
      <c r="B16" s="6" t="n">
        <f aca="false">INTERCEPT(cleaned_data!$M$2:$M$321,cleaned_data!$E$2:$E$321)</f>
        <v>560777.345449437</v>
      </c>
    </row>
    <row r="17" customFormat="false" ht="15" hidden="false" customHeight="false" outlineLevel="0" collapsed="false">
      <c r="A17" s="5" t="s">
        <v>119</v>
      </c>
      <c r="B17" s="6" t="n">
        <f aca="false">SLOPE(cleaned_data!$M$2:$M$321,cleaned_data!$E$2:$E$321)</f>
        <v>2.12957532758983</v>
      </c>
    </row>
    <row r="18" customFormat="false" ht="15" hidden="false" customHeight="false" outlineLevel="0" collapsed="false">
      <c r="A18" s="5" t="s">
        <v>120</v>
      </c>
      <c r="B18" s="6" t="n">
        <f aca="false">RSQ(cleaned_data!$M$2:$M$321,cleaned_data!$E$2:$E$321)</f>
        <v>0.16724469112487</v>
      </c>
    </row>
    <row r="19" customFormat="false" ht="15" hidden="false" customHeight="false" outlineLevel="0" collapsed="false">
      <c r="A19" s="5" t="s">
        <v>121</v>
      </c>
      <c r="B19" s="6" t="n">
        <f aca="false">SQRT((DEVSQ(cleaned_data!$M$2:$M$321)*(1-B18))/(COUNT(cleaned_data!$E$2:$E$321)-2)/DEVSQ(cleaned_data!$E$2:$E$321))</f>
        <v>0.266478381069324</v>
      </c>
    </row>
    <row r="20" customFormat="false" ht="15" hidden="false" customHeight="false" outlineLevel="0" collapsed="false">
      <c r="A20" s="5" t="s">
        <v>122</v>
      </c>
      <c r="B20" s="6" t="n">
        <f aca="false">B17/B19</f>
        <v>7.99155008013887</v>
      </c>
    </row>
    <row r="21" customFormat="false" ht="15" hidden="false" customHeight="false" outlineLevel="0" collapsed="false">
      <c r="A21" s="5" t="s">
        <v>123</v>
      </c>
      <c r="B21" s="6" t="n">
        <f aca="false">_xlfn.T.DIST.2T(ABS(B20),COUNT(cleaned_data!$E$2:$E$321)-2)</f>
        <v>2.480061510136E-014</v>
      </c>
    </row>
    <row r="22" customFormat="false" ht="15" hidden="false" customHeight="false" outlineLevel="0" collapsed="false">
      <c r="A22" s="5" t="s">
        <v>124</v>
      </c>
      <c r="B22" s="6" t="n">
        <f aca="false">COUNT(cleaned_data!$E$2:$E$321)</f>
        <v>320</v>
      </c>
    </row>
    <row r="23" customFormat="false" ht="15" hidden="false" customHeight="false" outlineLevel="0" collapsed="false">
      <c r="A23" s="5" t="s">
        <v>125</v>
      </c>
      <c r="B23" s="0" t="str">
        <f aca="false">IF(B21&lt;0.05,"Yes - significant","No - not significant")</f>
        <v>Yes - significant</v>
      </c>
    </row>
    <row r="24" customFormat="false" ht="15" hidden="false" customHeight="false" outlineLevel="0" collapsed="false">
      <c r="A24" s="5" t="s">
        <v>126</v>
      </c>
      <c r="B24" s="0" t="str">
        <f aca="false">"monthly_sales = "&amp;ROUND(B16,2)&amp;" + "&amp;ROUND(B17,4)&amp;" * marketing_spend"</f>
        <v>monthly_sales = 560777.35 + 2.1296 * marketing_spend</v>
      </c>
    </row>
    <row r="25" customFormat="false" ht="15" hidden="false" customHeight="false" outlineLevel="0" collapsed="false">
      <c r="A25" s="5" t="s">
        <v>127</v>
      </c>
      <c r="B25" s="2" t="s">
        <v>130</v>
      </c>
    </row>
    <row r="26" customFormat="false" ht="15" hidden="false" customHeight="false" outlineLevel="0" collapsed="false">
      <c r="A26" s="5"/>
    </row>
    <row r="27" customFormat="false" ht="15" hidden="false" customHeight="false" outlineLevel="0" collapsed="false">
      <c r="A27" s="4" t="s">
        <v>131</v>
      </c>
      <c r="B27" s="4"/>
      <c r="C27" s="4"/>
      <c r="D27" s="4"/>
      <c r="E27" s="4"/>
      <c r="F27" s="4"/>
    </row>
    <row r="28" customFormat="false" ht="15" hidden="false" customHeight="false" outlineLevel="0" collapsed="false">
      <c r="A28" s="5" t="s">
        <v>118</v>
      </c>
      <c r="B28" s="6" t="n">
        <f aca="false">INTERCEPT(cleaned_data!$M$2:$M$321,cleaned_data!$I$2:$I$321)</f>
        <v>484814.25658676</v>
      </c>
    </row>
    <row r="29" customFormat="false" ht="15" hidden="false" customHeight="false" outlineLevel="0" collapsed="false">
      <c r="A29" s="5" t="s">
        <v>119</v>
      </c>
      <c r="B29" s="6" t="n">
        <f aca="false">SLOPE(cleaned_data!$M$2:$M$321,cleaned_data!$I$2:$I$321)</f>
        <v>2217.83194099892</v>
      </c>
    </row>
    <row r="30" customFormat="false" ht="15" hidden="false" customHeight="false" outlineLevel="0" collapsed="false">
      <c r="A30" s="5" t="s">
        <v>120</v>
      </c>
      <c r="B30" s="6" t="n">
        <f aca="false">RSQ(cleaned_data!$M$2:$M$321,cleaned_data!$I$2:$I$321)</f>
        <v>0.0131150159644044</v>
      </c>
    </row>
    <row r="31" customFormat="false" ht="15" hidden="false" customHeight="false" outlineLevel="0" collapsed="false">
      <c r="A31" s="5" t="s">
        <v>121</v>
      </c>
      <c r="B31" s="6" t="n">
        <f aca="false">SQRT((DEVSQ(cleaned_data!$M$2:$M$321)*(1-B30))/(COUNT(cleaned_data!$I$2:$I$321)-2)/DEVSQ(cleaned_data!$I$2:$I$321))</f>
        <v>1078.85712124034</v>
      </c>
    </row>
    <row r="32" customFormat="false" ht="15" hidden="false" customHeight="false" outlineLevel="0" collapsed="false">
      <c r="A32" s="5" t="s">
        <v>122</v>
      </c>
      <c r="B32" s="6" t="n">
        <f aca="false">B29/B31</f>
        <v>2.05572350345069</v>
      </c>
    </row>
    <row r="33" customFormat="false" ht="15" hidden="false" customHeight="false" outlineLevel="0" collapsed="false">
      <c r="A33" s="5" t="s">
        <v>123</v>
      </c>
      <c r="B33" s="6" t="n">
        <f aca="false">_xlfn.T.DIST.2T(ABS(B32),COUNT(cleaned_data!$I$2:$I$321)-2)</f>
        <v>0.0406252966301654</v>
      </c>
    </row>
    <row r="34" customFormat="false" ht="15" hidden="false" customHeight="false" outlineLevel="0" collapsed="false">
      <c r="A34" s="5" t="s">
        <v>124</v>
      </c>
      <c r="B34" s="6" t="n">
        <f aca="false">COUNT(cleaned_data!$I$2:$I$321)</f>
        <v>320</v>
      </c>
    </row>
    <row r="35" customFormat="false" ht="15" hidden="false" customHeight="false" outlineLevel="0" collapsed="false">
      <c r="A35" s="5" t="s">
        <v>125</v>
      </c>
      <c r="B35" s="0" t="str">
        <f aca="false">IF(B33&lt;0.05,"Yes - significant","No - not significant")</f>
        <v>Yes - significant</v>
      </c>
    </row>
    <row r="36" customFormat="false" ht="15" hidden="false" customHeight="false" outlineLevel="0" collapsed="false">
      <c r="A36" s="5" t="s">
        <v>126</v>
      </c>
      <c r="B36" s="0" t="str">
        <f aca="false">"monthly_sales = "&amp;ROUND(B28,2)&amp;" + "&amp;ROUND(B29,4)&amp;" * inventory_availability_pct"</f>
        <v>monthly_sales = 484814.26 + 2217.8319 * inventory_availability_pct</v>
      </c>
    </row>
    <row r="37" customFormat="false" ht="15" hidden="false" customHeight="false" outlineLevel="0" collapsed="false">
      <c r="A37" s="5" t="s">
        <v>127</v>
      </c>
      <c r="B37" s="2" t="s">
        <v>132</v>
      </c>
    </row>
    <row r="38" customFormat="false" ht="15" hidden="false" customHeight="false" outlineLevel="0" collapsed="false">
      <c r="A38" s="5"/>
    </row>
    <row r="39" customFormat="false" ht="15" hidden="false" customHeight="false" outlineLevel="0" collapsed="false">
      <c r="A39" s="4" t="s">
        <v>133</v>
      </c>
      <c r="B39" s="4"/>
      <c r="C39" s="4"/>
      <c r="D39" s="4"/>
      <c r="E39" s="4"/>
      <c r="F39" s="4"/>
    </row>
    <row r="40" customFormat="false" ht="15" hidden="false" customHeight="false" outlineLevel="0" collapsed="false">
      <c r="A40" s="5" t="s">
        <v>118</v>
      </c>
      <c r="B40" s="6" t="n">
        <f aca="false">INTERCEPT(cleaned_data!$M$2:$M$321,cleaned_data!$G$2:$G$321)</f>
        <v>697835.629586541</v>
      </c>
    </row>
    <row r="41" customFormat="false" ht="15" hidden="false" customHeight="false" outlineLevel="0" collapsed="false">
      <c r="A41" s="5" t="s">
        <v>119</v>
      </c>
      <c r="B41" s="6" t="n">
        <f aca="false">SLOPE(cleaned_data!$M$2:$M$321,cleaned_data!$G$2:$G$321)</f>
        <v>-138730.454716381</v>
      </c>
    </row>
    <row r="42" customFormat="false" ht="15" hidden="false" customHeight="false" outlineLevel="0" collapsed="false">
      <c r="A42" s="5" t="s">
        <v>120</v>
      </c>
      <c r="B42" s="6" t="n">
        <f aca="false">RSQ(cleaned_data!$M$2:$M$321,cleaned_data!$G$2:$G$321)</f>
        <v>0.00829050302440034</v>
      </c>
    </row>
    <row r="43" customFormat="false" ht="15" hidden="false" customHeight="false" outlineLevel="0" collapsed="false">
      <c r="A43" s="5" t="s">
        <v>121</v>
      </c>
      <c r="B43" s="6" t="n">
        <f aca="false">SQRT((DEVSQ(cleaned_data!$M$2:$M$321)*(1-B42))/(COUNT(cleaned_data!$G$2:$G$321)-2)/DEVSQ(cleaned_data!$G$2:$G$321))</f>
        <v>85086.3795796685</v>
      </c>
    </row>
    <row r="44" customFormat="false" ht="15" hidden="false" customHeight="false" outlineLevel="0" collapsed="false">
      <c r="A44" s="5" t="s">
        <v>122</v>
      </c>
      <c r="B44" s="6" t="n">
        <f aca="false">B41/B43</f>
        <v>-1.63046606756236</v>
      </c>
    </row>
    <row r="45" customFormat="false" ht="15" hidden="false" customHeight="false" outlineLevel="0" collapsed="false">
      <c r="A45" s="5" t="s">
        <v>123</v>
      </c>
      <c r="B45" s="6" t="n">
        <f aca="false">_xlfn.T.DIST.2T(ABS(B44),COUNT(cleaned_data!$G$2:$G$321)-2)</f>
        <v>0.103993046419031</v>
      </c>
    </row>
    <row r="46" customFormat="false" ht="15" hidden="false" customHeight="false" outlineLevel="0" collapsed="false">
      <c r="A46" s="5" t="s">
        <v>124</v>
      </c>
      <c r="B46" s="6" t="n">
        <f aca="false">COUNT(cleaned_data!$G$2:$G$321)</f>
        <v>320</v>
      </c>
    </row>
    <row r="47" customFormat="false" ht="15" hidden="false" customHeight="false" outlineLevel="0" collapsed="false">
      <c r="A47" s="5" t="s">
        <v>125</v>
      </c>
      <c r="B47" s="0" t="str">
        <f aca="false">IF(B45&lt;0.05,"Yes - significant","No - not significant")</f>
        <v>No - not significant</v>
      </c>
    </row>
    <row r="48" customFormat="false" ht="15" hidden="false" customHeight="false" outlineLevel="0" collapsed="false">
      <c r="A48" s="5" t="s">
        <v>126</v>
      </c>
      <c r="B48" s="0" t="str">
        <f aca="false">"monthly_sales = "&amp;ROUND(B40,2)&amp;" + "&amp;ROUND(B41,4)&amp;" * avg_discount_pct"</f>
        <v>monthly_sales = 697835.63 + -138730.4547 * avg_discount_pct</v>
      </c>
    </row>
    <row r="49" customFormat="false" ht="15" hidden="false" customHeight="false" outlineLevel="0" collapsed="false">
      <c r="A49" s="5" t="s">
        <v>127</v>
      </c>
      <c r="B49" s="2" t="s">
        <v>134</v>
      </c>
    </row>
    <row r="50" customFormat="false" ht="15" hidden="false" customHeight="false" outlineLevel="0" collapsed="false">
      <c r="A50" s="5"/>
    </row>
    <row r="51" customFormat="false" ht="15" hidden="false" customHeight="false" outlineLevel="0" collapsed="false">
      <c r="A51" s="4" t="s">
        <v>135</v>
      </c>
      <c r="B51" s="4"/>
      <c r="C51" s="4"/>
      <c r="D51" s="4"/>
      <c r="E51" s="4"/>
      <c r="F51" s="4"/>
    </row>
    <row r="52" customFormat="false" ht="15" hidden="false" customHeight="false" outlineLevel="0" collapsed="false">
      <c r="A52" s="5" t="s">
        <v>118</v>
      </c>
      <c r="B52" s="6" t="n">
        <f aca="false">INTERCEPT(cleaned_data!$M$2:$M$321,cleaned_data!$L$2:$L$321)</f>
        <v>701366.863609075</v>
      </c>
    </row>
    <row r="53" customFormat="false" ht="15" hidden="false" customHeight="false" outlineLevel="0" collapsed="false">
      <c r="A53" s="5" t="s">
        <v>119</v>
      </c>
      <c r="B53" s="6" t="n">
        <f aca="false">SLOPE(cleaned_data!$M$2:$M$321,cleaned_data!$L$2:$L$321)</f>
        <v>-5284.8663175153</v>
      </c>
    </row>
    <row r="54" customFormat="false" ht="15" hidden="false" customHeight="false" outlineLevel="0" collapsed="false">
      <c r="A54" s="5" t="s">
        <v>120</v>
      </c>
      <c r="B54" s="6" t="n">
        <f aca="false">RSQ(cleaned_data!$M$2:$M$321,cleaned_data!$L$2:$L$321)</f>
        <v>0.000698452655965146</v>
      </c>
    </row>
    <row r="55" customFormat="false" ht="15" hidden="false" customHeight="false" outlineLevel="0" collapsed="false">
      <c r="A55" s="5" t="s">
        <v>121</v>
      </c>
      <c r="B55" s="6" t="n">
        <f aca="false">SQRT((DEVSQ(cleaned_data!$M$2:$M$321)*(1-B54))/(COUNT(cleaned_data!$L$2:$L$321)-2)/DEVSQ(cleaned_data!$L$2:$L$321))</f>
        <v>11209.8613113672</v>
      </c>
    </row>
    <row r="56" customFormat="false" ht="15" hidden="false" customHeight="false" outlineLevel="0" collapsed="false">
      <c r="A56" s="5" t="s">
        <v>122</v>
      </c>
      <c r="B56" s="6" t="n">
        <f aca="false">B53/B55</f>
        <v>-0.471447966279142</v>
      </c>
    </row>
    <row r="57" customFormat="false" ht="15" hidden="false" customHeight="false" outlineLevel="0" collapsed="false">
      <c r="A57" s="5" t="s">
        <v>123</v>
      </c>
      <c r="B57" s="6" t="n">
        <f aca="false">_xlfn.T.DIST.2T(ABS(B56),COUNT(cleaned_data!$L$2:$L$321)-2)</f>
        <v>0.637644151039515</v>
      </c>
    </row>
    <row r="58" customFormat="false" ht="15" hidden="false" customHeight="false" outlineLevel="0" collapsed="false">
      <c r="A58" s="5" t="s">
        <v>124</v>
      </c>
      <c r="B58" s="6" t="n">
        <f aca="false">COUNT(cleaned_data!$L$2:$L$321)</f>
        <v>320</v>
      </c>
    </row>
    <row r="59" customFormat="false" ht="15" hidden="false" customHeight="false" outlineLevel="0" collapsed="false">
      <c r="A59" s="5" t="s">
        <v>125</v>
      </c>
      <c r="B59" s="0" t="str">
        <f aca="false">IF(B57&lt;0.05,"Yes - significant","No - not significant")</f>
        <v>No - not significant</v>
      </c>
    </row>
    <row r="60" customFormat="false" ht="15" hidden="false" customHeight="false" outlineLevel="0" collapsed="false">
      <c r="A60" s="5" t="s">
        <v>126</v>
      </c>
      <c r="B60" s="0" t="str">
        <f aca="false">"monthly_sales = "&amp;ROUND(B52,2)&amp;" + "&amp;ROUND(B53,4)&amp;" * customer_rating"</f>
        <v>monthly_sales = 701366.86 + -5284.8663 * customer_rating</v>
      </c>
    </row>
    <row r="61" customFormat="false" ht="15" hidden="false" customHeight="false" outlineLevel="0" collapsed="false">
      <c r="A61" s="5" t="s">
        <v>127</v>
      </c>
      <c r="B61" s="2" t="s">
        <v>136</v>
      </c>
    </row>
    <row r="62" customFormat="false" ht="15" hidden="false" customHeight="false" outlineLevel="0" collapsed="false">
      <c r="A62" s="5"/>
    </row>
  </sheetData>
  <mergeCells count="6">
    <mergeCell ref="A1:F1"/>
    <mergeCell ref="A3:F3"/>
    <mergeCell ref="A15:F15"/>
    <mergeCell ref="A27:F27"/>
    <mergeCell ref="A39:F39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  <col collapsed="false" customWidth="true" hidden="false" outlineLevel="0" max="17" min="17" style="0" width="26"/>
    <col collapsed="false" customWidth="true" hidden="false" outlineLevel="0" max="22" min="18" style="0" width="16"/>
  </cols>
  <sheetData>
    <row r="1" customFormat="false" ht="17.35" hidden="false" customHeight="false" outlineLevel="0" collapsed="false">
      <c r="A1" s="3" t="s">
        <v>137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customFormat="false" ht="15" hidden="false" customHeight="false" outlineLevel="0" collapsed="false">
      <c r="A3" s="2" t="s">
        <v>138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109</v>
      </c>
      <c r="I4" s="1" t="s">
        <v>110</v>
      </c>
      <c r="J4" s="1" t="s">
        <v>111</v>
      </c>
      <c r="K4" s="1" t="s">
        <v>112</v>
      </c>
      <c r="L4" s="1" t="s">
        <v>113</v>
      </c>
      <c r="M4" s="1" t="s">
        <v>114</v>
      </c>
      <c r="N4" s="1" t="s">
        <v>12</v>
      </c>
      <c r="Q4" s="7" t="s">
        <v>139</v>
      </c>
      <c r="R4" s="7" t="s">
        <v>140</v>
      </c>
      <c r="S4" s="7" t="s">
        <v>141</v>
      </c>
      <c r="T4" s="7" t="s">
        <v>142</v>
      </c>
      <c r="U4" s="7" t="s">
        <v>123</v>
      </c>
      <c r="V4" s="7" t="s">
        <v>143</v>
      </c>
    </row>
    <row r="5" customFormat="false" ht="15" hidden="false" customHeight="false" outlineLevel="0" collapsed="false">
      <c r="A5" s="0" t="n">
        <f aca="false">dummy_variables!E2</f>
        <v>70389.11</v>
      </c>
      <c r="B5" s="0" t="n">
        <f aca="false">dummy_variables!F2</f>
        <v>8302</v>
      </c>
      <c r="C5" s="0" t="n">
        <f aca="false">dummy_variables!G2</f>
        <v>0.042</v>
      </c>
      <c r="D5" s="0" t="n">
        <f aca="false">dummy_variables!I2</f>
        <v>75</v>
      </c>
      <c r="E5" s="0" t="n">
        <f aca="false">dummy_variables!J2</f>
        <v>5.28</v>
      </c>
      <c r="F5" s="0" t="n">
        <f aca="false">dummy_variables!K2</f>
        <v>1</v>
      </c>
      <c r="G5" s="0" t="n">
        <f aca="false">dummy_variables!L2</f>
        <v>3.1</v>
      </c>
      <c r="H5" s="0" t="n">
        <f aca="false">dummy_variables!O2</f>
        <v>0</v>
      </c>
      <c r="I5" s="0" t="n">
        <f aca="false">dummy_variables!P2</f>
        <v>0</v>
      </c>
      <c r="J5" s="0" t="n">
        <f aca="false">dummy_variables!Q2</f>
        <v>0</v>
      </c>
      <c r="K5" s="0" t="n">
        <f aca="false">dummy_variables!R2</f>
        <v>0</v>
      </c>
      <c r="L5" s="0" t="n">
        <f aca="false">dummy_variables!S2</f>
        <v>0</v>
      </c>
      <c r="M5" s="0" t="n">
        <f aca="false">dummy_variables!T2</f>
        <v>1</v>
      </c>
      <c r="N5" s="0" t="n">
        <f aca="false">dummy_variables!M2</f>
        <v>658832.62</v>
      </c>
      <c r="Q5" s="0" t="s">
        <v>144</v>
      </c>
      <c r="R5" s="0" t="n">
        <f aca="false">INDEX(LINEST($N$5:$N$324,$A$5:$M$324,TRUE(),TRUE()),1,14)</f>
        <v>83220.5802791694</v>
      </c>
      <c r="S5" s="0" t="n">
        <f aca="false">INDEX(LINEST($N$5:$N$324,$A$5:$M$324,TRUE(),TRUE()),2,14)</f>
        <v>44883.6690616507</v>
      </c>
      <c r="T5" s="0" t="n">
        <f aca="false">R5/S5</f>
        <v>1.85413942351416</v>
      </c>
      <c r="U5" s="0" t="n">
        <f aca="false">_xlfn.T.DIST.2T(ABS(T5),R23)</f>
        <v>0.0646812798783545</v>
      </c>
      <c r="V5" s="0" t="str">
        <f aca="false">IF(U5&lt;0.05,"Yes","No")</f>
        <v>No</v>
      </c>
    </row>
    <row r="6" customFormat="false" ht="15" hidden="false" customHeight="false" outlineLevel="0" collapsed="false">
      <c r="A6" s="0" t="n">
        <f aca="false">dummy_variables!E3</f>
        <v>43827.89</v>
      </c>
      <c r="B6" s="0" t="n">
        <f aca="false">dummy_variables!F3</f>
        <v>8487</v>
      </c>
      <c r="C6" s="0" t="n">
        <f aca="false">dummy_variables!G3</f>
        <v>0.168</v>
      </c>
      <c r="D6" s="0" t="n">
        <f aca="false">dummy_variables!I3</f>
        <v>84.4</v>
      </c>
      <c r="E6" s="0" t="n">
        <f aca="false">dummy_variables!J3</f>
        <v>4.31</v>
      </c>
      <c r="F6" s="0" t="n">
        <f aca="false">dummy_variables!K3</f>
        <v>0</v>
      </c>
      <c r="G6" s="0" t="n">
        <f aca="false">dummy_variables!L3</f>
        <v>2.8</v>
      </c>
      <c r="H6" s="0" t="n">
        <f aca="false">dummy_variables!O3</f>
        <v>0</v>
      </c>
      <c r="I6" s="0" t="n">
        <f aca="false">dummy_variables!P3</f>
        <v>0</v>
      </c>
      <c r="J6" s="0" t="n">
        <f aca="false">dummy_variables!Q3</f>
        <v>0</v>
      </c>
      <c r="K6" s="0" t="n">
        <f aca="false">dummy_variables!R3</f>
        <v>0</v>
      </c>
      <c r="L6" s="0" t="n">
        <f aca="false">dummy_variables!S3</f>
        <v>0</v>
      </c>
      <c r="M6" s="0" t="n">
        <f aca="false">dummy_variables!T3</f>
        <v>1</v>
      </c>
      <c r="N6" s="0" t="n">
        <f aca="false">dummy_variables!M3</f>
        <v>634436</v>
      </c>
      <c r="Q6" s="0" t="s">
        <v>4</v>
      </c>
      <c r="R6" s="0" t="n">
        <f aca="false">INDEX(LINEST($N$5:$N$324,$A$5:$M$324,TRUE(),TRUE()),1,13)</f>
        <v>1.22805209538195</v>
      </c>
      <c r="S6" s="0" t="n">
        <f aca="false">INDEX(LINEST($N$5:$N$324,$A$5:$M$324,TRUE(),TRUE()),2,13)</f>
        <v>0.118324282350423</v>
      </c>
      <c r="T6" s="0" t="n">
        <f aca="false">R6/S6</f>
        <v>10.3786988688003</v>
      </c>
      <c r="U6" s="0" t="n">
        <f aca="false">_xlfn.T.DIST.2T(ABS(T6),R23)</f>
        <v>8.06707575372276E-022</v>
      </c>
      <c r="V6" s="0" t="str">
        <f aca="false">IF(U6&lt;0.05,"Yes","No")</f>
        <v>Yes</v>
      </c>
    </row>
    <row r="7" customFormat="false" ht="15" hidden="false" customHeight="false" outlineLevel="0" collapsed="false">
      <c r="A7" s="0" t="n">
        <f aca="false">dummy_variables!E4</f>
        <v>59921.75</v>
      </c>
      <c r="B7" s="0" t="n">
        <f aca="false">dummy_variables!F4</f>
        <v>9113</v>
      </c>
      <c r="C7" s="0" t="n">
        <f aca="false">dummy_variables!G4</f>
        <v>0.133</v>
      </c>
      <c r="D7" s="0" t="n">
        <f aca="false">dummy_variables!I4</f>
        <v>88</v>
      </c>
      <c r="E7" s="0" t="n">
        <f aca="false">dummy_variables!J4</f>
        <v>12</v>
      </c>
      <c r="F7" s="0" t="n">
        <f aca="false">dummy_variables!K4</f>
        <v>0</v>
      </c>
      <c r="G7" s="0" t="n">
        <f aca="false">dummy_variables!L4</f>
        <v>3.2</v>
      </c>
      <c r="H7" s="0" t="n">
        <f aca="false">dummy_variables!O4</f>
        <v>0</v>
      </c>
      <c r="I7" s="0" t="n">
        <f aca="false">dummy_variables!P4</f>
        <v>0</v>
      </c>
      <c r="J7" s="0" t="n">
        <f aca="false">dummy_variables!Q4</f>
        <v>0</v>
      </c>
      <c r="K7" s="0" t="n">
        <f aca="false">dummy_variables!R4</f>
        <v>0</v>
      </c>
      <c r="L7" s="0" t="n">
        <f aca="false">dummy_variables!S4</f>
        <v>0</v>
      </c>
      <c r="M7" s="0" t="n">
        <f aca="false">dummy_variables!T4</f>
        <v>1</v>
      </c>
      <c r="N7" s="0" t="n">
        <f aca="false">dummy_variables!M4</f>
        <v>678722.06</v>
      </c>
      <c r="Q7" s="0" t="s">
        <v>5</v>
      </c>
      <c r="R7" s="0" t="n">
        <f aca="false">INDEX(LINEST($N$5:$N$324,$A$5:$M$324,TRUE(),TRUE()),1,12)</f>
        <v>33.6787129966535</v>
      </c>
      <c r="S7" s="0" t="n">
        <f aca="false">INDEX(LINEST($N$5:$N$324,$A$5:$M$324,TRUE(),TRUE()),2,12)</f>
        <v>0.965410255875526</v>
      </c>
      <c r="T7" s="0" t="n">
        <f aca="false">R7/S7</f>
        <v>34.8853897000612</v>
      </c>
      <c r="U7" s="0" t="n">
        <f aca="false">_xlfn.T.DIST.2T(ABS(T7),R23)</f>
        <v>1.17432135922583E-108</v>
      </c>
      <c r="V7" s="0" t="str">
        <f aca="false">IF(U7&lt;0.05,"Yes","No")</f>
        <v>Yes</v>
      </c>
    </row>
    <row r="8" customFormat="false" ht="15" hidden="false" customHeight="false" outlineLevel="0" collapsed="false">
      <c r="A8" s="0" t="n">
        <f aca="false">dummy_variables!E5</f>
        <v>56856.63</v>
      </c>
      <c r="B8" s="0" t="n">
        <f aca="false">dummy_variables!F5</f>
        <v>9431</v>
      </c>
      <c r="C8" s="0" t="n">
        <f aca="false">dummy_variables!G5</f>
        <v>0.142</v>
      </c>
      <c r="D8" s="0" t="n">
        <f aca="false">dummy_variables!I5</f>
        <v>86.9</v>
      </c>
      <c r="E8" s="0" t="n">
        <f aca="false">dummy_variables!J5</f>
        <v>4.97</v>
      </c>
      <c r="F8" s="0" t="n">
        <f aca="false">dummy_variables!K5</f>
        <v>0</v>
      </c>
      <c r="G8" s="0" t="n">
        <f aca="false">dummy_variables!L5</f>
        <v>3.4</v>
      </c>
      <c r="H8" s="0" t="n">
        <f aca="false">dummy_variables!O5</f>
        <v>0</v>
      </c>
      <c r="I8" s="0" t="n">
        <f aca="false">dummy_variables!P5</f>
        <v>0</v>
      </c>
      <c r="J8" s="0" t="n">
        <f aca="false">dummy_variables!Q5</f>
        <v>0</v>
      </c>
      <c r="K8" s="0" t="n">
        <f aca="false">dummy_variables!R5</f>
        <v>0</v>
      </c>
      <c r="L8" s="0" t="n">
        <f aca="false">dummy_variables!S5</f>
        <v>0</v>
      </c>
      <c r="M8" s="0" t="n">
        <f aca="false">dummy_variables!T5</f>
        <v>1</v>
      </c>
      <c r="N8" s="0" t="n">
        <f aca="false">dummy_variables!M5</f>
        <v>658920.3</v>
      </c>
      <c r="Q8" s="0" t="s">
        <v>6</v>
      </c>
      <c r="R8" s="0" t="n">
        <f aca="false">INDEX(LINEST($N$5:$N$324,$A$5:$M$324,TRUE(),TRUE()),1,11)</f>
        <v>-37239.9519068019</v>
      </c>
      <c r="S8" s="0" t="n">
        <f aca="false">INDEX(LINEST($N$5:$N$324,$A$5:$M$324,TRUE(),TRUE()),2,11)</f>
        <v>34296.1519049412</v>
      </c>
      <c r="T8" s="0" t="n">
        <f aca="false">R8/S8</f>
        <v>-1.08583470268093</v>
      </c>
      <c r="U8" s="0" t="n">
        <f aca="false">_xlfn.T.DIST.2T(ABS(T8),R23)</f>
        <v>0.278406783444603</v>
      </c>
      <c r="V8" s="0" t="str">
        <f aca="false">IF(U8&lt;0.05,"Yes","No")</f>
        <v>No</v>
      </c>
    </row>
    <row r="9" customFormat="false" ht="15" hidden="false" customHeight="false" outlineLevel="0" collapsed="false">
      <c r="A9" s="0" t="n">
        <f aca="false">dummy_variables!E6</f>
        <v>48412.64</v>
      </c>
      <c r="B9" s="0" t="n">
        <f aca="false">dummy_variables!F6</f>
        <v>9545</v>
      </c>
      <c r="C9" s="0" t="n">
        <f aca="false">dummy_variables!G6</f>
        <v>0.231</v>
      </c>
      <c r="D9" s="0" t="n">
        <f aca="false">dummy_variables!I6</f>
        <v>97.6</v>
      </c>
      <c r="E9" s="0" t="n">
        <f aca="false">dummy_variables!J6</f>
        <v>6.94</v>
      </c>
      <c r="F9" s="0" t="n">
        <f aca="false">dummy_variables!K6</f>
        <v>1</v>
      </c>
      <c r="G9" s="0" t="n">
        <f aca="false">dummy_variables!L6</f>
        <v>4.2</v>
      </c>
      <c r="H9" s="0" t="n">
        <f aca="false">dummy_variables!O6</f>
        <v>0</v>
      </c>
      <c r="I9" s="0" t="n">
        <f aca="false">dummy_variables!P6</f>
        <v>0</v>
      </c>
      <c r="J9" s="0" t="n">
        <f aca="false">dummy_variables!Q6</f>
        <v>0</v>
      </c>
      <c r="K9" s="0" t="n">
        <f aca="false">dummy_variables!R6</f>
        <v>0</v>
      </c>
      <c r="L9" s="0" t="n">
        <f aca="false">dummy_variables!S6</f>
        <v>0</v>
      </c>
      <c r="M9" s="0" t="n">
        <f aca="false">dummy_variables!T6</f>
        <v>0</v>
      </c>
      <c r="N9" s="0" t="n">
        <f aca="false">dummy_variables!M6</f>
        <v>741341.44</v>
      </c>
      <c r="Q9" s="0" t="s">
        <v>8</v>
      </c>
      <c r="R9" s="0" t="n">
        <f aca="false">INDEX(LINEST($N$5:$N$324,$A$5:$M$324,TRUE(),TRUE()),1,10)</f>
        <v>3006.18465749297</v>
      </c>
      <c r="S9" s="0" t="n">
        <f aca="false">INDEX(LINEST($N$5:$N$324,$A$5:$M$324,TRUE(),TRUE()),2,10)</f>
        <v>431.309143223131</v>
      </c>
      <c r="T9" s="0" t="n">
        <f aca="false">R9/S9</f>
        <v>6.96990709500857</v>
      </c>
      <c r="U9" s="0" t="n">
        <f aca="false">_xlfn.T.DIST.2T(ABS(T9),R23)</f>
        <v>1.95460081423779E-011</v>
      </c>
      <c r="V9" s="0" t="str">
        <f aca="false">IF(U9&lt;0.05,"Yes","No")</f>
        <v>Yes</v>
      </c>
    </row>
    <row r="10" customFormat="false" ht="15" hidden="false" customHeight="false" outlineLevel="0" collapsed="false">
      <c r="A10" s="0" t="n">
        <f aca="false">dummy_variables!E7</f>
        <v>64811.21</v>
      </c>
      <c r="B10" s="0" t="n">
        <f aca="false">dummy_variables!F7</f>
        <v>9792</v>
      </c>
      <c r="C10" s="0" t="n">
        <f aca="false">dummy_variables!G7</f>
        <v>0.112</v>
      </c>
      <c r="D10" s="0" t="n">
        <f aca="false">dummy_variables!I7</f>
        <v>84.2</v>
      </c>
      <c r="E10" s="0" t="n">
        <f aca="false">dummy_variables!J7</f>
        <v>2.88</v>
      </c>
      <c r="F10" s="0" t="n">
        <f aca="false">dummy_variables!K7</f>
        <v>0</v>
      </c>
      <c r="G10" s="0" t="n">
        <f aca="false">dummy_variables!L7</f>
        <v>4.2</v>
      </c>
      <c r="H10" s="0" t="n">
        <f aca="false">dummy_variables!O7</f>
        <v>0</v>
      </c>
      <c r="I10" s="0" t="n">
        <f aca="false">dummy_variables!P7</f>
        <v>0</v>
      </c>
      <c r="J10" s="0" t="n">
        <f aca="false">dummy_variables!Q7</f>
        <v>0</v>
      </c>
      <c r="K10" s="0" t="n">
        <f aca="false">dummy_variables!R7</f>
        <v>0</v>
      </c>
      <c r="L10" s="0" t="n">
        <f aca="false">dummy_variables!S7</f>
        <v>0</v>
      </c>
      <c r="M10" s="0" t="n">
        <f aca="false">dummy_variables!T7</f>
        <v>0</v>
      </c>
      <c r="N10" s="0" t="n">
        <f aca="false">dummy_variables!M7</f>
        <v>761835.34</v>
      </c>
      <c r="Q10" s="0" t="s">
        <v>9</v>
      </c>
      <c r="R10" s="0" t="n">
        <f aca="false">INDEX(LINEST($N$5:$N$324,$A$5:$M$324,TRUE(),TRUE()),1,9)</f>
        <v>-3367.3427118756</v>
      </c>
      <c r="S10" s="0" t="n">
        <f aca="false">INDEX(LINEST($N$5:$N$324,$A$5:$M$324,TRUE(),TRUE()),2,9)</f>
        <v>546.885558517599</v>
      </c>
      <c r="T10" s="0" t="n">
        <f aca="false">R10/S10</f>
        <v>-6.15730779398015</v>
      </c>
      <c r="U10" s="0" t="n">
        <f aca="false">_xlfn.T.DIST.2T(ABS(T10),R23)</f>
        <v>2.32107072101612E-009</v>
      </c>
      <c r="V10" s="0" t="str">
        <f aca="false">IF(U10&lt;0.05,"Yes","No")</f>
        <v>Yes</v>
      </c>
    </row>
    <row r="11" customFormat="false" ht="15" hidden="false" customHeight="false" outlineLevel="0" collapsed="false">
      <c r="A11" s="0" t="n">
        <f aca="false">dummy_variables!E8</f>
        <v>46213.45</v>
      </c>
      <c r="B11" s="0" t="n">
        <f aca="false">dummy_variables!F8</f>
        <v>10616</v>
      </c>
      <c r="C11" s="0" t="n">
        <f aca="false">dummy_variables!G8</f>
        <v>0.122</v>
      </c>
      <c r="D11" s="0" t="n">
        <f aca="false">dummy_variables!I8</f>
        <v>85.2</v>
      </c>
      <c r="E11" s="0" t="n">
        <f aca="false">dummy_variables!J8</f>
        <v>0.2</v>
      </c>
      <c r="F11" s="0" t="n">
        <f aca="false">dummy_variables!K8</f>
        <v>1</v>
      </c>
      <c r="G11" s="0" t="n">
        <f aca="false">dummy_variables!L8</f>
        <v>4.1</v>
      </c>
      <c r="H11" s="0" t="n">
        <f aca="false">dummy_variables!O8</f>
        <v>0</v>
      </c>
      <c r="I11" s="0" t="n">
        <f aca="false">dummy_variables!P8</f>
        <v>0</v>
      </c>
      <c r="J11" s="0" t="n">
        <f aca="false">dummy_variables!Q8</f>
        <v>0</v>
      </c>
      <c r="K11" s="0" t="n">
        <f aca="false">dummy_variables!R8</f>
        <v>0</v>
      </c>
      <c r="L11" s="0" t="n">
        <f aca="false">dummy_variables!S8</f>
        <v>0</v>
      </c>
      <c r="M11" s="0" t="n">
        <f aca="false">dummy_variables!T8</f>
        <v>0</v>
      </c>
      <c r="N11" s="0" t="n">
        <f aca="false">dummy_variables!M8</f>
        <v>806615.54</v>
      </c>
      <c r="Q11" s="0" t="s">
        <v>10</v>
      </c>
      <c r="R11" s="0" t="n">
        <f aca="false">INDEX(LINEST($N$5:$N$324,$A$5:$M$324,TRUE(),TRUE()),1,8)</f>
        <v>14176.0887083777</v>
      </c>
      <c r="S11" s="0" t="n">
        <f aca="false">INDEX(LINEST($N$5:$N$324,$A$5:$M$324,TRUE(),TRUE()),2,8)</f>
        <v>6199.83702781563</v>
      </c>
      <c r="T11" s="0" t="n">
        <f aca="false">R11/S11</f>
        <v>2.28652602395459</v>
      </c>
      <c r="U11" s="0" t="n">
        <f aca="false">_xlfn.T.DIST.2T(ABS(T11),R23)</f>
        <v>0.0229064142681341</v>
      </c>
      <c r="V11" s="0" t="str">
        <f aca="false">IF(U11&lt;0.05,"Yes","No")</f>
        <v>Yes</v>
      </c>
    </row>
    <row r="12" customFormat="false" ht="15" hidden="false" customHeight="false" outlineLevel="0" collapsed="false">
      <c r="A12" s="0" t="n">
        <f aca="false">dummy_variables!E9</f>
        <v>68148.52</v>
      </c>
      <c r="B12" s="0" t="n">
        <f aca="false">dummy_variables!F9</f>
        <v>8567</v>
      </c>
      <c r="C12" s="0" t="n">
        <f aca="false">dummy_variables!G9</f>
        <v>0.127</v>
      </c>
      <c r="D12" s="0" t="n">
        <f aca="false">dummy_variables!I9</f>
        <v>95.6</v>
      </c>
      <c r="E12" s="0" t="n">
        <f aca="false">dummy_variables!J9</f>
        <v>0.8</v>
      </c>
      <c r="F12" s="0" t="n">
        <f aca="false">dummy_variables!K9</f>
        <v>0</v>
      </c>
      <c r="G12" s="0" t="n">
        <f aca="false">dummy_variables!L9</f>
        <v>3.9</v>
      </c>
      <c r="H12" s="0" t="n">
        <f aca="false">dummy_variables!O9</f>
        <v>0</v>
      </c>
      <c r="I12" s="0" t="n">
        <f aca="false">dummy_variables!P9</f>
        <v>0</v>
      </c>
      <c r="J12" s="0" t="n">
        <f aca="false">dummy_variables!Q9</f>
        <v>0</v>
      </c>
      <c r="K12" s="0" t="n">
        <f aca="false">dummy_variables!R9</f>
        <v>0</v>
      </c>
      <c r="L12" s="0" t="n">
        <f aca="false">dummy_variables!S9</f>
        <v>0</v>
      </c>
      <c r="M12" s="0" t="n">
        <f aca="false">dummy_variables!T9</f>
        <v>0</v>
      </c>
      <c r="N12" s="0" t="n">
        <f aca="false">dummy_variables!M9</f>
        <v>850164.26</v>
      </c>
      <c r="Q12" s="0" t="s">
        <v>11</v>
      </c>
      <c r="R12" s="0" t="n">
        <f aca="false">INDEX(LINEST($N$5:$N$324,$A$5:$M$324,TRUE(),TRUE()),1,7)</f>
        <v>11907.9437533375</v>
      </c>
      <c r="S12" s="0" t="n">
        <f aca="false">INDEX(LINEST($N$5:$N$324,$A$5:$M$324,TRUE(),TRUE()),2,7)</f>
        <v>4502.99973681207</v>
      </c>
      <c r="T12" s="0" t="n">
        <f aca="false">R12/S12</f>
        <v>2.64444691301887</v>
      </c>
      <c r="U12" s="0" t="n">
        <f aca="false">_xlfn.T.DIST.2T(ABS(T12),R23)</f>
        <v>0.00860453932992519</v>
      </c>
      <c r="V12" s="0" t="str">
        <f aca="false">IF(U12&lt;0.05,"Yes","No")</f>
        <v>Yes</v>
      </c>
    </row>
    <row r="13" customFormat="false" ht="15" hidden="false" customHeight="false" outlineLevel="0" collapsed="false">
      <c r="A13" s="0" t="n">
        <f aca="false">dummy_variables!E10</f>
        <v>71838.86</v>
      </c>
      <c r="B13" s="0" t="n">
        <f aca="false">dummy_variables!F10</f>
        <v>10979</v>
      </c>
      <c r="C13" s="0" t="n">
        <f aca="false">dummy_variables!G10</f>
        <v>0.215</v>
      </c>
      <c r="D13" s="0" t="n">
        <f aca="false">dummy_variables!I10</f>
        <v>88.6</v>
      </c>
      <c r="E13" s="0" t="n">
        <f aca="false">dummy_variables!J10</f>
        <v>7.7</v>
      </c>
      <c r="F13" s="0" t="n">
        <f aca="false">dummy_variables!K10</f>
        <v>1</v>
      </c>
      <c r="G13" s="0" t="n">
        <f aca="false">dummy_variables!L10</f>
        <v>3.8</v>
      </c>
      <c r="H13" s="0" t="n">
        <f aca="false">dummy_variables!O10</f>
        <v>1</v>
      </c>
      <c r="I13" s="0" t="n">
        <f aca="false">dummy_variables!P10</f>
        <v>0</v>
      </c>
      <c r="J13" s="0" t="n">
        <f aca="false">dummy_variables!Q10</f>
        <v>0</v>
      </c>
      <c r="K13" s="0" t="n">
        <f aca="false">dummy_variables!R10</f>
        <v>1</v>
      </c>
      <c r="L13" s="0" t="n">
        <f aca="false">dummy_variables!S10</f>
        <v>0</v>
      </c>
      <c r="M13" s="0" t="n">
        <f aca="false">dummy_variables!T10</f>
        <v>0</v>
      </c>
      <c r="N13" s="0" t="n">
        <f aca="false">dummy_variables!M10</f>
        <v>930581.7</v>
      </c>
      <c r="Q13" s="0" t="s">
        <v>109</v>
      </c>
      <c r="R13" s="0" t="n">
        <f aca="false">INDEX(LINEST($N$5:$N$324,$A$5:$M$324,TRUE(),TRUE()),1,6)</f>
        <v>10896.3710203368</v>
      </c>
      <c r="S13" s="0" t="n">
        <f aca="false">INDEX(LINEST($N$5:$N$324,$A$5:$M$324,TRUE(),TRUE()),2,6)</f>
        <v>6646.22728726575</v>
      </c>
      <c r="T13" s="0" t="n">
        <f aca="false">R13/S13</f>
        <v>1.63948215271156</v>
      </c>
      <c r="U13" s="0" t="n">
        <f aca="false">_xlfn.T.DIST.2T(ABS(T13),R23)</f>
        <v>0.102140503286699</v>
      </c>
      <c r="V13" s="0" t="str">
        <f aca="false">IF(U13&lt;0.05,"Yes","No")</f>
        <v>No</v>
      </c>
    </row>
    <row r="14" customFormat="false" ht="15" hidden="false" customHeight="false" outlineLevel="0" collapsed="false">
      <c r="A14" s="0" t="n">
        <f aca="false">dummy_variables!E11</f>
        <v>68133.44</v>
      </c>
      <c r="B14" s="0" t="n">
        <f aca="false">dummy_variables!F11</f>
        <v>9459</v>
      </c>
      <c r="C14" s="0" t="n">
        <f aca="false">dummy_variables!G11</f>
        <v>0.22</v>
      </c>
      <c r="D14" s="0" t="n">
        <f aca="false">dummy_variables!I11</f>
        <v>85</v>
      </c>
      <c r="E14" s="0" t="n">
        <f aca="false">dummy_variables!J11</f>
        <v>1.91</v>
      </c>
      <c r="F14" s="0" t="n">
        <f aca="false">dummy_variables!K11</f>
        <v>0</v>
      </c>
      <c r="G14" s="0" t="n">
        <f aca="false">dummy_variables!L11</f>
        <v>4.2</v>
      </c>
      <c r="H14" s="0" t="n">
        <f aca="false">dummy_variables!O11</f>
        <v>1</v>
      </c>
      <c r="I14" s="0" t="n">
        <f aca="false">dummy_variables!P11</f>
        <v>0</v>
      </c>
      <c r="J14" s="0" t="n">
        <f aca="false">dummy_variables!Q11</f>
        <v>0</v>
      </c>
      <c r="K14" s="0" t="n">
        <f aca="false">dummy_variables!R11</f>
        <v>1</v>
      </c>
      <c r="L14" s="0" t="n">
        <f aca="false">dummy_variables!S11</f>
        <v>0</v>
      </c>
      <c r="M14" s="0" t="n">
        <f aca="false">dummy_variables!T11</f>
        <v>0</v>
      </c>
      <c r="N14" s="0" t="n">
        <f aca="false">dummy_variables!M11</f>
        <v>779010.94</v>
      </c>
      <c r="Q14" s="0" t="s">
        <v>110</v>
      </c>
      <c r="R14" s="0" t="n">
        <f aca="false">INDEX(LINEST($N$5:$N$324,$A$5:$M$324,TRUE(),TRUE()),1,5)</f>
        <v>20358.3332871036</v>
      </c>
      <c r="S14" s="0" t="n">
        <f aca="false">INDEX(LINEST($N$5:$N$324,$A$5:$M$324,TRUE(),TRUE()),2,5)</f>
        <v>6712.98697849775</v>
      </c>
      <c r="T14" s="0" t="n">
        <f aca="false">R14/S14</f>
        <v>3.03267879891813</v>
      </c>
      <c r="U14" s="0" t="n">
        <f aca="false">_xlfn.T.DIST.2T(ABS(T14),R23)</f>
        <v>0.00263143993329104</v>
      </c>
      <c r="V14" s="0" t="str">
        <f aca="false">IF(U14&lt;0.05,"Yes","No")</f>
        <v>Yes</v>
      </c>
    </row>
    <row r="15" customFormat="false" ht="15" hidden="false" customHeight="false" outlineLevel="0" collapsed="false">
      <c r="A15" s="0" t="n">
        <f aca="false">dummy_variables!E12</f>
        <v>34285.21</v>
      </c>
      <c r="B15" s="0" t="n">
        <f aca="false">dummy_variables!F12</f>
        <v>9172</v>
      </c>
      <c r="C15" s="0" t="n">
        <f aca="false">dummy_variables!G12</f>
        <v>0.213</v>
      </c>
      <c r="D15" s="0" t="n">
        <f aca="false">dummy_variables!I12</f>
        <v>88.3</v>
      </c>
      <c r="E15" s="0" t="n">
        <f aca="false">dummy_variables!J12</f>
        <v>10.46</v>
      </c>
      <c r="F15" s="0" t="n">
        <f aca="false">dummy_variables!K12</f>
        <v>1</v>
      </c>
      <c r="G15" s="0" t="n">
        <f aca="false">dummy_variables!L12</f>
        <v>3.8</v>
      </c>
      <c r="H15" s="0" t="n">
        <f aca="false">dummy_variables!O12</f>
        <v>1</v>
      </c>
      <c r="I15" s="0" t="n">
        <f aca="false">dummy_variables!P12</f>
        <v>0</v>
      </c>
      <c r="J15" s="0" t="n">
        <f aca="false">dummy_variables!Q12</f>
        <v>0</v>
      </c>
      <c r="K15" s="0" t="n">
        <f aca="false">dummy_variables!R12</f>
        <v>1</v>
      </c>
      <c r="L15" s="0" t="n">
        <f aca="false">dummy_variables!S12</f>
        <v>0</v>
      </c>
      <c r="M15" s="0" t="n">
        <f aca="false">dummy_variables!T12</f>
        <v>0</v>
      </c>
      <c r="N15" s="0" t="n">
        <f aca="false">dummy_variables!M12</f>
        <v>723060.76</v>
      </c>
      <c r="Q15" s="0" t="s">
        <v>111</v>
      </c>
      <c r="R15" s="0" t="n">
        <f aca="false">INDEX(LINEST($N$5:$N$324,$A$5:$M$324,TRUE(),TRUE()),1,4)</f>
        <v>25193.394751173</v>
      </c>
      <c r="S15" s="0" t="n">
        <f aca="false">INDEX(LINEST($N$5:$N$324,$A$5:$M$324,TRUE(),TRUE()),2,4)</f>
        <v>5976.4508386755</v>
      </c>
      <c r="T15" s="0" t="n">
        <f aca="false">R15/S15</f>
        <v>4.21544415426938</v>
      </c>
      <c r="U15" s="0" t="n">
        <f aca="false">_xlfn.T.DIST.2T(ABS(T15),R23)</f>
        <v>3.28547554055885E-005</v>
      </c>
      <c r="V15" s="0" t="str">
        <f aca="false">IF(U15&lt;0.05,"Yes","No")</f>
        <v>Yes</v>
      </c>
    </row>
    <row r="16" customFormat="false" ht="15" hidden="false" customHeight="false" outlineLevel="0" collapsed="false">
      <c r="A16" s="0" t="n">
        <f aca="false">dummy_variables!E13</f>
        <v>67979.88</v>
      </c>
      <c r="B16" s="0" t="n">
        <f aca="false">dummy_variables!F13</f>
        <v>11230</v>
      </c>
      <c r="C16" s="0" t="n">
        <f aca="false">dummy_variables!G13</f>
        <v>0.002</v>
      </c>
      <c r="D16" s="0" t="n">
        <f aca="false">dummy_variables!I13</f>
        <v>85.3</v>
      </c>
      <c r="E16" s="0" t="n">
        <f aca="false">dummy_variables!J13</f>
        <v>7.16</v>
      </c>
      <c r="F16" s="0" t="n">
        <f aca="false">dummy_variables!K13</f>
        <v>0</v>
      </c>
      <c r="G16" s="0" t="n">
        <f aca="false">dummy_variables!L13</f>
        <v>3.8</v>
      </c>
      <c r="H16" s="0" t="n">
        <f aca="false">dummy_variables!O13</f>
        <v>1</v>
      </c>
      <c r="I16" s="0" t="n">
        <f aca="false">dummy_variables!P13</f>
        <v>0</v>
      </c>
      <c r="J16" s="0" t="n">
        <f aca="false">dummy_variables!Q13</f>
        <v>0</v>
      </c>
      <c r="K16" s="0" t="n">
        <f aca="false">dummy_variables!R13</f>
        <v>1</v>
      </c>
      <c r="L16" s="0" t="n">
        <f aca="false">dummy_variables!S13</f>
        <v>0</v>
      </c>
      <c r="M16" s="0" t="n">
        <f aca="false">dummy_variables!T13</f>
        <v>0</v>
      </c>
      <c r="N16" s="0" t="n">
        <f aca="false">dummy_variables!M13</f>
        <v>910791.94</v>
      </c>
      <c r="Q16" s="0" t="s">
        <v>112</v>
      </c>
      <c r="R16" s="0" t="n">
        <f aca="false">INDEX(LINEST($N$5:$N$324,$A$5:$M$324,TRUE(),TRUE()),1,3)</f>
        <v>25124.0136864516</v>
      </c>
      <c r="S16" s="0" t="n">
        <f aca="false">INDEX(LINEST($N$5:$N$324,$A$5:$M$324,TRUE(),TRUE()),2,3)</f>
        <v>8725.68072727316</v>
      </c>
      <c r="T16" s="0" t="n">
        <f aca="false">R16/S16</f>
        <v>2.87931847058345</v>
      </c>
      <c r="U16" s="0" t="n">
        <f aca="false">_xlfn.T.DIST.2T(ABS(T16),R23)</f>
        <v>0.00426633988844594</v>
      </c>
      <c r="V16" s="0" t="str">
        <f aca="false">IF(U16&lt;0.05,"Yes","No")</f>
        <v>Yes</v>
      </c>
    </row>
    <row r="17" customFormat="false" ht="15" hidden="false" customHeight="false" outlineLevel="0" collapsed="false">
      <c r="A17" s="0" t="n">
        <f aca="false">dummy_variables!E14</f>
        <v>71828.26</v>
      </c>
      <c r="B17" s="0" t="n">
        <f aca="false">dummy_variables!F14</f>
        <v>12775</v>
      </c>
      <c r="C17" s="0" t="n">
        <f aca="false">dummy_variables!G14</f>
        <v>0.116</v>
      </c>
      <c r="D17" s="0" t="n">
        <f aca="false">dummy_variables!I14</f>
        <v>81.7</v>
      </c>
      <c r="E17" s="0" t="n">
        <f aca="false">dummy_variables!J14</f>
        <v>4.24</v>
      </c>
      <c r="F17" s="0" t="n">
        <f aca="false">dummy_variables!K14</f>
        <v>1</v>
      </c>
      <c r="G17" s="0" t="n">
        <f aca="false">dummy_variables!L14</f>
        <v>4.2</v>
      </c>
      <c r="H17" s="0" t="n">
        <f aca="false">dummy_variables!O14</f>
        <v>0</v>
      </c>
      <c r="I17" s="0" t="n">
        <f aca="false">dummy_variables!P14</f>
        <v>0</v>
      </c>
      <c r="J17" s="0" t="n">
        <f aca="false">dummy_variables!Q14</f>
        <v>0</v>
      </c>
      <c r="K17" s="0" t="n">
        <f aca="false">dummy_variables!R14</f>
        <v>0</v>
      </c>
      <c r="L17" s="0" t="n">
        <f aca="false">dummy_variables!S14</f>
        <v>0</v>
      </c>
      <c r="M17" s="0" t="n">
        <f aca="false">dummy_variables!T14</f>
        <v>1</v>
      </c>
      <c r="N17" s="0" t="n">
        <f aca="false">dummy_variables!M14</f>
        <v>922168.6</v>
      </c>
      <c r="Q17" s="0" t="s">
        <v>113</v>
      </c>
      <c r="R17" s="0" t="n">
        <f aca="false">INDEX(LINEST($N$5:$N$324,$A$5:$M$324,TRUE(),TRUE()),1,2)</f>
        <v>12780.9268829667</v>
      </c>
      <c r="S17" s="0" t="n">
        <f aca="false">INDEX(LINEST($N$5:$N$324,$A$5:$M$324,TRUE(),TRUE()),2,2)</f>
        <v>6101.29672098853</v>
      </c>
      <c r="T17" s="0" t="n">
        <f aca="false">R17/S17</f>
        <v>2.0947886109194</v>
      </c>
      <c r="U17" s="0" t="n">
        <f aca="false">_xlfn.T.DIST.2T(ABS(T17),R23)</f>
        <v>0.037011808461639</v>
      </c>
      <c r="V17" s="0" t="str">
        <f aca="false">IF(U17&lt;0.05,"Yes","No")</f>
        <v>Yes</v>
      </c>
    </row>
    <row r="18" customFormat="false" ht="15" hidden="false" customHeight="false" outlineLevel="0" collapsed="false">
      <c r="A18" s="0" t="n">
        <f aca="false">dummy_variables!E15</f>
        <v>55716.82</v>
      </c>
      <c r="B18" s="0" t="n">
        <f aca="false">dummy_variables!F15</f>
        <v>10054</v>
      </c>
      <c r="C18" s="0" t="n">
        <f aca="false">dummy_variables!G15</f>
        <v>0.146</v>
      </c>
      <c r="D18" s="0" t="n">
        <f aca="false">dummy_variables!I15</f>
        <v>84.9</v>
      </c>
      <c r="E18" s="0" t="n">
        <f aca="false">dummy_variables!J15</f>
        <v>1.06</v>
      </c>
      <c r="F18" s="0" t="n">
        <f aca="false">dummy_variables!K15</f>
        <v>0</v>
      </c>
      <c r="G18" s="0" t="n">
        <f aca="false">dummy_variables!L15</f>
        <v>4.3</v>
      </c>
      <c r="H18" s="0" t="n">
        <f aca="false">dummy_variables!O15</f>
        <v>0</v>
      </c>
      <c r="I18" s="0" t="n">
        <f aca="false">dummy_variables!P15</f>
        <v>0</v>
      </c>
      <c r="J18" s="0" t="n">
        <f aca="false">dummy_variables!Q15</f>
        <v>0</v>
      </c>
      <c r="K18" s="0" t="n">
        <f aca="false">dummy_variables!R15</f>
        <v>0</v>
      </c>
      <c r="L18" s="0" t="n">
        <f aca="false">dummy_variables!S15</f>
        <v>0</v>
      </c>
      <c r="M18" s="0" t="n">
        <f aca="false">dummy_variables!T15</f>
        <v>1</v>
      </c>
      <c r="N18" s="0" t="n">
        <f aca="false">dummy_variables!M15</f>
        <v>726606.28</v>
      </c>
      <c r="Q18" s="0" t="s">
        <v>114</v>
      </c>
      <c r="R18" s="0" t="n">
        <f aca="false">INDEX(LINEST($N$5:$N$324,$A$5:$M$324,TRUE(),TRUE()),1,1)</f>
        <v>-19071.7908933442</v>
      </c>
      <c r="S18" s="0" t="n">
        <f aca="false">INDEX(LINEST($N$5:$N$324,$A$5:$M$324,TRUE(),TRUE()),2,1)</f>
        <v>5625.21855544248</v>
      </c>
      <c r="T18" s="0" t="n">
        <f aca="false">R18/S18</f>
        <v>-3.39040887129478</v>
      </c>
      <c r="U18" s="0" t="n">
        <f aca="false">_xlfn.T.DIST.2T(ABS(T18),R23)</f>
        <v>0.000789454835079223</v>
      </c>
      <c r="V18" s="0" t="str">
        <f aca="false">IF(U18&lt;0.05,"Yes","No")</f>
        <v>Yes</v>
      </c>
    </row>
    <row r="19" customFormat="false" ht="15" hidden="false" customHeight="false" outlineLevel="0" collapsed="false">
      <c r="A19" s="0" t="n">
        <f aca="false">dummy_variables!E16</f>
        <v>59909.51</v>
      </c>
      <c r="B19" s="0" t="n">
        <f aca="false">dummy_variables!F16</f>
        <v>8895</v>
      </c>
      <c r="C19" s="0" t="n">
        <f aca="false">dummy_variables!G16</f>
        <v>0.228</v>
      </c>
      <c r="D19" s="0" t="n">
        <f aca="false">dummy_variables!I16</f>
        <v>88.8</v>
      </c>
      <c r="E19" s="0" t="n">
        <f aca="false">dummy_variables!J16</f>
        <v>0.27</v>
      </c>
      <c r="F19" s="0" t="n">
        <f aca="false">dummy_variables!K16</f>
        <v>0</v>
      </c>
      <c r="G19" s="0" t="n">
        <f aca="false">dummy_variables!L16</f>
        <v>4.3</v>
      </c>
      <c r="H19" s="0" t="n">
        <f aca="false">dummy_variables!O16</f>
        <v>0</v>
      </c>
      <c r="I19" s="0" t="n">
        <f aca="false">dummy_variables!P16</f>
        <v>0</v>
      </c>
      <c r="J19" s="0" t="n">
        <f aca="false">dummy_variables!Q16</f>
        <v>0</v>
      </c>
      <c r="K19" s="0" t="n">
        <f aca="false">dummy_variables!R16</f>
        <v>0</v>
      </c>
      <c r="L19" s="0" t="n">
        <f aca="false">dummy_variables!S16</f>
        <v>0</v>
      </c>
      <c r="M19" s="0" t="n">
        <f aca="false">dummy_variables!T16</f>
        <v>1</v>
      </c>
      <c r="N19" s="0" t="n">
        <f aca="false">dummy_variables!M16</f>
        <v>746501.09</v>
      </c>
    </row>
    <row r="20" customFormat="false" ht="15" hidden="false" customHeight="false" outlineLevel="0" collapsed="false">
      <c r="A20" s="0" t="n">
        <f aca="false">dummy_variables!E17</f>
        <v>75305.71</v>
      </c>
      <c r="B20" s="0" t="n">
        <f aca="false">dummy_variables!F17</f>
        <v>10940</v>
      </c>
      <c r="C20" s="0" t="n">
        <f aca="false">dummy_variables!G17</f>
        <v>0.006</v>
      </c>
      <c r="D20" s="0" t="n">
        <f aca="false">dummy_variables!I17</f>
        <v>76.5</v>
      </c>
      <c r="E20" s="0" t="n">
        <f aca="false">dummy_variables!J17</f>
        <v>1.32</v>
      </c>
      <c r="F20" s="0" t="n">
        <f aca="false">dummy_variables!K17</f>
        <v>0</v>
      </c>
      <c r="G20" s="0" t="n">
        <f aca="false">dummy_variables!L17</f>
        <v>4.5</v>
      </c>
      <c r="H20" s="0" t="n">
        <f aca="false">dummy_variables!O17</f>
        <v>0</v>
      </c>
      <c r="I20" s="0" t="n">
        <f aca="false">dummy_variables!P17</f>
        <v>0</v>
      </c>
      <c r="J20" s="0" t="n">
        <f aca="false">dummy_variables!Q17</f>
        <v>0</v>
      </c>
      <c r="K20" s="0" t="n">
        <f aca="false">dummy_variables!R17</f>
        <v>0</v>
      </c>
      <c r="L20" s="0" t="n">
        <f aca="false">dummy_variables!S17</f>
        <v>0</v>
      </c>
      <c r="M20" s="0" t="n">
        <f aca="false">dummy_variables!T17</f>
        <v>1</v>
      </c>
      <c r="N20" s="0" t="n">
        <f aca="false">dummy_variables!M17</f>
        <v>834017.02</v>
      </c>
      <c r="Q20" s="7" t="s">
        <v>120</v>
      </c>
      <c r="R20" s="6" t="n">
        <f aca="false">INDEX(LINEST($N$5:$N$324,$A$5:$M$324,TRUE(),TRUE()),3,1)</f>
        <v>0.852711513926901</v>
      </c>
    </row>
    <row r="21" customFormat="false" ht="15" hidden="false" customHeight="false" outlineLevel="0" collapsed="false">
      <c r="A21" s="0" t="n">
        <f aca="false">dummy_variables!E18</f>
        <v>48804.22</v>
      </c>
      <c r="B21" s="0" t="n">
        <f aca="false">dummy_variables!F18</f>
        <v>7057</v>
      </c>
      <c r="C21" s="0" t="n">
        <f aca="false">dummy_variables!G18</f>
        <v>0.005</v>
      </c>
      <c r="D21" s="0" t="n">
        <f aca="false">dummy_variables!I18</f>
        <v>87.7</v>
      </c>
      <c r="E21" s="0" t="n">
        <f aca="false">dummy_variables!J18</f>
        <v>1.22</v>
      </c>
      <c r="F21" s="0" t="n">
        <f aca="false">dummy_variables!K18</f>
        <v>0</v>
      </c>
      <c r="G21" s="0" t="n">
        <f aca="false">dummy_variables!L18</f>
        <v>3.7</v>
      </c>
      <c r="H21" s="0" t="n">
        <f aca="false">dummy_variables!O18</f>
        <v>0</v>
      </c>
      <c r="I21" s="0" t="n">
        <f aca="false">dummy_variables!P18</f>
        <v>1</v>
      </c>
      <c r="J21" s="0" t="n">
        <f aca="false">dummy_variables!Q18</f>
        <v>0</v>
      </c>
      <c r="K21" s="0" t="n">
        <f aca="false">dummy_variables!R18</f>
        <v>0</v>
      </c>
      <c r="L21" s="0" t="n">
        <f aca="false">dummy_variables!S18</f>
        <v>0</v>
      </c>
      <c r="M21" s="0" t="n">
        <f aca="false">dummy_variables!T18</f>
        <v>1</v>
      </c>
      <c r="N21" s="0" t="n">
        <f aca="false">dummy_variables!M18</f>
        <v>666152.52</v>
      </c>
      <c r="Q21" s="7" t="s">
        <v>145</v>
      </c>
      <c r="R21" s="6" t="n">
        <f aca="false">1-(1-R20)*(COUNT($N$5:$N$324)-1)/(COUNT($N$5:$N$324)-13-1)</f>
        <v>0.846454159943403</v>
      </c>
    </row>
    <row r="22" customFormat="false" ht="15" hidden="false" customHeight="false" outlineLevel="0" collapsed="false">
      <c r="A22" s="0" t="n">
        <f aca="false">dummy_variables!E19</f>
        <v>59117.9</v>
      </c>
      <c r="B22" s="0" t="n">
        <f aca="false">dummy_variables!F19</f>
        <v>4263</v>
      </c>
      <c r="C22" s="0" t="n">
        <f aca="false">dummy_variables!G19</f>
        <v>0.119</v>
      </c>
      <c r="D22" s="0" t="n">
        <f aca="false">dummy_variables!I19</f>
        <v>87.6</v>
      </c>
      <c r="E22" s="0" t="n">
        <f aca="false">dummy_variables!J19</f>
        <v>4.01</v>
      </c>
      <c r="F22" s="0" t="n">
        <f aca="false">dummy_variables!K19</f>
        <v>0</v>
      </c>
      <c r="G22" s="0" t="n">
        <f aca="false">dummy_variables!L19</f>
        <v>3.6</v>
      </c>
      <c r="H22" s="0" t="n">
        <f aca="false">dummy_variables!O19</f>
        <v>0</v>
      </c>
      <c r="I22" s="0" t="n">
        <f aca="false">dummy_variables!P19</f>
        <v>1</v>
      </c>
      <c r="J22" s="0" t="n">
        <f aca="false">dummy_variables!Q19</f>
        <v>0</v>
      </c>
      <c r="K22" s="0" t="n">
        <f aca="false">dummy_variables!R19</f>
        <v>0</v>
      </c>
      <c r="L22" s="0" t="n">
        <f aca="false">dummy_variables!S19</f>
        <v>0</v>
      </c>
      <c r="M22" s="0" t="n">
        <f aca="false">dummy_variables!T19</f>
        <v>1</v>
      </c>
      <c r="N22" s="0" t="n">
        <f aca="false">dummy_variables!M19</f>
        <v>573155.19</v>
      </c>
      <c r="Q22" s="7" t="s">
        <v>146</v>
      </c>
      <c r="R22" s="6" t="n">
        <f aca="false">INDEX(LINEST($N$5:$N$324,$A$5:$M$324,TRUE(),TRUE()),4,1)</f>
        <v>136.273497739736</v>
      </c>
    </row>
    <row r="23" customFormat="false" ht="15" hidden="false" customHeight="false" outlineLevel="0" collapsed="false">
      <c r="A23" s="0" t="n">
        <f aca="false">dummy_variables!E20</f>
        <v>78831.12</v>
      </c>
      <c r="B23" s="0" t="n">
        <f aca="false">dummy_variables!F20</f>
        <v>5538</v>
      </c>
      <c r="C23" s="0" t="n">
        <f aca="false">dummy_variables!G20</f>
        <v>0</v>
      </c>
      <c r="D23" s="0" t="n">
        <f aca="false">dummy_variables!I20</f>
        <v>94.1</v>
      </c>
      <c r="E23" s="0" t="n">
        <f aca="false">dummy_variables!J20</f>
        <v>0.2</v>
      </c>
      <c r="F23" s="0" t="n">
        <f aca="false">dummy_variables!K20</f>
        <v>0</v>
      </c>
      <c r="G23" s="0" t="n">
        <f aca="false">dummy_variables!L20</f>
        <v>3.9</v>
      </c>
      <c r="H23" s="0" t="n">
        <f aca="false">dummy_variables!O20</f>
        <v>0</v>
      </c>
      <c r="I23" s="0" t="n">
        <f aca="false">dummy_variables!P20</f>
        <v>1</v>
      </c>
      <c r="J23" s="0" t="n">
        <f aca="false">dummy_variables!Q20</f>
        <v>0</v>
      </c>
      <c r="K23" s="0" t="n">
        <f aca="false">dummy_variables!R20</f>
        <v>0</v>
      </c>
      <c r="L23" s="0" t="n">
        <f aca="false">dummy_variables!S20</f>
        <v>0</v>
      </c>
      <c r="M23" s="0" t="n">
        <f aca="false">dummy_variables!T20</f>
        <v>1</v>
      </c>
      <c r="N23" s="0" t="n">
        <f aca="false">dummy_variables!M20</f>
        <v>666573.2</v>
      </c>
      <c r="Q23" s="7" t="s">
        <v>147</v>
      </c>
      <c r="R23" s="6" t="n">
        <f aca="false">INDEX(LINEST($N$5:$N$324,$A$5:$M$324,TRUE(),TRUE()),4,2)</f>
        <v>306</v>
      </c>
    </row>
    <row r="24" customFormat="false" ht="15" hidden="false" customHeight="false" outlineLevel="0" collapsed="false">
      <c r="A24" s="0" t="n">
        <f aca="false">dummy_variables!E21</f>
        <v>41441.93</v>
      </c>
      <c r="B24" s="0" t="n">
        <f aca="false">dummy_variables!F21</f>
        <v>4865</v>
      </c>
      <c r="C24" s="0" t="n">
        <f aca="false">dummy_variables!G21</f>
        <v>0.158</v>
      </c>
      <c r="D24" s="0" t="n">
        <f aca="false">dummy_variables!I21</f>
        <v>88.3</v>
      </c>
      <c r="E24" s="0" t="n">
        <f aca="false">dummy_variables!J21</f>
        <v>0.5</v>
      </c>
      <c r="F24" s="0" t="n">
        <f aca="false">dummy_variables!K21</f>
        <v>0</v>
      </c>
      <c r="G24" s="0" t="n">
        <f aca="false">dummy_variables!L21</f>
        <v>4</v>
      </c>
      <c r="H24" s="0" t="n">
        <f aca="false">dummy_variables!O21</f>
        <v>0</v>
      </c>
      <c r="I24" s="0" t="n">
        <f aca="false">dummy_variables!P21</f>
        <v>1</v>
      </c>
      <c r="J24" s="0" t="n">
        <f aca="false">dummy_variables!Q21</f>
        <v>0</v>
      </c>
      <c r="K24" s="0" t="n">
        <f aca="false">dummy_variables!R21</f>
        <v>0</v>
      </c>
      <c r="L24" s="0" t="n">
        <f aca="false">dummy_variables!S21</f>
        <v>0</v>
      </c>
      <c r="M24" s="0" t="n">
        <f aca="false">dummy_variables!T21</f>
        <v>1</v>
      </c>
      <c r="N24" s="0" t="n">
        <f aca="false">dummy_variables!M21</f>
        <v>591619.95</v>
      </c>
      <c r="Q24" s="7" t="s">
        <v>124</v>
      </c>
      <c r="R24" s="6" t="n">
        <f aca="false">COUNT($N$5:$N$324)</f>
        <v>320</v>
      </c>
    </row>
    <row r="25" customFormat="false" ht="15" hidden="false" customHeight="false" outlineLevel="0" collapsed="false">
      <c r="A25" s="0" t="n">
        <f aca="false">dummy_variables!E22</f>
        <v>30356.28</v>
      </c>
      <c r="B25" s="0" t="n">
        <f aca="false">dummy_variables!F22</f>
        <v>2822</v>
      </c>
      <c r="C25" s="0" t="n">
        <f aca="false">dummy_variables!G22</f>
        <v>0.231</v>
      </c>
      <c r="D25" s="0" t="n">
        <f aca="false">dummy_variables!I22</f>
        <v>84.8</v>
      </c>
      <c r="E25" s="0" t="n">
        <f aca="false">dummy_variables!J22</f>
        <v>6.95</v>
      </c>
      <c r="F25" s="0" t="n">
        <f aca="false">dummy_variables!K22</f>
        <v>0</v>
      </c>
      <c r="G25" s="0" t="n">
        <f aca="false">dummy_variables!L22</f>
        <v>5</v>
      </c>
      <c r="H25" s="0" t="n">
        <f aca="false">dummy_variables!O22</f>
        <v>1</v>
      </c>
      <c r="I25" s="0" t="n">
        <f aca="false">dummy_variables!P22</f>
        <v>0</v>
      </c>
      <c r="J25" s="0" t="n">
        <f aca="false">dummy_variables!Q22</f>
        <v>0</v>
      </c>
      <c r="K25" s="0" t="n">
        <f aca="false">dummy_variables!R22</f>
        <v>0</v>
      </c>
      <c r="L25" s="0" t="n">
        <f aca="false">dummy_variables!S22</f>
        <v>0</v>
      </c>
      <c r="M25" s="0" t="n">
        <f aca="false">dummy_variables!T22</f>
        <v>1</v>
      </c>
      <c r="N25" s="0" t="n">
        <f aca="false">dummy_variables!M22</f>
        <v>415721.82</v>
      </c>
    </row>
    <row r="26" customFormat="false" ht="15" hidden="false" customHeight="false" outlineLevel="0" collapsed="false">
      <c r="A26" s="0" t="n">
        <f aca="false">dummy_variables!E23</f>
        <v>33518.88</v>
      </c>
      <c r="B26" s="0" t="n">
        <f aca="false">dummy_variables!F23</f>
        <v>2121</v>
      </c>
      <c r="C26" s="0" t="n">
        <f aca="false">dummy_variables!G23</f>
        <v>0.176</v>
      </c>
      <c r="D26" s="0" t="n">
        <f aca="false">dummy_variables!I23</f>
        <v>88.5</v>
      </c>
      <c r="E26" s="0" t="n">
        <f aca="false">dummy_variables!J23</f>
        <v>0.2</v>
      </c>
      <c r="F26" s="0" t="n">
        <f aca="false">dummy_variables!K23</f>
        <v>0</v>
      </c>
      <c r="G26" s="0" t="n">
        <f aca="false">dummy_variables!L23</f>
        <v>5</v>
      </c>
      <c r="H26" s="0" t="n">
        <f aca="false">dummy_variables!O23</f>
        <v>1</v>
      </c>
      <c r="I26" s="0" t="n">
        <f aca="false">dummy_variables!P23</f>
        <v>0</v>
      </c>
      <c r="J26" s="0" t="n">
        <f aca="false">dummy_variables!Q23</f>
        <v>0</v>
      </c>
      <c r="K26" s="0" t="n">
        <f aca="false">dummy_variables!R23</f>
        <v>0</v>
      </c>
      <c r="L26" s="0" t="n">
        <f aca="false">dummy_variables!S23</f>
        <v>0</v>
      </c>
      <c r="M26" s="0" t="n">
        <f aca="false">dummy_variables!T23</f>
        <v>1</v>
      </c>
      <c r="N26" s="0" t="n">
        <f aca="false">dummy_variables!M23</f>
        <v>491905.13</v>
      </c>
    </row>
    <row r="27" customFormat="false" ht="15" hidden="false" customHeight="false" outlineLevel="0" collapsed="false">
      <c r="A27" s="0" t="n">
        <f aca="false">dummy_variables!E24</f>
        <v>42267.37</v>
      </c>
      <c r="B27" s="0" t="n">
        <f aca="false">dummy_variables!F24</f>
        <v>3364</v>
      </c>
      <c r="C27" s="0" t="n">
        <f aca="false">dummy_variables!G24</f>
        <v>0.16</v>
      </c>
      <c r="D27" s="0" t="n">
        <f aca="false">dummy_variables!I24</f>
        <v>82</v>
      </c>
      <c r="E27" s="0" t="n">
        <f aca="false">dummy_variables!J24</f>
        <v>1.61</v>
      </c>
      <c r="F27" s="0" t="n">
        <f aca="false">dummy_variables!K24</f>
        <v>1</v>
      </c>
      <c r="G27" s="0" t="n">
        <f aca="false">dummy_variables!L24</f>
        <v>4.6</v>
      </c>
      <c r="H27" s="0" t="n">
        <f aca="false">dummy_variables!O24</f>
        <v>1</v>
      </c>
      <c r="I27" s="0" t="n">
        <f aca="false">dummy_variables!P24</f>
        <v>0</v>
      </c>
      <c r="J27" s="0" t="n">
        <f aca="false">dummy_variables!Q24</f>
        <v>0</v>
      </c>
      <c r="K27" s="0" t="n">
        <f aca="false">dummy_variables!R24</f>
        <v>0</v>
      </c>
      <c r="L27" s="0" t="n">
        <f aca="false">dummy_variables!S24</f>
        <v>0</v>
      </c>
      <c r="M27" s="0" t="n">
        <f aca="false">dummy_variables!T24</f>
        <v>1</v>
      </c>
      <c r="N27" s="0" t="n">
        <f aca="false">dummy_variables!M24</f>
        <v>555929.4</v>
      </c>
    </row>
    <row r="28" customFormat="false" ht="15" hidden="false" customHeight="false" outlineLevel="0" collapsed="false">
      <c r="A28" s="0" t="n">
        <f aca="false">dummy_variables!E25</f>
        <v>62060.43</v>
      </c>
      <c r="B28" s="0" t="n">
        <f aca="false">dummy_variables!F25</f>
        <v>2613</v>
      </c>
      <c r="C28" s="0" t="n">
        <f aca="false">dummy_variables!G25</f>
        <v>0.216</v>
      </c>
      <c r="D28" s="0" t="n">
        <f aca="false">dummy_variables!I25</f>
        <v>92.1</v>
      </c>
      <c r="E28" s="0" t="n">
        <f aca="false">dummy_variables!J25</f>
        <v>1.55</v>
      </c>
      <c r="F28" s="0" t="n">
        <f aca="false">dummy_variables!K25</f>
        <v>0</v>
      </c>
      <c r="G28" s="0" t="n">
        <f aca="false">dummy_variables!L25</f>
        <v>4.7</v>
      </c>
      <c r="H28" s="0" t="n">
        <f aca="false">dummy_variables!O25</f>
        <v>1</v>
      </c>
      <c r="I28" s="0" t="n">
        <f aca="false">dummy_variables!P25</f>
        <v>0</v>
      </c>
      <c r="J28" s="0" t="n">
        <f aca="false">dummy_variables!Q25</f>
        <v>0</v>
      </c>
      <c r="K28" s="0" t="n">
        <f aca="false">dummy_variables!R25</f>
        <v>0</v>
      </c>
      <c r="L28" s="0" t="n">
        <f aca="false">dummy_variables!S25</f>
        <v>0</v>
      </c>
      <c r="M28" s="0" t="n">
        <f aca="false">dummy_variables!T25</f>
        <v>1</v>
      </c>
      <c r="N28" s="0" t="n">
        <f aca="false">dummy_variables!M25</f>
        <v>565810.99</v>
      </c>
    </row>
    <row r="29" customFormat="false" ht="15" hidden="false" customHeight="false" outlineLevel="0" collapsed="false">
      <c r="A29" s="0" t="n">
        <f aca="false">dummy_variables!E26</f>
        <v>57696.69</v>
      </c>
      <c r="B29" s="0" t="n">
        <f aca="false">dummy_variables!F26</f>
        <v>10218</v>
      </c>
      <c r="C29" s="0" t="n">
        <f aca="false">dummy_variables!G26</f>
        <v>0.121</v>
      </c>
      <c r="D29" s="0" t="n">
        <f aca="false">dummy_variables!I26</f>
        <v>94.8</v>
      </c>
      <c r="E29" s="0" t="n">
        <f aca="false">dummy_variables!J26</f>
        <v>2.99</v>
      </c>
      <c r="F29" s="0" t="n">
        <f aca="false">dummy_variables!K26</f>
        <v>0</v>
      </c>
      <c r="G29" s="0" t="n">
        <f aca="false">dummy_variables!L26</f>
        <v>3.5</v>
      </c>
      <c r="H29" s="0" t="n">
        <f aca="false">dummy_variables!O26</f>
        <v>0</v>
      </c>
      <c r="I29" s="0" t="n">
        <f aca="false">dummy_variables!P26</f>
        <v>0</v>
      </c>
      <c r="J29" s="0" t="n">
        <f aca="false">dummy_variables!Q26</f>
        <v>1</v>
      </c>
      <c r="K29" s="0" t="n">
        <f aca="false">dummy_variables!R26</f>
        <v>0</v>
      </c>
      <c r="L29" s="0" t="n">
        <f aca="false">dummy_variables!S26</f>
        <v>1</v>
      </c>
      <c r="M29" s="0" t="n">
        <f aca="false">dummy_variables!T26</f>
        <v>0</v>
      </c>
      <c r="N29" s="0" t="n">
        <f aca="false">dummy_variables!M26</f>
        <v>811771.14</v>
      </c>
    </row>
    <row r="30" customFormat="false" ht="15" hidden="false" customHeight="false" outlineLevel="0" collapsed="false">
      <c r="A30" s="0" t="n">
        <f aca="false">dummy_variables!E27</f>
        <v>172415.52</v>
      </c>
      <c r="B30" s="0" t="n">
        <f aca="false">dummy_variables!F27</f>
        <v>8927</v>
      </c>
      <c r="C30" s="0" t="n">
        <f aca="false">dummy_variables!G27</f>
        <v>0.14</v>
      </c>
      <c r="D30" s="0" t="n">
        <f aca="false">dummy_variables!I27</f>
        <v>86.2</v>
      </c>
      <c r="E30" s="0" t="n">
        <f aca="false">dummy_variables!J27</f>
        <v>7.04</v>
      </c>
      <c r="F30" s="0" t="n">
        <f aca="false">dummy_variables!K27</f>
        <v>0</v>
      </c>
      <c r="G30" s="0" t="n">
        <f aca="false">dummy_variables!L27</f>
        <v>3.9</v>
      </c>
      <c r="H30" s="0" t="n">
        <f aca="false">dummy_variables!O27</f>
        <v>0</v>
      </c>
      <c r="I30" s="0" t="n">
        <f aca="false">dummy_variables!P27</f>
        <v>0</v>
      </c>
      <c r="J30" s="0" t="n">
        <f aca="false">dummy_variables!Q27</f>
        <v>1</v>
      </c>
      <c r="K30" s="0" t="n">
        <f aca="false">dummy_variables!R27</f>
        <v>0</v>
      </c>
      <c r="L30" s="0" t="n">
        <f aca="false">dummy_variables!S27</f>
        <v>1</v>
      </c>
      <c r="M30" s="0" t="n">
        <f aca="false">dummy_variables!T27</f>
        <v>0</v>
      </c>
      <c r="N30" s="0" t="n">
        <f aca="false">dummy_variables!M27</f>
        <v>800451.94</v>
      </c>
    </row>
    <row r="31" customFormat="false" ht="15" hidden="false" customHeight="false" outlineLevel="0" collapsed="false">
      <c r="A31" s="0" t="n">
        <f aca="false">dummy_variables!E28</f>
        <v>55270.52</v>
      </c>
      <c r="B31" s="0" t="n">
        <f aca="false">dummy_variables!F28</f>
        <v>9315</v>
      </c>
      <c r="C31" s="0" t="n">
        <f aca="false">dummy_variables!G28</f>
        <v>0.169</v>
      </c>
      <c r="D31" s="0" t="n">
        <f aca="false">dummy_variables!I28</f>
        <v>91.9</v>
      </c>
      <c r="E31" s="0" t="n">
        <f aca="false">dummy_variables!J28</f>
        <v>4.94</v>
      </c>
      <c r="F31" s="0" t="n">
        <f aca="false">dummy_variables!K28</f>
        <v>0</v>
      </c>
      <c r="G31" s="0" t="n">
        <f aca="false">dummy_variables!L28</f>
        <v>4</v>
      </c>
      <c r="H31" s="0" t="n">
        <f aca="false">dummy_variables!O28</f>
        <v>0</v>
      </c>
      <c r="I31" s="0" t="n">
        <f aca="false">dummy_variables!P28</f>
        <v>0</v>
      </c>
      <c r="J31" s="0" t="n">
        <f aca="false">dummy_variables!Q28</f>
        <v>1</v>
      </c>
      <c r="K31" s="0" t="n">
        <f aca="false">dummy_variables!R28</f>
        <v>0</v>
      </c>
      <c r="L31" s="0" t="n">
        <f aca="false">dummy_variables!S28</f>
        <v>1</v>
      </c>
      <c r="M31" s="0" t="n">
        <f aca="false">dummy_variables!T28</f>
        <v>0</v>
      </c>
      <c r="N31" s="0" t="n">
        <f aca="false">dummy_variables!M28</f>
        <v>783672.82</v>
      </c>
    </row>
    <row r="32" customFormat="false" ht="15" hidden="false" customHeight="false" outlineLevel="0" collapsed="false">
      <c r="A32" s="0" t="n">
        <f aca="false">dummy_variables!E29</f>
        <v>52715.1</v>
      </c>
      <c r="B32" s="0" t="n">
        <f aca="false">dummy_variables!F29</f>
        <v>7223</v>
      </c>
      <c r="C32" s="0" t="n">
        <f aca="false">dummy_variables!G29</f>
        <v>0.122</v>
      </c>
      <c r="D32" s="0" t="n">
        <f aca="false">dummy_variables!I29</f>
        <v>84.2</v>
      </c>
      <c r="E32" s="0" t="n">
        <f aca="false">dummy_variables!J29</f>
        <v>16.15</v>
      </c>
      <c r="F32" s="0" t="n">
        <f aca="false">dummy_variables!K29</f>
        <v>0</v>
      </c>
      <c r="G32" s="0" t="n">
        <f aca="false">dummy_variables!L29</f>
        <v>3.7</v>
      </c>
      <c r="H32" s="0" t="n">
        <f aca="false">dummy_variables!O29</f>
        <v>0</v>
      </c>
      <c r="I32" s="0" t="n">
        <f aca="false">dummy_variables!P29</f>
        <v>0</v>
      </c>
      <c r="J32" s="0" t="n">
        <f aca="false">dummy_variables!Q29</f>
        <v>1</v>
      </c>
      <c r="K32" s="0" t="n">
        <f aca="false">dummy_variables!R29</f>
        <v>0</v>
      </c>
      <c r="L32" s="0" t="n">
        <f aca="false">dummy_variables!S29</f>
        <v>1</v>
      </c>
      <c r="M32" s="0" t="n">
        <f aca="false">dummy_variables!T29</f>
        <v>0</v>
      </c>
      <c r="N32" s="0" t="n">
        <f aca="false">dummy_variables!M29</f>
        <v>701641.97</v>
      </c>
    </row>
    <row r="33" customFormat="false" ht="15" hidden="false" customHeight="false" outlineLevel="0" collapsed="false">
      <c r="A33" s="0" t="n">
        <f aca="false">dummy_variables!E30</f>
        <v>68600.62</v>
      </c>
      <c r="B33" s="0" t="n">
        <f aca="false">dummy_variables!F30</f>
        <v>3988</v>
      </c>
      <c r="C33" s="0" t="n">
        <f aca="false">dummy_variables!G30</f>
        <v>0.124</v>
      </c>
      <c r="D33" s="0" t="n">
        <f aca="false">dummy_variables!I30</f>
        <v>85</v>
      </c>
      <c r="E33" s="0" t="n">
        <f aca="false">dummy_variables!J30</f>
        <v>0.48</v>
      </c>
      <c r="F33" s="0" t="n">
        <f aca="false">dummy_variables!K30</f>
        <v>0</v>
      </c>
      <c r="G33" s="0" t="n">
        <f aca="false">dummy_variables!L30</f>
        <v>3.6</v>
      </c>
      <c r="H33" s="0" t="n">
        <f aca="false">dummy_variables!O30</f>
        <v>0</v>
      </c>
      <c r="I33" s="0" t="n">
        <f aca="false">dummy_variables!P30</f>
        <v>0</v>
      </c>
      <c r="J33" s="0" t="n">
        <f aca="false">dummy_variables!Q30</f>
        <v>0</v>
      </c>
      <c r="K33" s="0" t="n">
        <f aca="false">dummy_variables!R30</f>
        <v>0</v>
      </c>
      <c r="L33" s="0" t="n">
        <f aca="false">dummy_variables!S30</f>
        <v>0</v>
      </c>
      <c r="M33" s="0" t="n">
        <f aca="false">dummy_variables!T30</f>
        <v>1</v>
      </c>
      <c r="N33" s="0" t="n">
        <f aca="false">dummy_variables!M30</f>
        <v>511844.41</v>
      </c>
    </row>
    <row r="34" customFormat="false" ht="15" hidden="false" customHeight="false" outlineLevel="0" collapsed="false">
      <c r="A34" s="0" t="n">
        <f aca="false">dummy_variables!E31</f>
        <v>63176.73</v>
      </c>
      <c r="B34" s="0" t="n">
        <f aca="false">dummy_variables!F31</f>
        <v>2390</v>
      </c>
      <c r="C34" s="0" t="n">
        <f aca="false">dummy_variables!G31</f>
        <v>0.216</v>
      </c>
      <c r="D34" s="0" t="n">
        <f aca="false">dummy_variables!I31</f>
        <v>87.5</v>
      </c>
      <c r="E34" s="0" t="n">
        <f aca="false">dummy_variables!J31</f>
        <v>0.31</v>
      </c>
      <c r="F34" s="0" t="n">
        <f aca="false">dummy_variables!K31</f>
        <v>0</v>
      </c>
      <c r="G34" s="0" t="n">
        <f aca="false">dummy_variables!L31</f>
        <v>3.1</v>
      </c>
      <c r="H34" s="0" t="n">
        <f aca="false">dummy_variables!O31</f>
        <v>0</v>
      </c>
      <c r="I34" s="0" t="n">
        <f aca="false">dummy_variables!P31</f>
        <v>0</v>
      </c>
      <c r="J34" s="0" t="n">
        <f aca="false">dummy_variables!Q31</f>
        <v>0</v>
      </c>
      <c r="K34" s="0" t="n">
        <f aca="false">dummy_variables!R31</f>
        <v>0</v>
      </c>
      <c r="L34" s="0" t="n">
        <f aca="false">dummy_variables!S31</f>
        <v>0</v>
      </c>
      <c r="M34" s="0" t="n">
        <f aca="false">dummy_variables!T31</f>
        <v>1</v>
      </c>
      <c r="N34" s="0" t="n">
        <f aca="false">dummy_variables!M31</f>
        <v>537383.79</v>
      </c>
    </row>
    <row r="35" customFormat="false" ht="15" hidden="false" customHeight="false" outlineLevel="0" collapsed="false">
      <c r="A35" s="0" t="n">
        <f aca="false">dummy_variables!E32</f>
        <v>44970.08</v>
      </c>
      <c r="B35" s="0" t="n">
        <f aca="false">dummy_variables!F32</f>
        <v>2471</v>
      </c>
      <c r="C35" s="0" t="n">
        <f aca="false">dummy_variables!G32</f>
        <v>0.136</v>
      </c>
      <c r="D35" s="0" t="n">
        <f aca="false">dummy_variables!I32</f>
        <v>87.6</v>
      </c>
      <c r="E35" s="0" t="n">
        <f aca="false">dummy_variables!J32</f>
        <v>3.01</v>
      </c>
      <c r="F35" s="0" t="n">
        <f aca="false">dummy_variables!K32</f>
        <v>1</v>
      </c>
      <c r="G35" s="0" t="n">
        <f aca="false">dummy_variables!L32</f>
        <v>3.7</v>
      </c>
      <c r="H35" s="0" t="n">
        <f aca="false">dummy_variables!O32</f>
        <v>0</v>
      </c>
      <c r="I35" s="0" t="n">
        <f aca="false">dummy_variables!P32</f>
        <v>0</v>
      </c>
      <c r="J35" s="0" t="n">
        <f aca="false">dummy_variables!Q32</f>
        <v>0</v>
      </c>
      <c r="K35" s="0" t="n">
        <f aca="false">dummy_variables!R32</f>
        <v>0</v>
      </c>
      <c r="L35" s="0" t="n">
        <f aca="false">dummy_variables!S32</f>
        <v>0</v>
      </c>
      <c r="M35" s="0" t="n">
        <f aca="false">dummy_variables!T32</f>
        <v>1</v>
      </c>
      <c r="N35" s="0" t="n">
        <f aca="false">dummy_variables!M32</f>
        <v>500173.02</v>
      </c>
    </row>
    <row r="36" customFormat="false" ht="15" hidden="false" customHeight="false" outlineLevel="0" collapsed="false">
      <c r="A36" s="0" t="n">
        <f aca="false">dummy_variables!E33</f>
        <v>69816.35</v>
      </c>
      <c r="B36" s="0" t="n">
        <f aca="false">dummy_variables!F33</f>
        <v>971</v>
      </c>
      <c r="C36" s="0" t="n">
        <f aca="false">dummy_variables!G33</f>
        <v>0.168</v>
      </c>
      <c r="D36" s="0" t="n">
        <f aca="false">dummy_variables!I33</f>
        <v>89.9</v>
      </c>
      <c r="E36" s="0" t="n">
        <f aca="false">dummy_variables!J33</f>
        <v>12.15</v>
      </c>
      <c r="F36" s="0" t="n">
        <f aca="false">dummy_variables!K33</f>
        <v>0</v>
      </c>
      <c r="G36" s="0" t="n">
        <f aca="false">dummy_variables!L33</f>
        <v>3.6</v>
      </c>
      <c r="H36" s="0" t="n">
        <f aca="false">dummy_variables!O33</f>
        <v>0</v>
      </c>
      <c r="I36" s="0" t="n">
        <f aca="false">dummy_variables!P33</f>
        <v>0</v>
      </c>
      <c r="J36" s="0" t="n">
        <f aca="false">dummy_variables!Q33</f>
        <v>0</v>
      </c>
      <c r="K36" s="0" t="n">
        <f aca="false">dummy_variables!R33</f>
        <v>0</v>
      </c>
      <c r="L36" s="0" t="n">
        <f aca="false">dummy_variables!S33</f>
        <v>0</v>
      </c>
      <c r="M36" s="0" t="n">
        <f aca="false">dummy_variables!T33</f>
        <v>1</v>
      </c>
      <c r="N36" s="0" t="n">
        <f aca="false">dummy_variables!M33</f>
        <v>427917.38</v>
      </c>
    </row>
    <row r="37" customFormat="false" ht="15" hidden="false" customHeight="false" outlineLevel="0" collapsed="false">
      <c r="A37" s="0" t="n">
        <f aca="false">dummy_variables!E34</f>
        <v>54597.83</v>
      </c>
      <c r="B37" s="0" t="n">
        <f aca="false">dummy_variables!F34</f>
        <v>9429</v>
      </c>
      <c r="C37" s="0" t="n">
        <f aca="false">dummy_variables!G34</f>
        <v>0.188</v>
      </c>
      <c r="D37" s="0" t="n">
        <f aca="false">dummy_variables!I34</f>
        <v>83.3</v>
      </c>
      <c r="E37" s="0" t="n">
        <f aca="false">dummy_variables!J34</f>
        <v>11.71</v>
      </c>
      <c r="F37" s="0" t="n">
        <f aca="false">dummy_variables!K34</f>
        <v>0</v>
      </c>
      <c r="G37" s="0" t="n">
        <f aca="false">dummy_variables!L34</f>
        <v>4.2</v>
      </c>
      <c r="H37" s="0" t="n">
        <f aca="false">dummy_variables!O34</f>
        <v>1</v>
      </c>
      <c r="I37" s="0" t="n">
        <f aca="false">dummy_variables!P34</f>
        <v>0</v>
      </c>
      <c r="J37" s="0" t="n">
        <f aca="false">dummy_variables!Q34</f>
        <v>0</v>
      </c>
      <c r="K37" s="0" t="n">
        <f aca="false">dummy_variables!R34</f>
        <v>0</v>
      </c>
      <c r="L37" s="0" t="n">
        <f aca="false">dummy_variables!S34</f>
        <v>0</v>
      </c>
      <c r="M37" s="0" t="n">
        <f aca="false">dummy_variables!T34</f>
        <v>1</v>
      </c>
      <c r="N37" s="0" t="n">
        <f aca="false">dummy_variables!M34</f>
        <v>641865.03</v>
      </c>
    </row>
    <row r="38" customFormat="false" ht="15" hidden="false" customHeight="false" outlineLevel="0" collapsed="false">
      <c r="A38" s="0" t="n">
        <f aca="false">dummy_variables!E35</f>
        <v>73771.91</v>
      </c>
      <c r="B38" s="0" t="n">
        <f aca="false">dummy_variables!F35</f>
        <v>11695</v>
      </c>
      <c r="C38" s="0" t="n">
        <f aca="false">dummy_variables!G35</f>
        <v>0.07</v>
      </c>
      <c r="D38" s="0" t="n">
        <f aca="false">dummy_variables!I35</f>
        <v>84.7</v>
      </c>
      <c r="E38" s="0" t="n">
        <f aca="false">dummy_variables!J35</f>
        <v>0.62</v>
      </c>
      <c r="F38" s="0" t="n">
        <f aca="false">dummy_variables!K35</f>
        <v>0</v>
      </c>
      <c r="G38" s="0" t="n">
        <f aca="false">dummy_variables!L35</f>
        <v>3.9</v>
      </c>
      <c r="H38" s="0" t="n">
        <f aca="false">dummy_variables!O35</f>
        <v>1</v>
      </c>
      <c r="I38" s="0" t="n">
        <f aca="false">dummy_variables!P35</f>
        <v>0</v>
      </c>
      <c r="J38" s="0" t="n">
        <f aca="false">dummy_variables!Q35</f>
        <v>0</v>
      </c>
      <c r="K38" s="0" t="n">
        <f aca="false">dummy_variables!R35</f>
        <v>0</v>
      </c>
      <c r="L38" s="0" t="n">
        <f aca="false">dummy_variables!S35</f>
        <v>0</v>
      </c>
      <c r="M38" s="0" t="n">
        <f aca="false">dummy_variables!T35</f>
        <v>1</v>
      </c>
      <c r="N38" s="0" t="n">
        <f aca="false">dummy_variables!M35</f>
        <v>799477.76</v>
      </c>
    </row>
    <row r="39" customFormat="false" ht="15" hidden="false" customHeight="false" outlineLevel="0" collapsed="false">
      <c r="A39" s="0" t="n">
        <f aca="false">dummy_variables!E36</f>
        <v>74413.88</v>
      </c>
      <c r="B39" s="0" t="n">
        <f aca="false">dummy_variables!F36</f>
        <v>9449</v>
      </c>
      <c r="C39" s="0" t="n">
        <f aca="false">dummy_variables!G36</f>
        <v>0.039</v>
      </c>
      <c r="D39" s="0" t="n">
        <f aca="false">dummy_variables!I36</f>
        <v>92.1</v>
      </c>
      <c r="E39" s="0" t="n">
        <f aca="false">dummy_variables!J36</f>
        <v>2.12</v>
      </c>
      <c r="F39" s="0" t="n">
        <f aca="false">dummy_variables!K36</f>
        <v>0</v>
      </c>
      <c r="G39" s="0" t="n">
        <f aca="false">dummy_variables!L36</f>
        <v>3.5</v>
      </c>
      <c r="H39" s="0" t="n">
        <f aca="false">dummy_variables!O36</f>
        <v>1</v>
      </c>
      <c r="I39" s="0" t="n">
        <f aca="false">dummy_variables!P36</f>
        <v>0</v>
      </c>
      <c r="J39" s="0" t="n">
        <f aca="false">dummy_variables!Q36</f>
        <v>0</v>
      </c>
      <c r="K39" s="0" t="n">
        <f aca="false">dummy_variables!R36</f>
        <v>0</v>
      </c>
      <c r="L39" s="0" t="n">
        <f aca="false">dummy_variables!S36</f>
        <v>0</v>
      </c>
      <c r="M39" s="0" t="n">
        <f aca="false">dummy_variables!T36</f>
        <v>1</v>
      </c>
      <c r="N39" s="0" t="n">
        <f aca="false">dummy_variables!M36</f>
        <v>798952.17</v>
      </c>
    </row>
    <row r="40" customFormat="false" ht="15" hidden="false" customHeight="false" outlineLevel="0" collapsed="false">
      <c r="A40" s="0" t="n">
        <f aca="false">dummy_variables!E37</f>
        <v>52483.77</v>
      </c>
      <c r="B40" s="0" t="n">
        <f aca="false">dummy_variables!F37</f>
        <v>10453</v>
      </c>
      <c r="C40" s="0" t="n">
        <f aca="false">dummy_variables!G37</f>
        <v>0.247</v>
      </c>
      <c r="D40" s="0" t="n">
        <f aca="false">dummy_variables!I37</f>
        <v>99</v>
      </c>
      <c r="E40" s="0" t="n">
        <f aca="false">dummy_variables!J37</f>
        <v>6.31</v>
      </c>
      <c r="F40" s="0" t="n">
        <f aca="false">dummy_variables!K37</f>
        <v>0</v>
      </c>
      <c r="G40" s="0" t="n">
        <f aca="false">dummy_variables!L37</f>
        <v>3.6</v>
      </c>
      <c r="H40" s="0" t="n">
        <f aca="false">dummy_variables!O37</f>
        <v>1</v>
      </c>
      <c r="I40" s="0" t="n">
        <f aca="false">dummy_variables!P37</f>
        <v>0</v>
      </c>
      <c r="J40" s="0" t="n">
        <f aca="false">dummy_variables!Q37</f>
        <v>0</v>
      </c>
      <c r="K40" s="0" t="n">
        <f aca="false">dummy_variables!R37</f>
        <v>0</v>
      </c>
      <c r="L40" s="0" t="n">
        <f aca="false">dummy_variables!S37</f>
        <v>0</v>
      </c>
      <c r="M40" s="0" t="n">
        <f aca="false">dummy_variables!T37</f>
        <v>1</v>
      </c>
      <c r="N40" s="0" t="n">
        <f aca="false">dummy_variables!M37</f>
        <v>800979.78</v>
      </c>
    </row>
    <row r="41" customFormat="false" ht="15" hidden="false" customHeight="false" outlineLevel="0" collapsed="false">
      <c r="A41" s="0" t="n">
        <f aca="false">dummy_variables!E38</f>
        <v>75269.87</v>
      </c>
      <c r="B41" s="0" t="n">
        <f aca="false">dummy_variables!F38</f>
        <v>8838</v>
      </c>
      <c r="C41" s="0" t="n">
        <f aca="false">dummy_variables!G38</f>
        <v>0.092</v>
      </c>
      <c r="D41" s="0" t="n">
        <f aca="false">dummy_variables!I38</f>
        <v>83.1</v>
      </c>
      <c r="E41" s="0" t="n">
        <f aca="false">dummy_variables!J38</f>
        <v>9.56</v>
      </c>
      <c r="F41" s="0" t="n">
        <f aca="false">dummy_variables!K38</f>
        <v>1</v>
      </c>
      <c r="G41" s="0" t="n">
        <f aca="false">dummy_variables!L38</f>
        <v>4.2</v>
      </c>
      <c r="H41" s="0" t="n">
        <f aca="false">dummy_variables!O38</f>
        <v>1</v>
      </c>
      <c r="I41" s="0" t="n">
        <f aca="false">dummy_variables!P38</f>
        <v>0</v>
      </c>
      <c r="J41" s="0" t="n">
        <f aca="false">dummy_variables!Q38</f>
        <v>0</v>
      </c>
      <c r="K41" s="0" t="n">
        <f aca="false">dummy_variables!R38</f>
        <v>0</v>
      </c>
      <c r="L41" s="0" t="n">
        <f aca="false">dummy_variables!S38</f>
        <v>1</v>
      </c>
      <c r="M41" s="0" t="n">
        <f aca="false">dummy_variables!T38</f>
        <v>0</v>
      </c>
      <c r="N41" s="0" t="n">
        <f aca="false">dummy_variables!M38</f>
        <v>820593.93</v>
      </c>
    </row>
    <row r="42" customFormat="false" ht="15" hidden="false" customHeight="false" outlineLevel="0" collapsed="false">
      <c r="A42" s="0" t="n">
        <f aca="false">dummy_variables!E39</f>
        <v>61245.41</v>
      </c>
      <c r="B42" s="0" t="n">
        <f aca="false">dummy_variables!F39</f>
        <v>8156</v>
      </c>
      <c r="C42" s="0" t="n">
        <f aca="false">dummy_variables!G39</f>
        <v>0.156</v>
      </c>
      <c r="D42" s="0" t="n">
        <f aca="false">dummy_variables!I39</f>
        <v>92.9</v>
      </c>
      <c r="E42" s="0" t="n">
        <f aca="false">dummy_variables!J39</f>
        <v>9.05</v>
      </c>
      <c r="F42" s="0" t="n">
        <f aca="false">dummy_variables!K39</f>
        <v>0</v>
      </c>
      <c r="G42" s="0" t="n">
        <f aca="false">dummy_variables!L39</f>
        <v>3.8</v>
      </c>
      <c r="H42" s="0" t="n">
        <f aca="false">dummy_variables!O39</f>
        <v>1</v>
      </c>
      <c r="I42" s="0" t="n">
        <f aca="false">dummy_variables!P39</f>
        <v>0</v>
      </c>
      <c r="J42" s="0" t="n">
        <f aca="false">dummy_variables!Q39</f>
        <v>0</v>
      </c>
      <c r="K42" s="0" t="n">
        <f aca="false">dummy_variables!R39</f>
        <v>0</v>
      </c>
      <c r="L42" s="0" t="n">
        <f aca="false">dummy_variables!S39</f>
        <v>1</v>
      </c>
      <c r="M42" s="0" t="n">
        <f aca="false">dummy_variables!T39</f>
        <v>0</v>
      </c>
      <c r="N42" s="0" t="n">
        <f aca="false">dummy_variables!M39</f>
        <v>718330.53</v>
      </c>
    </row>
    <row r="43" customFormat="false" ht="15" hidden="false" customHeight="false" outlineLevel="0" collapsed="false">
      <c r="A43" s="0" t="n">
        <f aca="false">dummy_variables!E40</f>
        <v>93381.26</v>
      </c>
      <c r="B43" s="0" t="n">
        <f aca="false">dummy_variables!F40</f>
        <v>7562</v>
      </c>
      <c r="C43" s="0" t="n">
        <f aca="false">dummy_variables!G40</f>
        <v>0.198</v>
      </c>
      <c r="D43" s="0" t="n">
        <f aca="false">dummy_variables!I40</f>
        <v>82.9</v>
      </c>
      <c r="E43" s="0" t="n">
        <f aca="false">dummy_variables!J40</f>
        <v>5.05</v>
      </c>
      <c r="F43" s="0" t="n">
        <f aca="false">dummy_variables!K40</f>
        <v>0</v>
      </c>
      <c r="G43" s="0" t="n">
        <f aca="false">dummy_variables!L40</f>
        <v>4</v>
      </c>
      <c r="H43" s="0" t="n">
        <f aca="false">dummy_variables!O40</f>
        <v>1</v>
      </c>
      <c r="I43" s="0" t="n">
        <f aca="false">dummy_variables!P40</f>
        <v>0</v>
      </c>
      <c r="J43" s="0" t="n">
        <f aca="false">dummy_variables!Q40</f>
        <v>0</v>
      </c>
      <c r="K43" s="0" t="n">
        <f aca="false">dummy_variables!R40</f>
        <v>0</v>
      </c>
      <c r="L43" s="0" t="n">
        <f aca="false">dummy_variables!S40</f>
        <v>1</v>
      </c>
      <c r="M43" s="0" t="n">
        <f aca="false">dummy_variables!T40</f>
        <v>0</v>
      </c>
      <c r="N43" s="0" t="n">
        <f aca="false">dummy_variables!M40</f>
        <v>736633.4</v>
      </c>
    </row>
    <row r="44" customFormat="false" ht="15" hidden="false" customHeight="false" outlineLevel="0" collapsed="false">
      <c r="A44" s="0" t="n">
        <f aca="false">dummy_variables!E41</f>
        <v>65012.19</v>
      </c>
      <c r="B44" s="0" t="n">
        <f aca="false">dummy_variables!F41</f>
        <v>9598</v>
      </c>
      <c r="C44" s="0" t="n">
        <f aca="false">dummy_variables!G41</f>
        <v>0.085</v>
      </c>
      <c r="D44" s="0" t="n">
        <f aca="false">dummy_variables!I41</f>
        <v>98.3</v>
      </c>
      <c r="E44" s="0" t="n">
        <f aca="false">dummy_variables!J41</f>
        <v>0.89</v>
      </c>
      <c r="F44" s="0" t="n">
        <f aca="false">dummy_variables!K41</f>
        <v>0</v>
      </c>
      <c r="G44" s="0" t="n">
        <f aca="false">dummy_variables!L41</f>
        <v>3.8</v>
      </c>
      <c r="H44" s="0" t="n">
        <f aca="false">dummy_variables!O41</f>
        <v>1</v>
      </c>
      <c r="I44" s="0" t="n">
        <f aca="false">dummy_variables!P41</f>
        <v>0</v>
      </c>
      <c r="J44" s="0" t="n">
        <f aca="false">dummy_variables!Q41</f>
        <v>0</v>
      </c>
      <c r="K44" s="0" t="n">
        <f aca="false">dummy_variables!R41</f>
        <v>0</v>
      </c>
      <c r="L44" s="0" t="n">
        <f aca="false">dummy_variables!S41</f>
        <v>1</v>
      </c>
      <c r="M44" s="0" t="n">
        <f aca="false">dummy_variables!T41</f>
        <v>0</v>
      </c>
      <c r="N44" s="0" t="n">
        <f aca="false">dummy_variables!M41</f>
        <v>828623.85</v>
      </c>
    </row>
    <row r="45" customFormat="false" ht="15" hidden="false" customHeight="false" outlineLevel="0" collapsed="false">
      <c r="A45" s="0" t="n">
        <f aca="false">dummy_variables!E42</f>
        <v>40462.94</v>
      </c>
      <c r="B45" s="0" t="n">
        <f aca="false">dummy_variables!F42</f>
        <v>3660</v>
      </c>
      <c r="C45" s="0" t="n">
        <f aca="false">dummy_variables!G42</f>
        <v>0.218</v>
      </c>
      <c r="D45" s="0" t="n">
        <f aca="false">dummy_variables!I42</f>
        <v>95.2</v>
      </c>
      <c r="E45" s="0" t="n">
        <f aca="false">dummy_variables!J42</f>
        <v>5.57</v>
      </c>
      <c r="F45" s="0" t="n">
        <f aca="false">dummy_variables!K42</f>
        <v>0</v>
      </c>
      <c r="G45" s="0" t="n">
        <f aca="false">dummy_variables!L42</f>
        <v>4.4</v>
      </c>
      <c r="H45" s="0" t="n">
        <f aca="false">dummy_variables!O42</f>
        <v>0</v>
      </c>
      <c r="I45" s="0" t="n">
        <f aca="false">dummy_variables!P42</f>
        <v>0</v>
      </c>
      <c r="J45" s="0" t="n">
        <f aca="false">dummy_variables!Q42</f>
        <v>0</v>
      </c>
      <c r="K45" s="0" t="n">
        <f aca="false">dummy_variables!R42</f>
        <v>0</v>
      </c>
      <c r="L45" s="0" t="n">
        <f aca="false">dummy_variables!S42</f>
        <v>1</v>
      </c>
      <c r="M45" s="0" t="n">
        <f aca="false">dummy_variables!T42</f>
        <v>0</v>
      </c>
      <c r="N45" s="0" t="n">
        <f aca="false">dummy_variables!M42</f>
        <v>592195.85</v>
      </c>
    </row>
    <row r="46" customFormat="false" ht="15" hidden="false" customHeight="false" outlineLevel="0" collapsed="false">
      <c r="A46" s="0" t="n">
        <f aca="false">dummy_variables!E43</f>
        <v>46123.88</v>
      </c>
      <c r="B46" s="0" t="n">
        <f aca="false">dummy_variables!F43</f>
        <v>3227</v>
      </c>
      <c r="C46" s="0" t="n">
        <f aca="false">dummy_variables!G43</f>
        <v>0.143</v>
      </c>
      <c r="D46" s="0" t="n">
        <f aca="false">dummy_variables!I43</f>
        <v>75.4</v>
      </c>
      <c r="E46" s="0" t="n">
        <f aca="false">dummy_variables!J43</f>
        <v>1.06</v>
      </c>
      <c r="F46" s="0" t="n">
        <f aca="false">dummy_variables!K43</f>
        <v>0</v>
      </c>
      <c r="G46" s="0" t="n">
        <f aca="false">dummy_variables!L43</f>
        <v>4.4</v>
      </c>
      <c r="H46" s="0" t="n">
        <f aca="false">dummy_variables!O43</f>
        <v>0</v>
      </c>
      <c r="I46" s="0" t="n">
        <f aca="false">dummy_variables!P43</f>
        <v>0</v>
      </c>
      <c r="J46" s="0" t="n">
        <f aca="false">dummy_variables!Q43</f>
        <v>0</v>
      </c>
      <c r="K46" s="0" t="n">
        <f aca="false">dummy_variables!R43</f>
        <v>0</v>
      </c>
      <c r="L46" s="0" t="n">
        <f aca="false">dummy_variables!S43</f>
        <v>1</v>
      </c>
      <c r="M46" s="0" t="n">
        <f aca="false">dummy_variables!T43</f>
        <v>0</v>
      </c>
      <c r="N46" s="0" t="n">
        <f aca="false">dummy_variables!M43</f>
        <v>532644.46</v>
      </c>
    </row>
    <row r="47" customFormat="false" ht="15" hidden="false" customHeight="false" outlineLevel="0" collapsed="false">
      <c r="A47" s="0" t="n">
        <f aca="false">dummy_variables!E44</f>
        <v>68077.54</v>
      </c>
      <c r="B47" s="0" t="n">
        <f aca="false">dummy_variables!F44</f>
        <v>3360</v>
      </c>
      <c r="C47" s="0" t="n">
        <f aca="false">dummy_variables!G44</f>
        <v>0.128</v>
      </c>
      <c r="D47" s="0" t="n">
        <f aca="false">dummy_variables!I44</f>
        <v>88.2</v>
      </c>
      <c r="E47" s="0" t="n">
        <f aca="false">dummy_variables!J44</f>
        <v>1.24</v>
      </c>
      <c r="F47" s="0" t="n">
        <f aca="false">dummy_variables!K44</f>
        <v>1</v>
      </c>
      <c r="G47" s="0" t="n">
        <f aca="false">dummy_variables!L44</f>
        <v>4</v>
      </c>
      <c r="H47" s="0" t="n">
        <f aca="false">dummy_variables!O44</f>
        <v>0</v>
      </c>
      <c r="I47" s="0" t="n">
        <f aca="false">dummy_variables!P44</f>
        <v>0</v>
      </c>
      <c r="J47" s="0" t="n">
        <f aca="false">dummy_variables!Q44</f>
        <v>0</v>
      </c>
      <c r="K47" s="0" t="n">
        <f aca="false">dummy_variables!R44</f>
        <v>0</v>
      </c>
      <c r="L47" s="0" t="n">
        <f aca="false">dummy_variables!S44</f>
        <v>1</v>
      </c>
      <c r="M47" s="0" t="n">
        <f aca="false">dummy_variables!T44</f>
        <v>0</v>
      </c>
      <c r="N47" s="0" t="n">
        <f aca="false">dummy_variables!M44</f>
        <v>657429.18</v>
      </c>
    </row>
    <row r="48" customFormat="false" ht="15" hidden="false" customHeight="false" outlineLevel="0" collapsed="false">
      <c r="A48" s="0" t="n">
        <f aca="false">dummy_variables!E45</f>
        <v>64882.14</v>
      </c>
      <c r="B48" s="0" t="n">
        <f aca="false">dummy_variables!F45</f>
        <v>3642</v>
      </c>
      <c r="C48" s="0" t="n">
        <f aca="false">dummy_variables!G45</f>
        <v>0.019</v>
      </c>
      <c r="D48" s="0" t="n">
        <f aca="false">dummy_variables!I45</f>
        <v>87.8</v>
      </c>
      <c r="E48" s="0" t="n">
        <f aca="false">dummy_variables!J45</f>
        <v>4.52</v>
      </c>
      <c r="F48" s="0" t="n">
        <f aca="false">dummy_variables!K45</f>
        <v>0</v>
      </c>
      <c r="G48" s="0" t="n">
        <f aca="false">dummy_variables!L45</f>
        <v>4.2</v>
      </c>
      <c r="H48" s="0" t="n">
        <f aca="false">dummy_variables!O45</f>
        <v>0</v>
      </c>
      <c r="I48" s="0" t="n">
        <f aca="false">dummy_variables!P45</f>
        <v>0</v>
      </c>
      <c r="J48" s="0" t="n">
        <f aca="false">dummy_variables!Q45</f>
        <v>0</v>
      </c>
      <c r="K48" s="0" t="n">
        <f aca="false">dummy_variables!R45</f>
        <v>0</v>
      </c>
      <c r="L48" s="0" t="n">
        <f aca="false">dummy_variables!S45</f>
        <v>1</v>
      </c>
      <c r="M48" s="0" t="n">
        <f aca="false">dummy_variables!T45</f>
        <v>0</v>
      </c>
      <c r="N48" s="0" t="n">
        <f aca="false">dummy_variables!M45</f>
        <v>605178</v>
      </c>
    </row>
    <row r="49" customFormat="false" ht="15" hidden="false" customHeight="false" outlineLevel="0" collapsed="false">
      <c r="A49" s="0" t="n">
        <f aca="false">dummy_variables!E46</f>
        <v>138855.51</v>
      </c>
      <c r="B49" s="0" t="n">
        <f aca="false">dummy_variables!F46</f>
        <v>5145</v>
      </c>
      <c r="C49" s="0" t="n">
        <f aca="false">dummy_variables!G46</f>
        <v>0.06</v>
      </c>
      <c r="D49" s="0" t="n">
        <f aca="false">dummy_variables!I46</f>
        <v>88.2</v>
      </c>
      <c r="E49" s="0" t="n">
        <f aca="false">dummy_variables!J46</f>
        <v>9.58</v>
      </c>
      <c r="F49" s="0" t="n">
        <f aca="false">dummy_variables!K46</f>
        <v>0</v>
      </c>
      <c r="G49" s="0" t="n">
        <f aca="false">dummy_variables!L46</f>
        <v>3.2</v>
      </c>
      <c r="H49" s="0" t="n">
        <f aca="false">dummy_variables!O46</f>
        <v>0</v>
      </c>
      <c r="I49" s="0" t="n">
        <f aca="false">dummy_variables!P46</f>
        <v>0</v>
      </c>
      <c r="J49" s="0" t="n">
        <f aca="false">dummy_variables!Q46</f>
        <v>1</v>
      </c>
      <c r="K49" s="0" t="n">
        <f aca="false">dummy_variables!R46</f>
        <v>0</v>
      </c>
      <c r="L49" s="0" t="n">
        <f aca="false">dummy_variables!S46</f>
        <v>0</v>
      </c>
      <c r="M49" s="0" t="n">
        <f aca="false">dummy_variables!T46</f>
        <v>1</v>
      </c>
      <c r="N49" s="0" t="n">
        <f aca="false">dummy_variables!M46</f>
        <v>595467.6</v>
      </c>
    </row>
    <row r="50" customFormat="false" ht="15" hidden="false" customHeight="false" outlineLevel="0" collapsed="false">
      <c r="A50" s="0" t="n">
        <f aca="false">dummy_variables!E47</f>
        <v>63630.21</v>
      </c>
      <c r="B50" s="0" t="n">
        <f aca="false">dummy_variables!F47</f>
        <v>4460</v>
      </c>
      <c r="C50" s="0" t="n">
        <f aca="false">dummy_variables!G47</f>
        <v>0.235</v>
      </c>
      <c r="D50" s="0" t="n">
        <f aca="false">dummy_variables!I47</f>
        <v>98.6</v>
      </c>
      <c r="E50" s="0" t="n">
        <f aca="false">dummy_variables!J47</f>
        <v>5.52</v>
      </c>
      <c r="F50" s="0" t="n">
        <f aca="false">dummy_variables!K47</f>
        <v>0</v>
      </c>
      <c r="G50" s="0" t="n">
        <f aca="false">dummy_variables!L47</f>
        <v>3.5</v>
      </c>
      <c r="H50" s="0" t="n">
        <f aca="false">dummy_variables!O47</f>
        <v>0</v>
      </c>
      <c r="I50" s="0" t="n">
        <f aca="false">dummy_variables!P47</f>
        <v>0</v>
      </c>
      <c r="J50" s="0" t="n">
        <f aca="false">dummy_variables!Q47</f>
        <v>1</v>
      </c>
      <c r="K50" s="0" t="n">
        <f aca="false">dummy_variables!R47</f>
        <v>0</v>
      </c>
      <c r="L50" s="0" t="n">
        <f aca="false">dummy_variables!S47</f>
        <v>0</v>
      </c>
      <c r="M50" s="0" t="n">
        <f aca="false">dummy_variables!T47</f>
        <v>1</v>
      </c>
      <c r="N50" s="0" t="n">
        <f aca="false">dummy_variables!M47</f>
        <v>599603.4</v>
      </c>
    </row>
    <row r="51" customFormat="false" ht="15" hidden="false" customHeight="false" outlineLevel="0" collapsed="false">
      <c r="A51" s="0" t="n">
        <f aca="false">dummy_variables!E48</f>
        <v>50043.65</v>
      </c>
      <c r="B51" s="0" t="n">
        <f aca="false">dummy_variables!F48</f>
        <v>3804</v>
      </c>
      <c r="C51" s="0" t="n">
        <f aca="false">dummy_variables!G48</f>
        <v>0.113</v>
      </c>
      <c r="D51" s="0" t="n">
        <f aca="false">dummy_variables!I48</f>
        <v>90.9</v>
      </c>
      <c r="E51" s="0" t="n">
        <f aca="false">dummy_variables!J48</f>
        <v>2.7</v>
      </c>
      <c r="F51" s="0" t="n">
        <f aca="false">dummy_variables!K48</f>
        <v>1</v>
      </c>
      <c r="G51" s="0" t="n">
        <f aca="false">dummy_variables!L48</f>
        <v>3.2</v>
      </c>
      <c r="H51" s="0" t="n">
        <f aca="false">dummy_variables!O48</f>
        <v>0</v>
      </c>
      <c r="I51" s="0" t="n">
        <f aca="false">dummy_variables!P48</f>
        <v>0</v>
      </c>
      <c r="J51" s="0" t="n">
        <f aca="false">dummy_variables!Q48</f>
        <v>1</v>
      </c>
      <c r="K51" s="0" t="n">
        <f aca="false">dummy_variables!R48</f>
        <v>0</v>
      </c>
      <c r="L51" s="0" t="n">
        <f aca="false">dummy_variables!S48</f>
        <v>0</v>
      </c>
      <c r="M51" s="0" t="n">
        <f aca="false">dummy_variables!T48</f>
        <v>1</v>
      </c>
      <c r="N51" s="0" t="n">
        <f aca="false">dummy_variables!M48</f>
        <v>614800.09</v>
      </c>
    </row>
    <row r="52" customFormat="false" ht="15" hidden="false" customHeight="false" outlineLevel="0" collapsed="false">
      <c r="A52" s="0" t="n">
        <f aca="false">dummy_variables!E49</f>
        <v>42093.84</v>
      </c>
      <c r="B52" s="0" t="n">
        <f aca="false">dummy_variables!F49</f>
        <v>4074</v>
      </c>
      <c r="C52" s="0" t="n">
        <f aca="false">dummy_variables!G49</f>
        <v>0.155</v>
      </c>
      <c r="D52" s="0" t="n">
        <f aca="false">dummy_variables!I49</f>
        <v>88</v>
      </c>
      <c r="E52" s="0" t="n">
        <f aca="false">dummy_variables!J49</f>
        <v>9.64</v>
      </c>
      <c r="F52" s="0" t="n">
        <f aca="false">dummy_variables!K49</f>
        <v>0</v>
      </c>
      <c r="G52" s="0" t="n">
        <f aca="false">dummy_variables!L49</f>
        <v>3.3</v>
      </c>
      <c r="H52" s="0" t="n">
        <f aca="false">dummy_variables!O49</f>
        <v>0</v>
      </c>
      <c r="I52" s="0" t="n">
        <f aca="false">dummy_variables!P49</f>
        <v>0</v>
      </c>
      <c r="J52" s="0" t="n">
        <f aca="false">dummy_variables!Q49</f>
        <v>1</v>
      </c>
      <c r="K52" s="0" t="n">
        <f aca="false">dummy_variables!R49</f>
        <v>0</v>
      </c>
      <c r="L52" s="0" t="n">
        <f aca="false">dummy_variables!S49</f>
        <v>0</v>
      </c>
      <c r="M52" s="0" t="n">
        <f aca="false">dummy_variables!T49</f>
        <v>1</v>
      </c>
      <c r="N52" s="0" t="n">
        <f aca="false">dummy_variables!M49</f>
        <v>585365.73</v>
      </c>
    </row>
    <row r="53" customFormat="false" ht="15" hidden="false" customHeight="false" outlineLevel="0" collapsed="false">
      <c r="A53" s="0" t="n">
        <f aca="false">dummy_variables!E50</f>
        <v>46624.05</v>
      </c>
      <c r="B53" s="0" t="n">
        <f aca="false">dummy_variables!F50</f>
        <v>5104</v>
      </c>
      <c r="C53" s="0" t="n">
        <f aca="false">dummy_variables!G50</f>
        <v>0.109</v>
      </c>
      <c r="D53" s="0" t="n">
        <f aca="false">dummy_variables!I50</f>
        <v>97.3</v>
      </c>
      <c r="E53" s="0" t="n">
        <f aca="false">dummy_variables!J50</f>
        <v>3.49</v>
      </c>
      <c r="F53" s="0" t="n">
        <f aca="false">dummy_variables!K50</f>
        <v>1</v>
      </c>
      <c r="G53" s="0" t="n">
        <f aca="false">dummy_variables!L50</f>
        <v>4.7</v>
      </c>
      <c r="H53" s="0" t="n">
        <f aca="false">dummy_variables!O50</f>
        <v>1</v>
      </c>
      <c r="I53" s="0" t="n">
        <f aca="false">dummy_variables!P50</f>
        <v>0</v>
      </c>
      <c r="J53" s="0" t="n">
        <f aca="false">dummy_variables!Q50</f>
        <v>0</v>
      </c>
      <c r="K53" s="0" t="n">
        <f aca="false">dummy_variables!R50</f>
        <v>0</v>
      </c>
      <c r="L53" s="0" t="n">
        <f aca="false">dummy_variables!S50</f>
        <v>1</v>
      </c>
      <c r="M53" s="0" t="n">
        <f aca="false">dummy_variables!T50</f>
        <v>0</v>
      </c>
      <c r="N53" s="0" t="n">
        <f aca="false">dummy_variables!M50</f>
        <v>622811.74</v>
      </c>
    </row>
    <row r="54" customFormat="false" ht="15" hidden="false" customHeight="false" outlineLevel="0" collapsed="false">
      <c r="A54" s="0" t="n">
        <f aca="false">dummy_variables!E51</f>
        <v>49710.29</v>
      </c>
      <c r="B54" s="0" t="n">
        <f aca="false">dummy_variables!F51</f>
        <v>5559</v>
      </c>
      <c r="C54" s="0" t="n">
        <f aca="false">dummy_variables!G51</f>
        <v>0.218</v>
      </c>
      <c r="D54" s="0" t="n">
        <f aca="false">dummy_variables!I51</f>
        <v>71</v>
      </c>
      <c r="E54" s="0" t="n">
        <f aca="false">dummy_variables!J51</f>
        <v>9.11</v>
      </c>
      <c r="F54" s="0" t="n">
        <f aca="false">dummy_variables!K51</f>
        <v>0</v>
      </c>
      <c r="G54" s="0" t="n">
        <f aca="false">dummy_variables!L51</f>
        <v>4.6</v>
      </c>
      <c r="H54" s="0" t="n">
        <f aca="false">dummy_variables!O51</f>
        <v>1</v>
      </c>
      <c r="I54" s="0" t="n">
        <f aca="false">dummy_variables!P51</f>
        <v>0</v>
      </c>
      <c r="J54" s="0" t="n">
        <f aca="false">dummy_variables!Q51</f>
        <v>0</v>
      </c>
      <c r="K54" s="0" t="n">
        <f aca="false">dummy_variables!R51</f>
        <v>0</v>
      </c>
      <c r="L54" s="0" t="n">
        <f aca="false">dummy_variables!S51</f>
        <v>1</v>
      </c>
      <c r="M54" s="0" t="n">
        <f aca="false">dummy_variables!T51</f>
        <v>0</v>
      </c>
      <c r="N54" s="0" t="n">
        <f aca="false">dummy_variables!M51</f>
        <v>603297.57</v>
      </c>
    </row>
    <row r="55" customFormat="false" ht="15" hidden="false" customHeight="false" outlineLevel="0" collapsed="false">
      <c r="A55" s="0" t="n">
        <f aca="false">dummy_variables!E52</f>
        <v>48287.85</v>
      </c>
      <c r="B55" s="0" t="n">
        <f aca="false">dummy_variables!F52</f>
        <v>5150</v>
      </c>
      <c r="C55" s="0" t="n">
        <f aca="false">dummy_variables!G52</f>
        <v>0.008</v>
      </c>
      <c r="D55" s="0" t="n">
        <f aca="false">dummy_variables!I52</f>
        <v>80.4</v>
      </c>
      <c r="E55" s="0" t="n">
        <f aca="false">dummy_variables!J52</f>
        <v>7.4</v>
      </c>
      <c r="F55" s="0" t="n">
        <f aca="false">dummy_variables!K52</f>
        <v>0</v>
      </c>
      <c r="G55" s="0" t="n">
        <f aca="false">dummy_variables!L52</f>
        <v>4.5</v>
      </c>
      <c r="H55" s="0" t="n">
        <f aca="false">dummy_variables!O52</f>
        <v>1</v>
      </c>
      <c r="I55" s="0" t="n">
        <f aca="false">dummy_variables!P52</f>
        <v>0</v>
      </c>
      <c r="J55" s="0" t="n">
        <f aca="false">dummy_variables!Q52</f>
        <v>0</v>
      </c>
      <c r="K55" s="0" t="n">
        <f aca="false">dummy_variables!R52</f>
        <v>0</v>
      </c>
      <c r="L55" s="0" t="n">
        <f aca="false">dummy_variables!S52</f>
        <v>1</v>
      </c>
      <c r="M55" s="0" t="n">
        <f aca="false">dummy_variables!T52</f>
        <v>0</v>
      </c>
      <c r="N55" s="0" t="n">
        <f aca="false">dummy_variables!M52</f>
        <v>625672.86</v>
      </c>
    </row>
    <row r="56" customFormat="false" ht="15" hidden="false" customHeight="false" outlineLevel="0" collapsed="false">
      <c r="A56" s="0" t="n">
        <f aca="false">dummy_variables!E53</f>
        <v>65312.49</v>
      </c>
      <c r="B56" s="0" t="n">
        <f aca="false">dummy_variables!F53</f>
        <v>7189</v>
      </c>
      <c r="C56" s="0" t="n">
        <f aca="false">dummy_variables!G53</f>
        <v>0.05</v>
      </c>
      <c r="D56" s="0" t="n">
        <f aca="false">dummy_variables!I53</f>
        <v>93.7</v>
      </c>
      <c r="E56" s="0" t="n">
        <f aca="false">dummy_variables!J53</f>
        <v>7.16</v>
      </c>
      <c r="F56" s="0" t="n">
        <f aca="false">dummy_variables!K53</f>
        <v>0</v>
      </c>
      <c r="G56" s="0" t="n">
        <f aca="false">dummy_variables!L53</f>
        <v>4.6</v>
      </c>
      <c r="H56" s="0" t="n">
        <f aca="false">dummy_variables!O53</f>
        <v>1</v>
      </c>
      <c r="I56" s="0" t="n">
        <f aca="false">dummy_variables!P53</f>
        <v>0</v>
      </c>
      <c r="J56" s="0" t="n">
        <f aca="false">dummy_variables!Q53</f>
        <v>0</v>
      </c>
      <c r="K56" s="0" t="n">
        <f aca="false">dummy_variables!R53</f>
        <v>0</v>
      </c>
      <c r="L56" s="0" t="n">
        <f aca="false">dummy_variables!S53</f>
        <v>1</v>
      </c>
      <c r="M56" s="0" t="n">
        <f aca="false">dummy_variables!T53</f>
        <v>0</v>
      </c>
      <c r="N56" s="0" t="n">
        <f aca="false">dummy_variables!M53</f>
        <v>773815.14</v>
      </c>
    </row>
    <row r="57" customFormat="false" ht="15" hidden="false" customHeight="false" outlineLevel="0" collapsed="false">
      <c r="A57" s="0" t="n">
        <f aca="false">dummy_variables!E54</f>
        <v>53015.46</v>
      </c>
      <c r="B57" s="0" t="n">
        <f aca="false">dummy_variables!F54</f>
        <v>3279</v>
      </c>
      <c r="C57" s="0" t="n">
        <f aca="false">dummy_variables!G54</f>
        <v>0.087</v>
      </c>
      <c r="D57" s="0" t="n">
        <f aca="false">dummy_variables!I54</f>
        <v>84.3</v>
      </c>
      <c r="E57" s="0" t="n">
        <f aca="false">dummy_variables!J54</f>
        <v>22.02</v>
      </c>
      <c r="F57" s="0" t="n">
        <f aca="false">dummy_variables!K54</f>
        <v>0</v>
      </c>
      <c r="G57" s="0" t="n">
        <f aca="false">dummy_variables!L54</f>
        <v>3.9</v>
      </c>
      <c r="H57" s="0" t="n">
        <f aca="false">dummy_variables!O54</f>
        <v>0</v>
      </c>
      <c r="I57" s="0" t="n">
        <f aca="false">dummy_variables!P54</f>
        <v>0</v>
      </c>
      <c r="J57" s="0" t="n">
        <f aca="false">dummy_variables!Q54</f>
        <v>1</v>
      </c>
      <c r="K57" s="0" t="n">
        <f aca="false">dummy_variables!R54</f>
        <v>0</v>
      </c>
      <c r="L57" s="0" t="n">
        <f aca="false">dummy_variables!S54</f>
        <v>0</v>
      </c>
      <c r="M57" s="0" t="n">
        <f aca="false">dummy_variables!T54</f>
        <v>0</v>
      </c>
      <c r="N57" s="0" t="n">
        <f aca="false">dummy_variables!M54</f>
        <v>463534.25</v>
      </c>
    </row>
    <row r="58" customFormat="false" ht="15" hidden="false" customHeight="false" outlineLevel="0" collapsed="false">
      <c r="A58" s="0" t="n">
        <f aca="false">dummy_variables!E55</f>
        <v>99874.01</v>
      </c>
      <c r="B58" s="0" t="n">
        <f aca="false">dummy_variables!F55</f>
        <v>5887</v>
      </c>
      <c r="C58" s="0" t="n">
        <f aca="false">dummy_variables!G55</f>
        <v>0.262</v>
      </c>
      <c r="D58" s="0" t="n">
        <f aca="false">dummy_variables!I55</f>
        <v>88.7</v>
      </c>
      <c r="E58" s="0" t="n">
        <f aca="false">dummy_variables!J55</f>
        <v>6.18</v>
      </c>
      <c r="F58" s="0" t="n">
        <f aca="false">dummy_variables!K55</f>
        <v>0</v>
      </c>
      <c r="G58" s="0" t="n">
        <f aca="false">dummy_variables!L55</f>
        <v>4.7</v>
      </c>
      <c r="H58" s="0" t="n">
        <f aca="false">dummy_variables!O55</f>
        <v>0</v>
      </c>
      <c r="I58" s="0" t="n">
        <f aca="false">dummy_variables!P55</f>
        <v>0</v>
      </c>
      <c r="J58" s="0" t="n">
        <f aca="false">dummy_variables!Q55</f>
        <v>1</v>
      </c>
      <c r="K58" s="0" t="n">
        <f aca="false">dummy_variables!R55</f>
        <v>0</v>
      </c>
      <c r="L58" s="0" t="n">
        <f aca="false">dummy_variables!S55</f>
        <v>0</v>
      </c>
      <c r="M58" s="0" t="n">
        <f aca="false">dummy_variables!T55</f>
        <v>0</v>
      </c>
      <c r="N58" s="0" t="n">
        <f aca="false">dummy_variables!M55</f>
        <v>746677.75</v>
      </c>
    </row>
    <row r="59" customFormat="false" ht="15" hidden="false" customHeight="false" outlineLevel="0" collapsed="false">
      <c r="A59" s="0" t="n">
        <f aca="false">dummy_variables!E56</f>
        <v>81195.5</v>
      </c>
      <c r="B59" s="0" t="n">
        <f aca="false">dummy_variables!F56</f>
        <v>5516</v>
      </c>
      <c r="C59" s="0" t="n">
        <f aca="false">dummy_variables!G56</f>
        <v>0.106</v>
      </c>
      <c r="D59" s="0" t="n">
        <f aca="false">dummy_variables!I56</f>
        <v>88</v>
      </c>
      <c r="E59" s="0" t="n">
        <f aca="false">dummy_variables!J56</f>
        <v>1.76</v>
      </c>
      <c r="F59" s="0" t="n">
        <f aca="false">dummy_variables!K56</f>
        <v>0</v>
      </c>
      <c r="G59" s="0" t="n">
        <f aca="false">dummy_variables!L56</f>
        <v>4.3</v>
      </c>
      <c r="H59" s="0" t="n">
        <f aca="false">dummy_variables!O56</f>
        <v>0</v>
      </c>
      <c r="I59" s="0" t="n">
        <f aca="false">dummy_variables!P56</f>
        <v>0</v>
      </c>
      <c r="J59" s="0" t="n">
        <f aca="false">dummy_variables!Q56</f>
        <v>1</v>
      </c>
      <c r="K59" s="0" t="n">
        <f aca="false">dummy_variables!R56</f>
        <v>0</v>
      </c>
      <c r="L59" s="0" t="n">
        <f aca="false">dummy_variables!S56</f>
        <v>0</v>
      </c>
      <c r="M59" s="0" t="n">
        <f aca="false">dummy_variables!T56</f>
        <v>0</v>
      </c>
      <c r="N59" s="0" t="n">
        <f aca="false">dummy_variables!M56</f>
        <v>720852.5</v>
      </c>
    </row>
    <row r="60" customFormat="false" ht="15" hidden="false" customHeight="false" outlineLevel="0" collapsed="false">
      <c r="A60" s="0" t="n">
        <f aca="false">dummy_variables!E57</f>
        <v>27808.6</v>
      </c>
      <c r="B60" s="0" t="n">
        <f aca="false">dummy_variables!F57</f>
        <v>2863</v>
      </c>
      <c r="C60" s="0" t="n">
        <f aca="false">dummy_variables!G57</f>
        <v>0.08</v>
      </c>
      <c r="D60" s="0" t="n">
        <f aca="false">dummy_variables!I57</f>
        <v>89.3</v>
      </c>
      <c r="E60" s="0" t="n">
        <f aca="false">dummy_variables!J57</f>
        <v>0.47</v>
      </c>
      <c r="F60" s="0" t="n">
        <f aca="false">dummy_variables!K57</f>
        <v>0</v>
      </c>
      <c r="G60" s="0" t="n">
        <f aca="false">dummy_variables!L57</f>
        <v>4.1</v>
      </c>
      <c r="H60" s="0" t="n">
        <f aca="false">dummy_variables!O57</f>
        <v>0</v>
      </c>
      <c r="I60" s="0" t="n">
        <f aca="false">dummy_variables!P57</f>
        <v>0</v>
      </c>
      <c r="J60" s="0" t="n">
        <f aca="false">dummy_variables!Q57</f>
        <v>1</v>
      </c>
      <c r="K60" s="0" t="n">
        <f aca="false">dummy_variables!R57</f>
        <v>0</v>
      </c>
      <c r="L60" s="0" t="n">
        <f aca="false">dummy_variables!S57</f>
        <v>0</v>
      </c>
      <c r="M60" s="0" t="n">
        <f aca="false">dummy_variables!T57</f>
        <v>0</v>
      </c>
      <c r="N60" s="0" t="n">
        <f aca="false">dummy_variables!M57</f>
        <v>487464.91</v>
      </c>
    </row>
    <row r="61" customFormat="false" ht="15" hidden="false" customHeight="false" outlineLevel="0" collapsed="false">
      <c r="A61" s="0" t="n">
        <f aca="false">dummy_variables!E58</f>
        <v>19365.06</v>
      </c>
      <c r="B61" s="0" t="n">
        <f aca="false">dummy_variables!F58</f>
        <v>2378</v>
      </c>
      <c r="C61" s="0" t="n">
        <f aca="false">dummy_variables!G58</f>
        <v>0</v>
      </c>
      <c r="D61" s="0" t="n">
        <f aca="false">dummy_variables!I58</f>
        <v>94.8</v>
      </c>
      <c r="E61" s="0" t="n">
        <f aca="false">dummy_variables!J58</f>
        <v>0.2</v>
      </c>
      <c r="F61" s="0" t="n">
        <f aca="false">dummy_variables!K58</f>
        <v>0</v>
      </c>
      <c r="G61" s="0" t="n">
        <f aca="false">dummy_variables!L58</f>
        <v>3.5</v>
      </c>
      <c r="H61" s="0" t="n">
        <f aca="false">dummy_variables!O58</f>
        <v>0</v>
      </c>
      <c r="I61" s="0" t="n">
        <f aca="false">dummy_variables!P58</f>
        <v>0</v>
      </c>
      <c r="J61" s="0" t="n">
        <f aca="false">dummy_variables!Q58</f>
        <v>0</v>
      </c>
      <c r="K61" s="0" t="n">
        <f aca="false">dummy_variables!R58</f>
        <v>1</v>
      </c>
      <c r="L61" s="0" t="n">
        <f aca="false">dummy_variables!S58</f>
        <v>0</v>
      </c>
      <c r="M61" s="0" t="n">
        <f aca="false">dummy_variables!T58</f>
        <v>0</v>
      </c>
      <c r="N61" s="0" t="n">
        <f aca="false">dummy_variables!M58</f>
        <v>518049.26</v>
      </c>
    </row>
    <row r="62" customFormat="false" ht="15" hidden="false" customHeight="false" outlineLevel="0" collapsed="false">
      <c r="A62" s="0" t="n">
        <f aca="false">dummy_variables!E59</f>
        <v>59405.68</v>
      </c>
      <c r="B62" s="0" t="n">
        <f aca="false">dummy_variables!F59</f>
        <v>2515</v>
      </c>
      <c r="C62" s="0" t="n">
        <f aca="false">dummy_variables!G59</f>
        <v>0.039</v>
      </c>
      <c r="D62" s="0" t="n">
        <f aca="false">dummy_variables!I59</f>
        <v>76</v>
      </c>
      <c r="E62" s="0" t="n">
        <f aca="false">dummy_variables!J59</f>
        <v>5.11</v>
      </c>
      <c r="F62" s="0" t="n">
        <f aca="false">dummy_variables!K59</f>
        <v>0</v>
      </c>
      <c r="G62" s="0" t="n">
        <f aca="false">dummy_variables!L59</f>
        <v>3.7</v>
      </c>
      <c r="H62" s="0" t="n">
        <f aca="false">dummy_variables!O59</f>
        <v>0</v>
      </c>
      <c r="I62" s="0" t="n">
        <f aca="false">dummy_variables!P59</f>
        <v>0</v>
      </c>
      <c r="J62" s="0" t="n">
        <f aca="false">dummy_variables!Q59</f>
        <v>0</v>
      </c>
      <c r="K62" s="0" t="n">
        <f aca="false">dummy_variables!R59</f>
        <v>1</v>
      </c>
      <c r="L62" s="0" t="n">
        <f aca="false">dummy_variables!S59</f>
        <v>0</v>
      </c>
      <c r="M62" s="0" t="n">
        <f aca="false">dummy_variables!T59</f>
        <v>0</v>
      </c>
      <c r="N62" s="0" t="n">
        <f aca="false">dummy_variables!M59</f>
        <v>500298.48</v>
      </c>
    </row>
    <row r="63" customFormat="false" ht="15" hidden="false" customHeight="false" outlineLevel="0" collapsed="false">
      <c r="A63" s="0" t="n">
        <f aca="false">dummy_variables!E60</f>
        <v>118910.48</v>
      </c>
      <c r="B63" s="0" t="n">
        <f aca="false">dummy_variables!F60</f>
        <v>4022</v>
      </c>
      <c r="C63" s="0" t="n">
        <f aca="false">dummy_variables!G60</f>
        <v>0.137</v>
      </c>
      <c r="D63" s="0" t="n">
        <f aca="false">dummy_variables!I60</f>
        <v>87.1</v>
      </c>
      <c r="E63" s="0" t="n">
        <f aca="false">dummy_variables!J60</f>
        <v>0.2</v>
      </c>
      <c r="F63" s="0" t="n">
        <f aca="false">dummy_variables!K60</f>
        <v>0</v>
      </c>
      <c r="G63" s="0" t="n">
        <f aca="false">dummy_variables!L60</f>
        <v>3.1</v>
      </c>
      <c r="H63" s="0" t="n">
        <f aca="false">dummy_variables!O60</f>
        <v>0</v>
      </c>
      <c r="I63" s="0" t="n">
        <f aca="false">dummy_variables!P60</f>
        <v>0</v>
      </c>
      <c r="J63" s="0" t="n">
        <f aca="false">dummy_variables!Q60</f>
        <v>0</v>
      </c>
      <c r="K63" s="0" t="n">
        <f aca="false">dummy_variables!R60</f>
        <v>1</v>
      </c>
      <c r="L63" s="0" t="n">
        <f aca="false">dummy_variables!S60</f>
        <v>0</v>
      </c>
      <c r="M63" s="0" t="n">
        <f aca="false">dummy_variables!T60</f>
        <v>0</v>
      </c>
      <c r="N63" s="0" t="n">
        <f aca="false">dummy_variables!M60</f>
        <v>617291.15</v>
      </c>
    </row>
    <row r="64" customFormat="false" ht="15" hidden="false" customHeight="false" outlineLevel="0" collapsed="false">
      <c r="A64" s="0" t="n">
        <f aca="false">dummy_variables!E61</f>
        <v>52952.12</v>
      </c>
      <c r="B64" s="0" t="n">
        <f aca="false">dummy_variables!F61</f>
        <v>4377</v>
      </c>
      <c r="C64" s="0" t="n">
        <f aca="false">dummy_variables!G61</f>
        <v>0.092</v>
      </c>
      <c r="D64" s="0" t="n">
        <f aca="false">dummy_variables!I61</f>
        <v>88.6</v>
      </c>
      <c r="E64" s="0" t="n">
        <f aca="false">dummy_variables!J61</f>
        <v>13.59</v>
      </c>
      <c r="F64" s="0" t="n">
        <f aca="false">dummy_variables!K61</f>
        <v>0</v>
      </c>
      <c r="G64" s="0" t="n">
        <f aca="false">dummy_variables!L61</f>
        <v>3.1</v>
      </c>
      <c r="H64" s="0" t="n">
        <f aca="false">dummy_variables!O61</f>
        <v>0</v>
      </c>
      <c r="I64" s="0" t="n">
        <f aca="false">dummy_variables!P61</f>
        <v>0</v>
      </c>
      <c r="J64" s="0" t="n">
        <f aca="false">dummy_variables!Q61</f>
        <v>0</v>
      </c>
      <c r="K64" s="0" t="n">
        <f aca="false">dummy_variables!R61</f>
        <v>1</v>
      </c>
      <c r="L64" s="0" t="n">
        <f aca="false">dummy_variables!S61</f>
        <v>0</v>
      </c>
      <c r="M64" s="0" t="n">
        <f aca="false">dummy_variables!T61</f>
        <v>0</v>
      </c>
      <c r="N64" s="0" t="n">
        <f aca="false">dummy_variables!M61</f>
        <v>553756.43</v>
      </c>
    </row>
    <row r="65" customFormat="false" ht="15" hidden="false" customHeight="false" outlineLevel="0" collapsed="false">
      <c r="A65" s="0" t="n">
        <f aca="false">dummy_variables!E62</f>
        <v>74907.98</v>
      </c>
      <c r="B65" s="0" t="n">
        <f aca="false">dummy_variables!F62</f>
        <v>5306</v>
      </c>
      <c r="C65" s="0" t="n">
        <f aca="false">dummy_variables!G62</f>
        <v>0.062</v>
      </c>
      <c r="D65" s="0" t="n">
        <f aca="false">dummy_variables!I62</f>
        <v>95.6</v>
      </c>
      <c r="E65" s="0" t="n">
        <f aca="false">dummy_variables!J62</f>
        <v>1.02</v>
      </c>
      <c r="F65" s="0" t="n">
        <f aca="false">dummy_variables!K62</f>
        <v>0</v>
      </c>
      <c r="G65" s="0" t="n">
        <f aca="false">dummy_variables!L62</f>
        <v>3.7</v>
      </c>
      <c r="H65" s="0" t="n">
        <f aca="false">dummy_variables!O62</f>
        <v>0</v>
      </c>
      <c r="I65" s="0" t="n">
        <f aca="false">dummy_variables!P62</f>
        <v>1</v>
      </c>
      <c r="J65" s="0" t="n">
        <f aca="false">dummy_variables!Q62</f>
        <v>0</v>
      </c>
      <c r="K65" s="0" t="n">
        <f aca="false">dummy_variables!R62</f>
        <v>0</v>
      </c>
      <c r="L65" s="0" t="n">
        <f aca="false">dummy_variables!S62</f>
        <v>0</v>
      </c>
      <c r="M65" s="0" t="n">
        <f aca="false">dummy_variables!T62</f>
        <v>0</v>
      </c>
      <c r="N65" s="0" t="n">
        <f aca="false">dummy_variables!M62</f>
        <v>749559.71</v>
      </c>
    </row>
    <row r="66" customFormat="false" ht="15" hidden="false" customHeight="false" outlineLevel="0" collapsed="false">
      <c r="A66" s="0" t="n">
        <f aca="false">dummy_variables!E63</f>
        <v>37284.66</v>
      </c>
      <c r="B66" s="0" t="n">
        <f aca="false">dummy_variables!F63</f>
        <v>3928</v>
      </c>
      <c r="C66" s="0" t="n">
        <f aca="false">dummy_variables!G63</f>
        <v>0.074</v>
      </c>
      <c r="D66" s="0" t="n">
        <f aca="false">dummy_variables!I63</f>
        <v>86.5</v>
      </c>
      <c r="E66" s="0" t="n">
        <f aca="false">dummy_variables!J63</f>
        <v>1.64</v>
      </c>
      <c r="F66" s="0" t="n">
        <f aca="false">dummy_variables!K63</f>
        <v>0</v>
      </c>
      <c r="G66" s="0" t="n">
        <f aca="false">dummy_variables!L63</f>
        <v>3.8</v>
      </c>
      <c r="H66" s="0" t="n">
        <f aca="false">dummy_variables!O63</f>
        <v>0</v>
      </c>
      <c r="I66" s="0" t="n">
        <f aca="false">dummy_variables!P63</f>
        <v>1</v>
      </c>
      <c r="J66" s="0" t="n">
        <f aca="false">dummy_variables!Q63</f>
        <v>0</v>
      </c>
      <c r="K66" s="0" t="n">
        <f aca="false">dummy_variables!R63</f>
        <v>0</v>
      </c>
      <c r="L66" s="0" t="n">
        <f aca="false">dummy_variables!S63</f>
        <v>0</v>
      </c>
      <c r="M66" s="0" t="n">
        <f aca="false">dummy_variables!T63</f>
        <v>0</v>
      </c>
      <c r="N66" s="0" t="n">
        <f aca="false">dummy_variables!M63</f>
        <v>615966.48</v>
      </c>
    </row>
    <row r="67" customFormat="false" ht="15" hidden="false" customHeight="false" outlineLevel="0" collapsed="false">
      <c r="A67" s="0" t="n">
        <f aca="false">dummy_variables!E64</f>
        <v>50343.19</v>
      </c>
      <c r="B67" s="0" t="n">
        <f aca="false">dummy_variables!F64</f>
        <v>3845</v>
      </c>
      <c r="C67" s="0" t="n">
        <f aca="false">dummy_variables!G64</f>
        <v>0.113</v>
      </c>
      <c r="D67" s="0" t="n">
        <f aca="false">dummy_variables!I64</f>
        <v>88.7</v>
      </c>
      <c r="E67" s="0" t="n">
        <f aca="false">dummy_variables!J64</f>
        <v>5.15</v>
      </c>
      <c r="F67" s="0" t="n">
        <f aca="false">dummy_variables!K64</f>
        <v>0</v>
      </c>
      <c r="G67" s="0" t="n">
        <f aca="false">dummy_variables!L64</f>
        <v>3.3</v>
      </c>
      <c r="H67" s="0" t="n">
        <f aca="false">dummy_variables!O64</f>
        <v>0</v>
      </c>
      <c r="I67" s="0" t="n">
        <f aca="false">dummy_variables!P64</f>
        <v>1</v>
      </c>
      <c r="J67" s="0" t="n">
        <f aca="false">dummy_variables!Q64</f>
        <v>0</v>
      </c>
      <c r="K67" s="0" t="n">
        <f aca="false">dummy_variables!R64</f>
        <v>0</v>
      </c>
      <c r="L67" s="0" t="n">
        <f aca="false">dummy_variables!S64</f>
        <v>0</v>
      </c>
      <c r="M67" s="0" t="n">
        <f aca="false">dummy_variables!T64</f>
        <v>0</v>
      </c>
      <c r="N67" s="0" t="n">
        <f aca="false">dummy_variables!M64</f>
        <v>572011.2</v>
      </c>
    </row>
    <row r="68" customFormat="false" ht="15" hidden="false" customHeight="false" outlineLevel="0" collapsed="false">
      <c r="A68" s="0" t="n">
        <f aca="false">dummy_variables!E65</f>
        <v>74954.47</v>
      </c>
      <c r="B68" s="0" t="n">
        <f aca="false">dummy_variables!F65</f>
        <v>6620</v>
      </c>
      <c r="C68" s="0" t="n">
        <f aca="false">dummy_variables!G65</f>
        <v>0.054</v>
      </c>
      <c r="D68" s="0" t="n">
        <f aca="false">dummy_variables!I65</f>
        <v>91.1</v>
      </c>
      <c r="E68" s="0" t="n">
        <f aca="false">dummy_variables!J65</f>
        <v>1.11</v>
      </c>
      <c r="F68" s="0" t="n">
        <f aca="false">dummy_variables!K65</f>
        <v>0</v>
      </c>
      <c r="G68" s="0" t="n">
        <f aca="false">dummy_variables!L65</f>
        <v>3.5</v>
      </c>
      <c r="H68" s="0" t="n">
        <f aca="false">dummy_variables!O65</f>
        <v>0</v>
      </c>
      <c r="I68" s="0" t="n">
        <f aca="false">dummy_variables!P65</f>
        <v>1</v>
      </c>
      <c r="J68" s="0" t="n">
        <f aca="false">dummy_variables!Q65</f>
        <v>0</v>
      </c>
      <c r="K68" s="0" t="n">
        <f aca="false">dummy_variables!R65</f>
        <v>0</v>
      </c>
      <c r="L68" s="0" t="n">
        <f aca="false">dummy_variables!S65</f>
        <v>0</v>
      </c>
      <c r="M68" s="0" t="n">
        <f aca="false">dummy_variables!T65</f>
        <v>0</v>
      </c>
      <c r="N68" s="0" t="n">
        <f aca="false">dummy_variables!M65</f>
        <v>761860.19</v>
      </c>
    </row>
    <row r="69" customFormat="false" ht="15" hidden="false" customHeight="false" outlineLevel="0" collapsed="false">
      <c r="A69" s="0" t="n">
        <f aca="false">dummy_variables!E66</f>
        <v>70040.31</v>
      </c>
      <c r="B69" s="0" t="n">
        <f aca="false">dummy_variables!F66</f>
        <v>9175</v>
      </c>
      <c r="C69" s="0" t="n">
        <f aca="false">dummy_variables!G66</f>
        <v>0.107</v>
      </c>
      <c r="D69" s="0" t="n">
        <f aca="false">dummy_variables!I66</f>
        <v>95.1</v>
      </c>
      <c r="E69" s="0" t="n">
        <f aca="false">dummy_variables!J66</f>
        <v>6.08</v>
      </c>
      <c r="F69" s="0" t="n">
        <f aca="false">dummy_variables!K66</f>
        <v>1</v>
      </c>
      <c r="G69" s="0" t="n">
        <f aca="false">dummy_variables!L66</f>
        <v>3.4</v>
      </c>
      <c r="H69" s="0" t="n">
        <f aca="false">dummy_variables!O66</f>
        <v>0</v>
      </c>
      <c r="I69" s="0" t="n">
        <f aca="false">dummy_variables!P66</f>
        <v>0</v>
      </c>
      <c r="J69" s="0" t="n">
        <f aca="false">dummy_variables!Q66</f>
        <v>1</v>
      </c>
      <c r="K69" s="0" t="n">
        <f aca="false">dummy_variables!R66</f>
        <v>0</v>
      </c>
      <c r="L69" s="0" t="n">
        <f aca="false">dummy_variables!S66</f>
        <v>0</v>
      </c>
      <c r="M69" s="0" t="n">
        <f aca="false">dummy_variables!T66</f>
        <v>0</v>
      </c>
      <c r="N69" s="0" t="n">
        <f aca="false">dummy_variables!M66</f>
        <v>784502.68</v>
      </c>
    </row>
    <row r="70" customFormat="false" ht="15" hidden="false" customHeight="false" outlineLevel="0" collapsed="false">
      <c r="A70" s="0" t="n">
        <f aca="false">dummy_variables!E67</f>
        <v>51148.69</v>
      </c>
      <c r="B70" s="0" t="n">
        <f aca="false">dummy_variables!F67</f>
        <v>7940</v>
      </c>
      <c r="C70" s="0" t="n">
        <f aca="false">dummy_variables!G67</f>
        <v>0.156</v>
      </c>
      <c r="D70" s="0" t="n">
        <f aca="false">dummy_variables!I67</f>
        <v>93.3</v>
      </c>
      <c r="E70" s="0" t="n">
        <f aca="false">dummy_variables!J67</f>
        <v>10.91</v>
      </c>
      <c r="F70" s="0" t="n">
        <f aca="false">dummy_variables!K67</f>
        <v>0</v>
      </c>
      <c r="G70" s="0" t="n">
        <f aca="false">dummy_variables!L67</f>
        <v>3.6</v>
      </c>
      <c r="H70" s="0" t="n">
        <f aca="false">dummy_variables!O67</f>
        <v>0</v>
      </c>
      <c r="I70" s="0" t="n">
        <f aca="false">dummy_variables!P67</f>
        <v>0</v>
      </c>
      <c r="J70" s="0" t="n">
        <f aca="false">dummy_variables!Q67</f>
        <v>1</v>
      </c>
      <c r="K70" s="0" t="n">
        <f aca="false">dummy_variables!R67</f>
        <v>0</v>
      </c>
      <c r="L70" s="0" t="n">
        <f aca="false">dummy_variables!S67</f>
        <v>0</v>
      </c>
      <c r="M70" s="0" t="n">
        <f aca="false">dummy_variables!T67</f>
        <v>0</v>
      </c>
      <c r="N70" s="0" t="n">
        <f aca="false">dummy_variables!M67</f>
        <v>717141.55</v>
      </c>
    </row>
    <row r="71" customFormat="false" ht="15" hidden="false" customHeight="false" outlineLevel="0" collapsed="false">
      <c r="A71" s="0" t="n">
        <f aca="false">dummy_variables!E68</f>
        <v>79346.1</v>
      </c>
      <c r="B71" s="0" t="n">
        <f aca="false">dummy_variables!F68</f>
        <v>9628</v>
      </c>
      <c r="C71" s="0" t="n">
        <f aca="false">dummy_variables!G68</f>
        <v>0.102</v>
      </c>
      <c r="D71" s="0" t="n">
        <f aca="false">dummy_variables!I68</f>
        <v>99</v>
      </c>
      <c r="E71" s="0" t="n">
        <f aca="false">dummy_variables!J68</f>
        <v>19.01</v>
      </c>
      <c r="F71" s="0" t="n">
        <f aca="false">dummy_variables!K68</f>
        <v>1</v>
      </c>
      <c r="G71" s="0" t="n">
        <f aca="false">dummy_variables!L68</f>
        <v>3.2</v>
      </c>
      <c r="H71" s="0" t="n">
        <f aca="false">dummy_variables!O68</f>
        <v>0</v>
      </c>
      <c r="I71" s="0" t="n">
        <f aca="false">dummy_variables!P68</f>
        <v>0</v>
      </c>
      <c r="J71" s="0" t="n">
        <f aca="false">dummy_variables!Q68</f>
        <v>1</v>
      </c>
      <c r="K71" s="0" t="n">
        <f aca="false">dummy_variables!R68</f>
        <v>0</v>
      </c>
      <c r="L71" s="0" t="n">
        <f aca="false">dummy_variables!S68</f>
        <v>0</v>
      </c>
      <c r="M71" s="0" t="n">
        <f aca="false">dummy_variables!T68</f>
        <v>0</v>
      </c>
      <c r="N71" s="0" t="n">
        <f aca="false">dummy_variables!M68</f>
        <v>685379.08</v>
      </c>
    </row>
    <row r="72" customFormat="false" ht="15" hidden="false" customHeight="false" outlineLevel="0" collapsed="false">
      <c r="A72" s="0" t="n">
        <f aca="false">dummy_variables!E69</f>
        <v>42018.4</v>
      </c>
      <c r="B72" s="0" t="n">
        <f aca="false">dummy_variables!F69</f>
        <v>8296</v>
      </c>
      <c r="C72" s="0" t="n">
        <f aca="false">dummy_variables!G69</f>
        <v>0.115</v>
      </c>
      <c r="D72" s="0" t="n">
        <f aca="false">dummy_variables!I69</f>
        <v>91.8</v>
      </c>
      <c r="E72" s="0" t="n">
        <f aca="false">dummy_variables!J69</f>
        <v>0.77</v>
      </c>
      <c r="F72" s="0" t="n">
        <f aca="false">dummy_variables!K69</f>
        <v>0</v>
      </c>
      <c r="G72" s="0" t="n">
        <f aca="false">dummy_variables!L69</f>
        <v>3.4</v>
      </c>
      <c r="H72" s="0" t="n">
        <f aca="false">dummy_variables!O69</f>
        <v>0</v>
      </c>
      <c r="I72" s="0" t="n">
        <f aca="false">dummy_variables!P69</f>
        <v>0</v>
      </c>
      <c r="J72" s="0" t="n">
        <f aca="false">dummy_variables!Q69</f>
        <v>1</v>
      </c>
      <c r="K72" s="0" t="n">
        <f aca="false">dummy_variables!R69</f>
        <v>0</v>
      </c>
      <c r="L72" s="0" t="n">
        <f aca="false">dummy_variables!S69</f>
        <v>0</v>
      </c>
      <c r="M72" s="0" t="n">
        <f aca="false">dummy_variables!T69</f>
        <v>0</v>
      </c>
      <c r="N72" s="0" t="n">
        <f aca="false">dummy_variables!M69</f>
        <v>740496.65</v>
      </c>
    </row>
    <row r="73" customFormat="false" ht="15" hidden="false" customHeight="false" outlineLevel="0" collapsed="false">
      <c r="A73" s="0" t="n">
        <f aca="false">dummy_variables!E70</f>
        <v>70937.24</v>
      </c>
      <c r="B73" s="0" t="n">
        <f aca="false">dummy_variables!F70</f>
        <v>3595</v>
      </c>
      <c r="C73" s="0" t="n">
        <f aca="false">dummy_variables!G70</f>
        <v>0.141</v>
      </c>
      <c r="D73" s="0" t="n">
        <f aca="false">dummy_variables!I70</f>
        <v>88.9</v>
      </c>
      <c r="E73" s="0" t="n">
        <f aca="false">dummy_variables!J70</f>
        <v>2.83</v>
      </c>
      <c r="F73" s="0" t="n">
        <f aca="false">dummy_variables!K70</f>
        <v>1</v>
      </c>
      <c r="G73" s="0" t="n">
        <f aca="false">dummy_variables!L70</f>
        <v>3.3</v>
      </c>
      <c r="H73" s="0" t="n">
        <f aca="false">dummy_variables!O70</f>
        <v>0</v>
      </c>
      <c r="I73" s="0" t="n">
        <f aca="false">dummy_variables!P70</f>
        <v>0</v>
      </c>
      <c r="J73" s="0" t="n">
        <f aca="false">dummy_variables!Q70</f>
        <v>0</v>
      </c>
      <c r="K73" s="0" t="n">
        <f aca="false">dummy_variables!R70</f>
        <v>0</v>
      </c>
      <c r="L73" s="0" t="n">
        <f aca="false">dummy_variables!S70</f>
        <v>0</v>
      </c>
      <c r="M73" s="0" t="n">
        <f aca="false">dummy_variables!T70</f>
        <v>0</v>
      </c>
      <c r="N73" s="0" t="n">
        <f aca="false">dummy_variables!M70</f>
        <v>661927.14</v>
      </c>
    </row>
    <row r="74" customFormat="false" ht="15" hidden="false" customHeight="false" outlineLevel="0" collapsed="false">
      <c r="A74" s="0" t="n">
        <f aca="false">dummy_variables!E71</f>
        <v>36813.45</v>
      </c>
      <c r="B74" s="0" t="n">
        <f aca="false">dummy_variables!F71</f>
        <v>2834</v>
      </c>
      <c r="C74" s="0" t="n">
        <f aca="false">dummy_variables!G71</f>
        <v>0.191</v>
      </c>
      <c r="D74" s="0" t="n">
        <f aca="false">dummy_variables!I71</f>
        <v>81.8</v>
      </c>
      <c r="E74" s="0" t="n">
        <f aca="false">dummy_variables!J71</f>
        <v>2.33</v>
      </c>
      <c r="F74" s="0" t="n">
        <f aca="false">dummy_variables!K71</f>
        <v>0</v>
      </c>
      <c r="G74" s="0" t="n">
        <f aca="false">dummy_variables!L71</f>
        <v>3.3</v>
      </c>
      <c r="H74" s="0" t="n">
        <f aca="false">dummy_variables!O71</f>
        <v>0</v>
      </c>
      <c r="I74" s="0" t="n">
        <f aca="false">dummy_variables!P71</f>
        <v>0</v>
      </c>
      <c r="J74" s="0" t="n">
        <f aca="false">dummy_variables!Q71</f>
        <v>0</v>
      </c>
      <c r="K74" s="0" t="n">
        <f aca="false">dummy_variables!R71</f>
        <v>0</v>
      </c>
      <c r="L74" s="0" t="n">
        <f aca="false">dummy_variables!S71</f>
        <v>0</v>
      </c>
      <c r="M74" s="0" t="n">
        <f aca="false">dummy_variables!T71</f>
        <v>0</v>
      </c>
      <c r="N74" s="0" t="n">
        <f aca="false">dummy_variables!M71</f>
        <v>479050.5</v>
      </c>
    </row>
    <row r="75" customFormat="false" ht="15" hidden="false" customHeight="false" outlineLevel="0" collapsed="false">
      <c r="A75" s="0" t="n">
        <f aca="false">dummy_variables!E72</f>
        <v>60571.82</v>
      </c>
      <c r="B75" s="0" t="n">
        <f aca="false">dummy_variables!F72</f>
        <v>3193</v>
      </c>
      <c r="C75" s="0" t="n">
        <f aca="false">dummy_variables!G72</f>
        <v>0.197</v>
      </c>
      <c r="D75" s="0" t="n">
        <f aca="false">dummy_variables!I72</f>
        <v>99</v>
      </c>
      <c r="E75" s="0" t="n">
        <f aca="false">dummy_variables!J72</f>
        <v>1.43</v>
      </c>
      <c r="F75" s="0" t="n">
        <f aca="false">dummy_variables!K72</f>
        <v>0</v>
      </c>
      <c r="G75" s="0" t="n">
        <f aca="false">dummy_variables!L72</f>
        <v>3.2</v>
      </c>
      <c r="H75" s="0" t="n">
        <f aca="false">dummy_variables!O72</f>
        <v>0</v>
      </c>
      <c r="I75" s="0" t="n">
        <f aca="false">dummy_variables!P72</f>
        <v>0</v>
      </c>
      <c r="J75" s="0" t="n">
        <f aca="false">dummy_variables!Q72</f>
        <v>0</v>
      </c>
      <c r="K75" s="0" t="n">
        <f aca="false">dummy_variables!R72</f>
        <v>0</v>
      </c>
      <c r="L75" s="0" t="n">
        <f aca="false">dummy_variables!S72</f>
        <v>0</v>
      </c>
      <c r="M75" s="0" t="n">
        <f aca="false">dummy_variables!T72</f>
        <v>0</v>
      </c>
      <c r="N75" s="0" t="n">
        <f aca="false">dummy_variables!M72</f>
        <v>605023.87</v>
      </c>
    </row>
    <row r="76" customFormat="false" ht="15" hidden="false" customHeight="false" outlineLevel="0" collapsed="false">
      <c r="A76" s="0" t="n">
        <f aca="false">dummy_variables!E73</f>
        <v>55081.16</v>
      </c>
      <c r="B76" s="0" t="n">
        <f aca="false">dummy_variables!F73</f>
        <v>5485</v>
      </c>
      <c r="C76" s="0" t="n">
        <f aca="false">dummy_variables!G73</f>
        <v>0.036</v>
      </c>
      <c r="D76" s="0" t="n">
        <f aca="false">dummy_variables!I73</f>
        <v>88</v>
      </c>
      <c r="E76" s="0" t="n">
        <f aca="false">dummy_variables!J73</f>
        <v>3.365</v>
      </c>
      <c r="F76" s="0" t="n">
        <f aca="false">dummy_variables!K73</f>
        <v>0</v>
      </c>
      <c r="G76" s="0" t="n">
        <f aca="false">dummy_variables!L73</f>
        <v>3.5</v>
      </c>
      <c r="H76" s="0" t="n">
        <f aca="false">dummy_variables!O73</f>
        <v>0</v>
      </c>
      <c r="I76" s="0" t="n">
        <f aca="false">dummy_variables!P73</f>
        <v>0</v>
      </c>
      <c r="J76" s="0" t="n">
        <f aca="false">dummy_variables!Q73</f>
        <v>0</v>
      </c>
      <c r="K76" s="0" t="n">
        <f aca="false">dummy_variables!R73</f>
        <v>0</v>
      </c>
      <c r="L76" s="0" t="n">
        <f aca="false">dummy_variables!S73</f>
        <v>0</v>
      </c>
      <c r="M76" s="0" t="n">
        <f aca="false">dummy_variables!T73</f>
        <v>0</v>
      </c>
      <c r="N76" s="0" t="n">
        <f aca="false">dummy_variables!M73</f>
        <v>674774.09</v>
      </c>
    </row>
    <row r="77" customFormat="false" ht="15" hidden="false" customHeight="false" outlineLevel="0" collapsed="false">
      <c r="A77" s="0" t="n">
        <f aca="false">dummy_variables!E74</f>
        <v>46201.46</v>
      </c>
      <c r="B77" s="0" t="n">
        <f aca="false">dummy_variables!F74</f>
        <v>5918</v>
      </c>
      <c r="C77" s="0" t="n">
        <f aca="false">dummy_variables!G74</f>
        <v>0.277</v>
      </c>
      <c r="D77" s="0" t="n">
        <f aca="false">dummy_variables!I74</f>
        <v>78.8</v>
      </c>
      <c r="E77" s="0" t="n">
        <f aca="false">dummy_variables!J74</f>
        <v>4.91</v>
      </c>
      <c r="F77" s="0" t="n">
        <f aca="false">dummy_variables!K74</f>
        <v>0</v>
      </c>
      <c r="G77" s="0" t="n">
        <f aca="false">dummy_variables!L74</f>
        <v>4.5</v>
      </c>
      <c r="H77" s="0" t="n">
        <f aca="false">dummy_variables!O74</f>
        <v>0</v>
      </c>
      <c r="I77" s="0" t="n">
        <f aca="false">dummy_variables!P74</f>
        <v>0</v>
      </c>
      <c r="J77" s="0" t="n">
        <f aca="false">dummy_variables!Q74</f>
        <v>0</v>
      </c>
      <c r="K77" s="0" t="n">
        <f aca="false">dummy_variables!R74</f>
        <v>0</v>
      </c>
      <c r="L77" s="0" t="n">
        <f aca="false">dummy_variables!S74</f>
        <v>0</v>
      </c>
      <c r="M77" s="0" t="n">
        <f aca="false">dummy_variables!T74</f>
        <v>1</v>
      </c>
      <c r="N77" s="0" t="n">
        <f aca="false">dummy_variables!M74</f>
        <v>616069.41</v>
      </c>
    </row>
    <row r="78" customFormat="false" ht="15" hidden="false" customHeight="false" outlineLevel="0" collapsed="false">
      <c r="A78" s="0" t="n">
        <f aca="false">dummy_variables!E75</f>
        <v>53762.92</v>
      </c>
      <c r="B78" s="0" t="n">
        <f aca="false">dummy_variables!F75</f>
        <v>6821</v>
      </c>
      <c r="C78" s="0" t="n">
        <f aca="false">dummy_variables!G75</f>
        <v>0.066</v>
      </c>
      <c r="D78" s="0" t="n">
        <f aca="false">dummy_variables!I75</f>
        <v>94.6</v>
      </c>
      <c r="E78" s="0" t="n">
        <f aca="false">dummy_variables!J75</f>
        <v>7.03</v>
      </c>
      <c r="F78" s="0" t="n">
        <f aca="false">dummy_variables!K75</f>
        <v>0</v>
      </c>
      <c r="G78" s="0" t="n">
        <f aca="false">dummy_variables!L75</f>
        <v>4.4</v>
      </c>
      <c r="H78" s="0" t="n">
        <f aca="false">dummy_variables!O75</f>
        <v>0</v>
      </c>
      <c r="I78" s="0" t="n">
        <f aca="false">dummy_variables!P75</f>
        <v>0</v>
      </c>
      <c r="J78" s="0" t="n">
        <f aca="false">dummy_variables!Q75</f>
        <v>0</v>
      </c>
      <c r="K78" s="0" t="n">
        <f aca="false">dummy_variables!R75</f>
        <v>0</v>
      </c>
      <c r="L78" s="0" t="n">
        <f aca="false">dummy_variables!S75</f>
        <v>0</v>
      </c>
      <c r="M78" s="0" t="n">
        <f aca="false">dummy_variables!T75</f>
        <v>1</v>
      </c>
      <c r="N78" s="0" t="n">
        <f aca="false">dummy_variables!M75</f>
        <v>630829.94</v>
      </c>
    </row>
    <row r="79" customFormat="false" ht="15" hidden="false" customHeight="false" outlineLevel="0" collapsed="false">
      <c r="A79" s="0" t="n">
        <f aca="false">dummy_variables!E76</f>
        <v>70144.78</v>
      </c>
      <c r="B79" s="0" t="n">
        <f aca="false">dummy_variables!F76</f>
        <v>6806</v>
      </c>
      <c r="C79" s="0" t="n">
        <f aca="false">dummy_variables!G76</f>
        <v>0.178</v>
      </c>
      <c r="D79" s="0" t="n">
        <f aca="false">dummy_variables!I76</f>
        <v>93.1</v>
      </c>
      <c r="E79" s="0" t="n">
        <f aca="false">dummy_variables!J76</f>
        <v>0.28</v>
      </c>
      <c r="F79" s="0" t="n">
        <f aca="false">dummy_variables!K76</f>
        <v>1</v>
      </c>
      <c r="G79" s="0" t="n">
        <f aca="false">dummy_variables!L76</f>
        <v>4.3</v>
      </c>
      <c r="H79" s="0" t="n">
        <f aca="false">dummy_variables!O76</f>
        <v>0</v>
      </c>
      <c r="I79" s="0" t="n">
        <f aca="false">dummy_variables!P76</f>
        <v>0</v>
      </c>
      <c r="J79" s="0" t="n">
        <f aca="false">dummy_variables!Q76</f>
        <v>0</v>
      </c>
      <c r="K79" s="0" t="n">
        <f aca="false">dummy_variables!R76</f>
        <v>0</v>
      </c>
      <c r="L79" s="0" t="n">
        <f aca="false">dummy_variables!S76</f>
        <v>0</v>
      </c>
      <c r="M79" s="0" t="n">
        <f aca="false">dummy_variables!T76</f>
        <v>1</v>
      </c>
      <c r="N79" s="0" t="n">
        <f aca="false">dummy_variables!M76</f>
        <v>788087.68</v>
      </c>
    </row>
    <row r="80" customFormat="false" ht="15" hidden="false" customHeight="false" outlineLevel="0" collapsed="false">
      <c r="A80" s="0" t="n">
        <f aca="false">dummy_variables!E77</f>
        <v>58749.63</v>
      </c>
      <c r="B80" s="0" t="n">
        <f aca="false">dummy_variables!F77</f>
        <v>8252</v>
      </c>
      <c r="C80" s="0" t="n">
        <f aca="false">dummy_variables!G77</f>
        <v>0.203</v>
      </c>
      <c r="D80" s="0" t="n">
        <f aca="false">dummy_variables!I77</f>
        <v>85.2</v>
      </c>
      <c r="E80" s="0" t="n">
        <f aca="false">dummy_variables!J77</f>
        <v>3.61</v>
      </c>
      <c r="F80" s="0" t="n">
        <f aca="false">dummy_variables!K77</f>
        <v>0</v>
      </c>
      <c r="G80" s="0" t="n">
        <f aca="false">dummy_variables!L77</f>
        <v>4.5</v>
      </c>
      <c r="H80" s="0" t="n">
        <f aca="false">dummy_variables!O77</f>
        <v>0</v>
      </c>
      <c r="I80" s="0" t="n">
        <f aca="false">dummy_variables!P77</f>
        <v>0</v>
      </c>
      <c r="J80" s="0" t="n">
        <f aca="false">dummy_variables!Q77</f>
        <v>0</v>
      </c>
      <c r="K80" s="0" t="n">
        <f aca="false">dummy_variables!R77</f>
        <v>0</v>
      </c>
      <c r="L80" s="0" t="n">
        <f aca="false">dummy_variables!S77</f>
        <v>0</v>
      </c>
      <c r="M80" s="0" t="n">
        <f aca="false">dummy_variables!T77</f>
        <v>1</v>
      </c>
      <c r="N80" s="0" t="n">
        <f aca="false">dummy_variables!M77</f>
        <v>680840.36</v>
      </c>
    </row>
    <row r="81" customFormat="false" ht="15" hidden="false" customHeight="false" outlineLevel="0" collapsed="false">
      <c r="A81" s="0" t="n">
        <f aca="false">dummy_variables!E78</f>
        <v>56973.18</v>
      </c>
      <c r="B81" s="0" t="n">
        <f aca="false">dummy_variables!F78</f>
        <v>6662</v>
      </c>
      <c r="C81" s="0" t="n">
        <f aca="false">dummy_variables!G78</f>
        <v>0.1</v>
      </c>
      <c r="D81" s="0" t="n">
        <f aca="false">dummy_variables!I78</f>
        <v>77.7</v>
      </c>
      <c r="E81" s="0" t="n">
        <f aca="false">dummy_variables!J78</f>
        <v>7.52</v>
      </c>
      <c r="F81" s="0" t="n">
        <f aca="false">dummy_variables!K78</f>
        <v>1</v>
      </c>
      <c r="G81" s="0" t="n">
        <f aca="false">dummy_variables!L78</f>
        <v>3.2</v>
      </c>
      <c r="H81" s="0" t="n">
        <f aca="false">dummy_variables!O78</f>
        <v>0</v>
      </c>
      <c r="I81" s="0" t="n">
        <f aca="false">dummy_variables!P78</f>
        <v>1</v>
      </c>
      <c r="J81" s="0" t="n">
        <f aca="false">dummy_variables!Q78</f>
        <v>0</v>
      </c>
      <c r="K81" s="0" t="n">
        <f aca="false">dummy_variables!R78</f>
        <v>0</v>
      </c>
      <c r="L81" s="0" t="n">
        <f aca="false">dummy_variables!S78</f>
        <v>0</v>
      </c>
      <c r="M81" s="0" t="n">
        <f aca="false">dummy_variables!T78</f>
        <v>0</v>
      </c>
      <c r="N81" s="0" t="n">
        <f aca="false">dummy_variables!M78</f>
        <v>643657.47</v>
      </c>
    </row>
    <row r="82" customFormat="false" ht="15" hidden="false" customHeight="false" outlineLevel="0" collapsed="false">
      <c r="A82" s="0" t="n">
        <f aca="false">dummy_variables!E79</f>
        <v>54872.82</v>
      </c>
      <c r="B82" s="0" t="n">
        <f aca="false">dummy_variables!F79</f>
        <v>5962</v>
      </c>
      <c r="C82" s="0" t="n">
        <f aca="false">dummy_variables!G79</f>
        <v>0.064</v>
      </c>
      <c r="D82" s="0" t="n">
        <f aca="false">dummy_variables!I79</f>
        <v>85.4</v>
      </c>
      <c r="E82" s="0" t="n">
        <f aca="false">dummy_variables!J79</f>
        <v>2.58</v>
      </c>
      <c r="F82" s="0" t="n">
        <f aca="false">dummy_variables!K79</f>
        <v>0</v>
      </c>
      <c r="G82" s="0" t="n">
        <f aca="false">dummy_variables!L79</f>
        <v>2.9</v>
      </c>
      <c r="H82" s="0" t="n">
        <f aca="false">dummy_variables!O79</f>
        <v>0</v>
      </c>
      <c r="I82" s="0" t="n">
        <f aca="false">dummy_variables!P79</f>
        <v>1</v>
      </c>
      <c r="J82" s="0" t="n">
        <f aca="false">dummy_variables!Q79</f>
        <v>0</v>
      </c>
      <c r="K82" s="0" t="n">
        <f aca="false">dummy_variables!R79</f>
        <v>0</v>
      </c>
      <c r="L82" s="0" t="n">
        <f aca="false">dummy_variables!S79</f>
        <v>0</v>
      </c>
      <c r="M82" s="0" t="n">
        <f aca="false">dummy_variables!T79</f>
        <v>0</v>
      </c>
      <c r="N82" s="0" t="n">
        <f aca="false">dummy_variables!M79</f>
        <v>691112.6</v>
      </c>
    </row>
    <row r="83" customFormat="false" ht="15" hidden="false" customHeight="false" outlineLevel="0" collapsed="false">
      <c r="A83" s="0" t="n">
        <f aca="false">dummy_variables!E80</f>
        <v>80562.81</v>
      </c>
      <c r="B83" s="0" t="n">
        <f aca="false">dummy_variables!F80</f>
        <v>7470</v>
      </c>
      <c r="C83" s="0" t="n">
        <f aca="false">dummy_variables!G80</f>
        <v>0.172</v>
      </c>
      <c r="D83" s="0" t="n">
        <f aca="false">dummy_variables!I80</f>
        <v>83.5</v>
      </c>
      <c r="E83" s="0" t="n">
        <f aca="false">dummy_variables!J80</f>
        <v>2.29</v>
      </c>
      <c r="F83" s="0" t="n">
        <f aca="false">dummy_variables!K80</f>
        <v>0</v>
      </c>
      <c r="G83" s="0" t="n">
        <f aca="false">dummy_variables!L80</f>
        <v>3.3</v>
      </c>
      <c r="H83" s="0" t="n">
        <f aca="false">dummy_variables!O80</f>
        <v>0</v>
      </c>
      <c r="I83" s="0" t="n">
        <f aca="false">dummy_variables!P80</f>
        <v>1</v>
      </c>
      <c r="J83" s="0" t="n">
        <f aca="false">dummy_variables!Q80</f>
        <v>0</v>
      </c>
      <c r="K83" s="0" t="n">
        <f aca="false">dummy_variables!R80</f>
        <v>0</v>
      </c>
      <c r="L83" s="0" t="n">
        <f aca="false">dummy_variables!S80</f>
        <v>0</v>
      </c>
      <c r="M83" s="0" t="n">
        <f aca="false">dummy_variables!T80</f>
        <v>0</v>
      </c>
      <c r="N83" s="0" t="n">
        <f aca="false">dummy_variables!M80</f>
        <v>776922.17</v>
      </c>
    </row>
    <row r="84" customFormat="false" ht="15" hidden="false" customHeight="false" outlineLevel="0" collapsed="false">
      <c r="A84" s="0" t="n">
        <f aca="false">dummy_variables!E81</f>
        <v>77999.9</v>
      </c>
      <c r="B84" s="0" t="n">
        <f aca="false">dummy_variables!F81</f>
        <v>5974</v>
      </c>
      <c r="C84" s="0" t="n">
        <f aca="false">dummy_variables!G81</f>
        <v>0.252</v>
      </c>
      <c r="D84" s="0" t="n">
        <f aca="false">dummy_variables!I81</f>
        <v>81.3</v>
      </c>
      <c r="E84" s="0" t="n">
        <f aca="false">dummy_variables!J81</f>
        <v>2.39</v>
      </c>
      <c r="F84" s="0" t="n">
        <f aca="false">dummy_variables!K81</f>
        <v>0</v>
      </c>
      <c r="G84" s="0" t="n">
        <f aca="false">dummy_variables!L81</f>
        <v>3.2</v>
      </c>
      <c r="H84" s="0" t="n">
        <f aca="false">dummy_variables!O81</f>
        <v>0</v>
      </c>
      <c r="I84" s="0" t="n">
        <f aca="false">dummy_variables!P81</f>
        <v>1</v>
      </c>
      <c r="J84" s="0" t="n">
        <f aca="false">dummy_variables!Q81</f>
        <v>0</v>
      </c>
      <c r="K84" s="0" t="n">
        <f aca="false">dummy_variables!R81</f>
        <v>0</v>
      </c>
      <c r="L84" s="0" t="n">
        <f aca="false">dummy_variables!S81</f>
        <v>0</v>
      </c>
      <c r="M84" s="0" t="n">
        <f aca="false">dummy_variables!T81</f>
        <v>0</v>
      </c>
      <c r="N84" s="0" t="n">
        <f aca="false">dummy_variables!M81</f>
        <v>636561.34</v>
      </c>
    </row>
    <row r="85" customFormat="false" ht="15" hidden="false" customHeight="false" outlineLevel="0" collapsed="false">
      <c r="A85" s="0" t="n">
        <f aca="false">dummy_variables!E82</f>
        <v>60881.01</v>
      </c>
      <c r="B85" s="0" t="n">
        <f aca="false">dummy_variables!F82</f>
        <v>5410</v>
      </c>
      <c r="C85" s="0" t="n">
        <f aca="false">dummy_variables!G82</f>
        <v>0.179</v>
      </c>
      <c r="D85" s="0" t="n">
        <f aca="false">dummy_variables!I82</f>
        <v>83.9</v>
      </c>
      <c r="E85" s="0" t="n">
        <f aca="false">dummy_variables!J82</f>
        <v>5.24</v>
      </c>
      <c r="F85" s="0" t="n">
        <f aca="false">dummy_variables!K82</f>
        <v>0</v>
      </c>
      <c r="G85" s="0" t="n">
        <f aca="false">dummy_variables!L82</f>
        <v>4.6</v>
      </c>
      <c r="H85" s="0" t="n">
        <f aca="false">dummy_variables!O82</f>
        <v>0</v>
      </c>
      <c r="I85" s="0" t="n">
        <f aca="false">dummy_variables!P82</f>
        <v>0</v>
      </c>
      <c r="J85" s="0" t="n">
        <f aca="false">dummy_variables!Q82</f>
        <v>1</v>
      </c>
      <c r="K85" s="0" t="n">
        <f aca="false">dummy_variables!R82</f>
        <v>0</v>
      </c>
      <c r="L85" s="0" t="n">
        <f aca="false">dummy_variables!S82</f>
        <v>1</v>
      </c>
      <c r="M85" s="0" t="n">
        <f aca="false">dummy_variables!T82</f>
        <v>0</v>
      </c>
      <c r="N85" s="0" t="n">
        <f aca="false">dummy_variables!M82</f>
        <v>621369.58</v>
      </c>
    </row>
    <row r="86" customFormat="false" ht="15" hidden="false" customHeight="false" outlineLevel="0" collapsed="false">
      <c r="A86" s="0" t="n">
        <f aca="false">dummy_variables!E83</f>
        <v>60628.38</v>
      </c>
      <c r="B86" s="0" t="n">
        <f aca="false">dummy_variables!F83</f>
        <v>4451</v>
      </c>
      <c r="C86" s="0" t="n">
        <f aca="false">dummy_variables!G83</f>
        <v>0.095</v>
      </c>
      <c r="D86" s="0" t="n">
        <f aca="false">dummy_variables!I83</f>
        <v>89.6</v>
      </c>
      <c r="E86" s="0" t="n">
        <f aca="false">dummy_variables!J83</f>
        <v>3.17</v>
      </c>
      <c r="F86" s="0" t="n">
        <f aca="false">dummy_variables!K83</f>
        <v>0</v>
      </c>
      <c r="G86" s="0" t="n">
        <f aca="false">dummy_variables!L83</f>
        <v>4.6</v>
      </c>
      <c r="H86" s="0" t="n">
        <f aca="false">dummy_variables!O83</f>
        <v>0</v>
      </c>
      <c r="I86" s="0" t="n">
        <f aca="false">dummy_variables!P83</f>
        <v>0</v>
      </c>
      <c r="J86" s="0" t="n">
        <f aca="false">dummy_variables!Q83</f>
        <v>1</v>
      </c>
      <c r="K86" s="0" t="n">
        <f aca="false">dummy_variables!R83</f>
        <v>0</v>
      </c>
      <c r="L86" s="0" t="n">
        <f aca="false">dummy_variables!S83</f>
        <v>1</v>
      </c>
      <c r="M86" s="0" t="n">
        <f aca="false">dummy_variables!T83</f>
        <v>0</v>
      </c>
      <c r="N86" s="0" t="n">
        <f aca="false">dummy_variables!M83</f>
        <v>682208.01</v>
      </c>
    </row>
    <row r="87" customFormat="false" ht="15" hidden="false" customHeight="false" outlineLevel="0" collapsed="false">
      <c r="A87" s="0" t="n">
        <f aca="false">dummy_variables!E84</f>
        <v>72731.14</v>
      </c>
      <c r="B87" s="0" t="n">
        <f aca="false">dummy_variables!F84</f>
        <v>4644</v>
      </c>
      <c r="C87" s="0" t="n">
        <f aca="false">dummy_variables!G84</f>
        <v>0.084</v>
      </c>
      <c r="D87" s="0" t="n">
        <f aca="false">dummy_variables!I84</f>
        <v>87.1</v>
      </c>
      <c r="E87" s="0" t="n">
        <f aca="false">dummy_variables!J84</f>
        <v>2.66</v>
      </c>
      <c r="F87" s="0" t="n">
        <f aca="false">dummy_variables!K84</f>
        <v>0</v>
      </c>
      <c r="G87" s="0" t="n">
        <f aca="false">dummy_variables!L84</f>
        <v>4.6</v>
      </c>
      <c r="H87" s="0" t="n">
        <f aca="false">dummy_variables!O84</f>
        <v>0</v>
      </c>
      <c r="I87" s="0" t="n">
        <f aca="false">dummy_variables!P84</f>
        <v>0</v>
      </c>
      <c r="J87" s="0" t="n">
        <f aca="false">dummy_variables!Q84</f>
        <v>1</v>
      </c>
      <c r="K87" s="0" t="n">
        <f aca="false">dummy_variables!R84</f>
        <v>0</v>
      </c>
      <c r="L87" s="0" t="n">
        <f aca="false">dummy_variables!S84</f>
        <v>1</v>
      </c>
      <c r="M87" s="0" t="n">
        <f aca="false">dummy_variables!T84</f>
        <v>0</v>
      </c>
      <c r="N87" s="0" t="n">
        <f aca="false">dummy_variables!M84</f>
        <v>727241.86</v>
      </c>
    </row>
    <row r="88" customFormat="false" ht="15" hidden="false" customHeight="false" outlineLevel="0" collapsed="false">
      <c r="A88" s="0" t="n">
        <f aca="false">dummy_variables!E85</f>
        <v>36475.71</v>
      </c>
      <c r="B88" s="0" t="n">
        <f aca="false">dummy_variables!F85</f>
        <v>3559</v>
      </c>
      <c r="C88" s="0" t="n">
        <f aca="false">dummy_variables!G85</f>
        <v>0.03</v>
      </c>
      <c r="D88" s="0" t="n">
        <f aca="false">dummy_variables!I85</f>
        <v>83.6</v>
      </c>
      <c r="E88" s="0" t="n">
        <f aca="false">dummy_variables!J85</f>
        <v>1.41</v>
      </c>
      <c r="F88" s="0" t="n">
        <f aca="false">dummy_variables!K85</f>
        <v>0</v>
      </c>
      <c r="G88" s="0" t="n">
        <f aca="false">dummy_variables!L85</f>
        <v>4.2</v>
      </c>
      <c r="H88" s="0" t="n">
        <f aca="false">dummy_variables!O85</f>
        <v>0</v>
      </c>
      <c r="I88" s="0" t="n">
        <f aca="false">dummy_variables!P85</f>
        <v>0</v>
      </c>
      <c r="J88" s="0" t="n">
        <f aca="false">dummy_variables!Q85</f>
        <v>1</v>
      </c>
      <c r="K88" s="0" t="n">
        <f aca="false">dummy_variables!R85</f>
        <v>0</v>
      </c>
      <c r="L88" s="0" t="n">
        <f aca="false">dummy_variables!S85</f>
        <v>1</v>
      </c>
      <c r="M88" s="0" t="n">
        <f aca="false">dummy_variables!T85</f>
        <v>0</v>
      </c>
      <c r="N88" s="0" t="n">
        <f aca="false">dummy_variables!M85</f>
        <v>569100.78</v>
      </c>
    </row>
    <row r="89" customFormat="false" ht="15" hidden="false" customHeight="false" outlineLevel="0" collapsed="false">
      <c r="A89" s="0" t="n">
        <f aca="false">dummy_variables!E86</f>
        <v>55388.11</v>
      </c>
      <c r="B89" s="0" t="n">
        <f aca="false">dummy_variables!F86</f>
        <v>3091</v>
      </c>
      <c r="C89" s="0" t="n">
        <f aca="false">dummy_variables!G86</f>
        <v>0.108</v>
      </c>
      <c r="D89" s="0" t="n">
        <f aca="false">dummy_variables!I86</f>
        <v>85.4</v>
      </c>
      <c r="E89" s="0" t="n">
        <f aca="false">dummy_variables!J86</f>
        <v>7.34</v>
      </c>
      <c r="F89" s="0" t="n">
        <f aca="false">dummy_variables!K86</f>
        <v>0</v>
      </c>
      <c r="G89" s="0" t="n">
        <f aca="false">dummy_variables!L86</f>
        <v>4.9</v>
      </c>
      <c r="H89" s="0" t="n">
        <f aca="false">dummy_variables!O86</f>
        <v>0</v>
      </c>
      <c r="I89" s="0" t="n">
        <f aca="false">dummy_variables!P86</f>
        <v>0</v>
      </c>
      <c r="J89" s="0" t="n">
        <f aca="false">dummy_variables!Q86</f>
        <v>1</v>
      </c>
      <c r="K89" s="0" t="n">
        <f aca="false">dummy_variables!R86</f>
        <v>0</v>
      </c>
      <c r="L89" s="0" t="n">
        <f aca="false">dummy_variables!S86</f>
        <v>0</v>
      </c>
      <c r="M89" s="0" t="n">
        <f aca="false">dummy_variables!T86</f>
        <v>0</v>
      </c>
      <c r="N89" s="0" t="n">
        <f aca="false">dummy_variables!M86</f>
        <v>574436.29</v>
      </c>
    </row>
    <row r="90" customFormat="false" ht="15" hidden="false" customHeight="false" outlineLevel="0" collapsed="false">
      <c r="A90" s="0" t="n">
        <f aca="false">dummy_variables!E87</f>
        <v>88443.77</v>
      </c>
      <c r="B90" s="0" t="n">
        <f aca="false">dummy_variables!F87</f>
        <v>4004</v>
      </c>
      <c r="C90" s="0" t="n">
        <f aca="false">dummy_variables!G87</f>
        <v>0.206</v>
      </c>
      <c r="D90" s="0" t="n">
        <f aca="false">dummy_variables!I87</f>
        <v>91.9</v>
      </c>
      <c r="E90" s="0" t="n">
        <f aca="false">dummy_variables!J87</f>
        <v>5.95</v>
      </c>
      <c r="F90" s="0" t="n">
        <f aca="false">dummy_variables!K87</f>
        <v>0</v>
      </c>
      <c r="G90" s="0" t="n">
        <f aca="false">dummy_variables!L87</f>
        <v>3.9</v>
      </c>
      <c r="H90" s="0" t="n">
        <f aca="false">dummy_variables!O87</f>
        <v>0</v>
      </c>
      <c r="I90" s="0" t="n">
        <f aca="false">dummy_variables!P87</f>
        <v>0</v>
      </c>
      <c r="J90" s="0" t="n">
        <f aca="false">dummy_variables!Q87</f>
        <v>1</v>
      </c>
      <c r="K90" s="0" t="n">
        <f aca="false">dummy_variables!R87</f>
        <v>0</v>
      </c>
      <c r="L90" s="0" t="n">
        <f aca="false">dummy_variables!S87</f>
        <v>0</v>
      </c>
      <c r="M90" s="0" t="n">
        <f aca="false">dummy_variables!T87</f>
        <v>0</v>
      </c>
      <c r="N90" s="0" t="n">
        <f aca="false">dummy_variables!M87</f>
        <v>611766.72</v>
      </c>
    </row>
    <row r="91" customFormat="false" ht="15" hidden="false" customHeight="false" outlineLevel="0" collapsed="false">
      <c r="A91" s="0" t="n">
        <f aca="false">dummy_variables!E88</f>
        <v>78231.91</v>
      </c>
      <c r="B91" s="0" t="n">
        <f aca="false">dummy_variables!F88</f>
        <v>3788</v>
      </c>
      <c r="C91" s="0" t="n">
        <f aca="false">dummy_variables!G88</f>
        <v>0.059</v>
      </c>
      <c r="D91" s="0" t="n">
        <f aca="false">dummy_variables!I88</f>
        <v>88.5</v>
      </c>
      <c r="E91" s="0" t="n">
        <f aca="false">dummy_variables!J88</f>
        <v>15.51</v>
      </c>
      <c r="F91" s="0" t="n">
        <f aca="false">dummy_variables!K88</f>
        <v>0</v>
      </c>
      <c r="G91" s="0" t="n">
        <f aca="false">dummy_variables!L88</f>
        <v>4.3</v>
      </c>
      <c r="H91" s="0" t="n">
        <f aca="false">dummy_variables!O88</f>
        <v>0</v>
      </c>
      <c r="I91" s="0" t="n">
        <f aca="false">dummy_variables!P88</f>
        <v>0</v>
      </c>
      <c r="J91" s="0" t="n">
        <f aca="false">dummy_variables!Q88</f>
        <v>1</v>
      </c>
      <c r="K91" s="0" t="n">
        <f aca="false">dummy_variables!R88</f>
        <v>0</v>
      </c>
      <c r="L91" s="0" t="n">
        <f aca="false">dummy_variables!S88</f>
        <v>0</v>
      </c>
      <c r="M91" s="0" t="n">
        <f aca="false">dummy_variables!T88</f>
        <v>0</v>
      </c>
      <c r="N91" s="0" t="n">
        <f aca="false">dummy_variables!M88</f>
        <v>614596.32</v>
      </c>
    </row>
    <row r="92" customFormat="false" ht="15" hidden="false" customHeight="false" outlineLevel="0" collapsed="false">
      <c r="A92" s="0" t="n">
        <f aca="false">dummy_variables!E89</f>
        <v>18996.32</v>
      </c>
      <c r="B92" s="0" t="n">
        <f aca="false">dummy_variables!F89</f>
        <v>1260</v>
      </c>
      <c r="C92" s="0" t="n">
        <f aca="false">dummy_variables!G89</f>
        <v>0.145</v>
      </c>
      <c r="D92" s="0" t="n">
        <f aca="false">dummy_variables!I89</f>
        <v>86.4</v>
      </c>
      <c r="E92" s="0" t="n">
        <f aca="false">dummy_variables!J89</f>
        <v>4.31</v>
      </c>
      <c r="F92" s="0" t="n">
        <f aca="false">dummy_variables!K89</f>
        <v>0</v>
      </c>
      <c r="G92" s="0" t="n">
        <f aca="false">dummy_variables!L89</f>
        <v>4.6</v>
      </c>
      <c r="H92" s="0" t="n">
        <f aca="false">dummy_variables!O89</f>
        <v>0</v>
      </c>
      <c r="I92" s="0" t="n">
        <f aca="false">dummy_variables!P89</f>
        <v>0</v>
      </c>
      <c r="J92" s="0" t="n">
        <f aca="false">dummy_variables!Q89</f>
        <v>1</v>
      </c>
      <c r="K92" s="0" t="n">
        <f aca="false">dummy_variables!R89</f>
        <v>0</v>
      </c>
      <c r="L92" s="0" t="n">
        <f aca="false">dummy_variables!S89</f>
        <v>0</v>
      </c>
      <c r="M92" s="0" t="n">
        <f aca="false">dummy_variables!T89</f>
        <v>0</v>
      </c>
      <c r="N92" s="0" t="n">
        <f aca="false">dummy_variables!M89</f>
        <v>450711.92</v>
      </c>
    </row>
    <row r="93" customFormat="false" ht="15" hidden="false" customHeight="false" outlineLevel="0" collapsed="false">
      <c r="A93" s="0" t="n">
        <f aca="false">dummy_variables!E90</f>
        <v>50517.94</v>
      </c>
      <c r="B93" s="0" t="n">
        <f aca="false">dummy_variables!F90</f>
        <v>7024</v>
      </c>
      <c r="C93" s="0" t="n">
        <f aca="false">dummy_variables!G90</f>
        <v>0.029</v>
      </c>
      <c r="D93" s="0" t="n">
        <f aca="false">dummy_variables!I90</f>
        <v>79.2</v>
      </c>
      <c r="E93" s="0" t="n">
        <f aca="false">dummy_variables!J90</f>
        <v>6.61</v>
      </c>
      <c r="F93" s="0" t="n">
        <f aca="false">dummy_variables!K90</f>
        <v>1</v>
      </c>
      <c r="G93" s="0" t="n">
        <f aca="false">dummy_variables!L90</f>
        <v>4.1</v>
      </c>
      <c r="H93" s="0" t="n">
        <f aca="false">dummy_variables!O90</f>
        <v>0</v>
      </c>
      <c r="I93" s="0" t="n">
        <f aca="false">dummy_variables!P90</f>
        <v>1</v>
      </c>
      <c r="J93" s="0" t="n">
        <f aca="false">dummy_variables!Q90</f>
        <v>0</v>
      </c>
      <c r="K93" s="0" t="n">
        <f aca="false">dummy_variables!R90</f>
        <v>0</v>
      </c>
      <c r="L93" s="0" t="n">
        <f aca="false">dummy_variables!S90</f>
        <v>1</v>
      </c>
      <c r="M93" s="0" t="n">
        <f aca="false">dummy_variables!T90</f>
        <v>0</v>
      </c>
      <c r="N93" s="0" t="n">
        <f aca="false">dummy_variables!M90</f>
        <v>711213.46</v>
      </c>
    </row>
    <row r="94" customFormat="false" ht="15" hidden="false" customHeight="false" outlineLevel="0" collapsed="false">
      <c r="A94" s="0" t="n">
        <f aca="false">dummy_variables!E91</f>
        <v>141540.29</v>
      </c>
      <c r="B94" s="0" t="n">
        <f aca="false">dummy_variables!F91</f>
        <v>5400</v>
      </c>
      <c r="C94" s="0" t="n">
        <f aca="false">dummy_variables!G91</f>
        <v>0.013</v>
      </c>
      <c r="D94" s="0" t="n">
        <f aca="false">dummy_variables!I91</f>
        <v>87</v>
      </c>
      <c r="E94" s="0" t="n">
        <f aca="false">dummy_variables!J91</f>
        <v>4.26</v>
      </c>
      <c r="F94" s="0" t="n">
        <f aca="false">dummy_variables!K91</f>
        <v>0</v>
      </c>
      <c r="G94" s="0" t="n">
        <f aca="false">dummy_variables!L91</f>
        <v>4.5</v>
      </c>
      <c r="H94" s="0" t="n">
        <f aca="false">dummy_variables!O91</f>
        <v>0</v>
      </c>
      <c r="I94" s="0" t="n">
        <f aca="false">dummy_variables!P91</f>
        <v>1</v>
      </c>
      <c r="J94" s="0" t="n">
        <f aca="false">dummy_variables!Q91</f>
        <v>0</v>
      </c>
      <c r="K94" s="0" t="n">
        <f aca="false">dummy_variables!R91</f>
        <v>0</v>
      </c>
      <c r="L94" s="0" t="n">
        <f aca="false">dummy_variables!S91</f>
        <v>1</v>
      </c>
      <c r="M94" s="0" t="n">
        <f aca="false">dummy_variables!T91</f>
        <v>0</v>
      </c>
      <c r="N94" s="0" t="n">
        <f aca="false">dummy_variables!M91</f>
        <v>627171.9</v>
      </c>
    </row>
    <row r="95" customFormat="false" ht="15" hidden="false" customHeight="false" outlineLevel="0" collapsed="false">
      <c r="A95" s="0" t="n">
        <f aca="false">dummy_variables!E92</f>
        <v>82116.19</v>
      </c>
      <c r="B95" s="0" t="n">
        <f aca="false">dummy_variables!F92</f>
        <v>5988</v>
      </c>
      <c r="C95" s="0" t="n">
        <f aca="false">dummy_variables!G92</f>
        <v>0.04</v>
      </c>
      <c r="D95" s="0" t="n">
        <f aca="false">dummy_variables!I92</f>
        <v>91.8</v>
      </c>
      <c r="E95" s="0" t="n">
        <f aca="false">dummy_variables!J92</f>
        <v>5.75</v>
      </c>
      <c r="F95" s="0" t="n">
        <f aca="false">dummy_variables!K92</f>
        <v>0</v>
      </c>
      <c r="G95" s="0" t="n">
        <f aca="false">dummy_variables!L92</f>
        <v>4.7</v>
      </c>
      <c r="H95" s="0" t="n">
        <f aca="false">dummy_variables!O92</f>
        <v>0</v>
      </c>
      <c r="I95" s="0" t="n">
        <f aca="false">dummy_variables!P92</f>
        <v>1</v>
      </c>
      <c r="J95" s="0" t="n">
        <f aca="false">dummy_variables!Q92</f>
        <v>0</v>
      </c>
      <c r="K95" s="0" t="n">
        <f aca="false">dummy_variables!R92</f>
        <v>0</v>
      </c>
      <c r="L95" s="0" t="n">
        <f aca="false">dummy_variables!S92</f>
        <v>1</v>
      </c>
      <c r="M95" s="0" t="n">
        <f aca="false">dummy_variables!T92</f>
        <v>0</v>
      </c>
      <c r="N95" s="0" t="n">
        <f aca="false">dummy_variables!M92</f>
        <v>739852.58</v>
      </c>
    </row>
    <row r="96" customFormat="false" ht="15" hidden="false" customHeight="false" outlineLevel="0" collapsed="false">
      <c r="A96" s="0" t="n">
        <f aca="false">dummy_variables!E93</f>
        <v>31207.51</v>
      </c>
      <c r="B96" s="0" t="n">
        <f aca="false">dummy_variables!F93</f>
        <v>3701</v>
      </c>
      <c r="C96" s="0" t="n">
        <f aca="false">dummy_variables!G93</f>
        <v>0.043</v>
      </c>
      <c r="D96" s="0" t="n">
        <f aca="false">dummy_variables!I93</f>
        <v>84.7</v>
      </c>
      <c r="E96" s="0" t="n">
        <f aca="false">dummy_variables!J93</f>
        <v>0.33</v>
      </c>
      <c r="F96" s="0" t="n">
        <f aca="false">dummy_variables!K93</f>
        <v>0</v>
      </c>
      <c r="G96" s="0" t="n">
        <f aca="false">dummy_variables!L93</f>
        <v>4.3</v>
      </c>
      <c r="H96" s="0" t="n">
        <f aca="false">dummy_variables!O93</f>
        <v>0</v>
      </c>
      <c r="I96" s="0" t="n">
        <f aca="false">dummy_variables!P93</f>
        <v>1</v>
      </c>
      <c r="J96" s="0" t="n">
        <f aca="false">dummy_variables!Q93</f>
        <v>0</v>
      </c>
      <c r="K96" s="0" t="n">
        <f aca="false">dummy_variables!R93</f>
        <v>0</v>
      </c>
      <c r="L96" s="0" t="n">
        <f aca="false">dummy_variables!S93</f>
        <v>1</v>
      </c>
      <c r="M96" s="0" t="n">
        <f aca="false">dummy_variables!T93</f>
        <v>0</v>
      </c>
      <c r="N96" s="0" t="n">
        <f aca="false">dummy_variables!M93</f>
        <v>586307.22</v>
      </c>
    </row>
    <row r="97" customFormat="false" ht="15" hidden="false" customHeight="false" outlineLevel="0" collapsed="false">
      <c r="A97" s="0" t="n">
        <f aca="false">dummy_variables!E94</f>
        <v>38966.59</v>
      </c>
      <c r="B97" s="0" t="n">
        <f aca="false">dummy_variables!F94</f>
        <v>4509</v>
      </c>
      <c r="C97" s="0" t="n">
        <f aca="false">dummy_variables!G94</f>
        <v>0.194</v>
      </c>
      <c r="D97" s="0" t="n">
        <f aca="false">dummy_variables!I94</f>
        <v>91.1</v>
      </c>
      <c r="E97" s="0" t="n">
        <f aca="false">dummy_variables!J94</f>
        <v>2.92</v>
      </c>
      <c r="F97" s="0" t="n">
        <f aca="false">dummy_variables!K94</f>
        <v>0</v>
      </c>
      <c r="G97" s="0" t="n">
        <f aca="false">dummy_variables!L94</f>
        <v>4.6</v>
      </c>
      <c r="H97" s="0" t="n">
        <f aca="false">dummy_variables!O94</f>
        <v>0</v>
      </c>
      <c r="I97" s="0" t="n">
        <f aca="false">dummy_variables!P94</f>
        <v>0</v>
      </c>
      <c r="J97" s="0" t="n">
        <f aca="false">dummy_variables!Q94</f>
        <v>1</v>
      </c>
      <c r="K97" s="0" t="n">
        <f aca="false">dummy_variables!R94</f>
        <v>0</v>
      </c>
      <c r="L97" s="0" t="n">
        <f aca="false">dummy_variables!S94</f>
        <v>0</v>
      </c>
      <c r="M97" s="0" t="n">
        <f aca="false">dummy_variables!T94</f>
        <v>1</v>
      </c>
      <c r="N97" s="0" t="n">
        <f aca="false">dummy_variables!M94</f>
        <v>585937.48</v>
      </c>
    </row>
    <row r="98" customFormat="false" ht="15" hidden="false" customHeight="false" outlineLevel="0" collapsed="false">
      <c r="A98" s="0" t="n">
        <f aca="false">dummy_variables!E95</f>
        <v>67439.3</v>
      </c>
      <c r="B98" s="0" t="n">
        <f aca="false">dummy_variables!F95</f>
        <v>6477</v>
      </c>
      <c r="C98" s="0" t="n">
        <f aca="false">dummy_variables!G95</f>
        <v>0</v>
      </c>
      <c r="D98" s="0" t="n">
        <f aca="false">dummy_variables!I95</f>
        <v>90.9</v>
      </c>
      <c r="E98" s="0" t="n">
        <f aca="false">dummy_variables!J95</f>
        <v>1.64</v>
      </c>
      <c r="F98" s="0" t="n">
        <f aca="false">dummy_variables!K95</f>
        <v>0</v>
      </c>
      <c r="G98" s="0" t="n">
        <f aca="false">dummy_variables!L95</f>
        <v>4.5</v>
      </c>
      <c r="H98" s="0" t="n">
        <f aca="false">dummy_variables!O95</f>
        <v>0</v>
      </c>
      <c r="I98" s="0" t="n">
        <f aca="false">dummy_variables!P95</f>
        <v>0</v>
      </c>
      <c r="J98" s="0" t="n">
        <f aca="false">dummy_variables!Q95</f>
        <v>1</v>
      </c>
      <c r="K98" s="0" t="n">
        <f aca="false">dummy_variables!R95</f>
        <v>0</v>
      </c>
      <c r="L98" s="0" t="n">
        <f aca="false">dummy_variables!S95</f>
        <v>0</v>
      </c>
      <c r="M98" s="0" t="n">
        <f aca="false">dummy_variables!T95</f>
        <v>1</v>
      </c>
      <c r="N98" s="0" t="n">
        <f aca="false">dummy_variables!M95</f>
        <v>753473.55</v>
      </c>
    </row>
    <row r="99" customFormat="false" ht="15" hidden="false" customHeight="false" outlineLevel="0" collapsed="false">
      <c r="A99" s="0" t="n">
        <f aca="false">dummy_variables!E96</f>
        <v>86421.88</v>
      </c>
      <c r="B99" s="0" t="n">
        <f aca="false">dummy_variables!F96</f>
        <v>7970</v>
      </c>
      <c r="C99" s="0" t="n">
        <f aca="false">dummy_variables!G96</f>
        <v>0.073</v>
      </c>
      <c r="D99" s="0" t="n">
        <f aca="false">dummy_variables!I96</f>
        <v>91.3</v>
      </c>
      <c r="E99" s="0" t="n">
        <f aca="false">dummy_variables!J96</f>
        <v>0.8</v>
      </c>
      <c r="F99" s="0" t="n">
        <f aca="false">dummy_variables!K96</f>
        <v>0</v>
      </c>
      <c r="G99" s="0" t="n">
        <f aca="false">dummy_variables!L96</f>
        <v>5</v>
      </c>
      <c r="H99" s="0" t="n">
        <f aca="false">dummy_variables!O96</f>
        <v>0</v>
      </c>
      <c r="I99" s="0" t="n">
        <f aca="false">dummy_variables!P96</f>
        <v>0</v>
      </c>
      <c r="J99" s="0" t="n">
        <f aca="false">dummy_variables!Q96</f>
        <v>1</v>
      </c>
      <c r="K99" s="0" t="n">
        <f aca="false">dummy_variables!R96</f>
        <v>0</v>
      </c>
      <c r="L99" s="0" t="n">
        <f aca="false">dummy_variables!S96</f>
        <v>0</v>
      </c>
      <c r="M99" s="0" t="n">
        <f aca="false">dummy_variables!T96</f>
        <v>1</v>
      </c>
      <c r="N99" s="0" t="n">
        <f aca="false">dummy_variables!M96</f>
        <v>838250.32</v>
      </c>
    </row>
    <row r="100" customFormat="false" ht="15" hidden="false" customHeight="false" outlineLevel="0" collapsed="false">
      <c r="A100" s="0" t="n">
        <f aca="false">dummy_variables!E97</f>
        <v>9534.65</v>
      </c>
      <c r="B100" s="0" t="n">
        <f aca="false">dummy_variables!F97</f>
        <v>6057</v>
      </c>
      <c r="C100" s="0" t="n">
        <f aca="false">dummy_variables!G97</f>
        <v>0.074</v>
      </c>
      <c r="D100" s="0" t="n">
        <f aca="false">dummy_variables!I97</f>
        <v>94.1</v>
      </c>
      <c r="E100" s="0" t="n">
        <f aca="false">dummy_variables!J97</f>
        <v>5.79</v>
      </c>
      <c r="F100" s="0" t="n">
        <f aca="false">dummy_variables!K97</f>
        <v>0</v>
      </c>
      <c r="G100" s="0" t="n">
        <f aca="false">dummy_variables!L97</f>
        <v>4.5</v>
      </c>
      <c r="H100" s="0" t="n">
        <f aca="false">dummy_variables!O97</f>
        <v>0</v>
      </c>
      <c r="I100" s="0" t="n">
        <f aca="false">dummy_variables!P97</f>
        <v>0</v>
      </c>
      <c r="J100" s="0" t="n">
        <f aca="false">dummy_variables!Q97</f>
        <v>1</v>
      </c>
      <c r="K100" s="0" t="n">
        <f aca="false">dummy_variables!R97</f>
        <v>0</v>
      </c>
      <c r="L100" s="0" t="n">
        <f aca="false">dummy_variables!S97</f>
        <v>0</v>
      </c>
      <c r="M100" s="0" t="n">
        <f aca="false">dummy_variables!T97</f>
        <v>1</v>
      </c>
      <c r="N100" s="0" t="n">
        <f aca="false">dummy_variables!M97</f>
        <v>607898.12</v>
      </c>
    </row>
    <row r="101" customFormat="false" ht="15" hidden="false" customHeight="false" outlineLevel="0" collapsed="false">
      <c r="A101" s="0" t="n">
        <f aca="false">dummy_variables!E98</f>
        <v>61132.07</v>
      </c>
      <c r="B101" s="0" t="n">
        <f aca="false">dummy_variables!F98</f>
        <v>6394</v>
      </c>
      <c r="C101" s="0" t="n">
        <f aca="false">dummy_variables!G98</f>
        <v>0.163</v>
      </c>
      <c r="D101" s="0" t="n">
        <f aca="false">dummy_variables!I98</f>
        <v>91</v>
      </c>
      <c r="E101" s="0" t="n">
        <f aca="false">dummy_variables!J98</f>
        <v>19.6</v>
      </c>
      <c r="F101" s="0" t="n">
        <f aca="false">dummy_variables!K98</f>
        <v>0</v>
      </c>
      <c r="G101" s="0" t="n">
        <f aca="false">dummy_variables!L98</f>
        <v>4.4</v>
      </c>
      <c r="H101" s="0" t="n">
        <f aca="false">dummy_variables!O98</f>
        <v>0</v>
      </c>
      <c r="I101" s="0" t="n">
        <f aca="false">dummy_variables!P98</f>
        <v>0</v>
      </c>
      <c r="J101" s="0" t="n">
        <f aca="false">dummy_variables!Q98</f>
        <v>1</v>
      </c>
      <c r="K101" s="0" t="n">
        <f aca="false">dummy_variables!R98</f>
        <v>0</v>
      </c>
      <c r="L101" s="0" t="n">
        <f aca="false">dummy_variables!S98</f>
        <v>1</v>
      </c>
      <c r="M101" s="0" t="n">
        <f aca="false">dummy_variables!T98</f>
        <v>0</v>
      </c>
      <c r="N101" s="0" t="n">
        <f aca="false">dummy_variables!M98</f>
        <v>691113.62</v>
      </c>
    </row>
    <row r="102" customFormat="false" ht="15" hidden="false" customHeight="false" outlineLevel="0" collapsed="false">
      <c r="A102" s="0" t="n">
        <f aca="false">dummy_variables!E99</f>
        <v>78839.39</v>
      </c>
      <c r="B102" s="0" t="n">
        <f aca="false">dummy_variables!F99</f>
        <v>5150</v>
      </c>
      <c r="C102" s="0" t="n">
        <f aca="false">dummy_variables!G99</f>
        <v>0.171</v>
      </c>
      <c r="D102" s="0" t="n">
        <f aca="false">dummy_variables!I99</f>
        <v>85.8</v>
      </c>
      <c r="E102" s="0" t="n">
        <f aca="false">dummy_variables!J99</f>
        <v>7.57</v>
      </c>
      <c r="F102" s="0" t="n">
        <f aca="false">dummy_variables!K99</f>
        <v>0</v>
      </c>
      <c r="G102" s="0" t="n">
        <f aca="false">dummy_variables!L99</f>
        <v>4.3</v>
      </c>
      <c r="H102" s="0" t="n">
        <f aca="false">dummy_variables!O99</f>
        <v>0</v>
      </c>
      <c r="I102" s="0" t="n">
        <f aca="false">dummy_variables!P99</f>
        <v>0</v>
      </c>
      <c r="J102" s="0" t="n">
        <f aca="false">dummy_variables!Q99</f>
        <v>1</v>
      </c>
      <c r="K102" s="0" t="n">
        <f aca="false">dummy_variables!R99</f>
        <v>0</v>
      </c>
      <c r="L102" s="0" t="n">
        <f aca="false">dummy_variables!S99</f>
        <v>1</v>
      </c>
      <c r="M102" s="0" t="n">
        <f aca="false">dummy_variables!T99</f>
        <v>0</v>
      </c>
      <c r="N102" s="0" t="n">
        <f aca="false">dummy_variables!M99</f>
        <v>735509.4</v>
      </c>
    </row>
    <row r="103" customFormat="false" ht="15" hidden="false" customHeight="false" outlineLevel="0" collapsed="false">
      <c r="A103" s="0" t="n">
        <f aca="false">dummy_variables!E100</f>
        <v>38752.8</v>
      </c>
      <c r="B103" s="0" t="n">
        <f aca="false">dummy_variables!F100</f>
        <v>4712</v>
      </c>
      <c r="C103" s="0" t="n">
        <f aca="false">dummy_variables!G100</f>
        <v>0.075</v>
      </c>
      <c r="D103" s="0" t="n">
        <f aca="false">dummy_variables!I100</f>
        <v>89.7</v>
      </c>
      <c r="E103" s="0" t="n">
        <f aca="false">dummy_variables!J100</f>
        <v>3.365</v>
      </c>
      <c r="F103" s="0" t="n">
        <f aca="false">dummy_variables!K100</f>
        <v>0</v>
      </c>
      <c r="G103" s="0" t="n">
        <f aca="false">dummy_variables!L100</f>
        <v>4.3</v>
      </c>
      <c r="H103" s="0" t="n">
        <f aca="false">dummy_variables!O100</f>
        <v>0</v>
      </c>
      <c r="I103" s="0" t="n">
        <f aca="false">dummy_variables!P100</f>
        <v>0</v>
      </c>
      <c r="J103" s="0" t="n">
        <f aca="false">dummy_variables!Q100</f>
        <v>1</v>
      </c>
      <c r="K103" s="0" t="n">
        <f aca="false">dummy_variables!R100</f>
        <v>0</v>
      </c>
      <c r="L103" s="0" t="n">
        <f aca="false">dummy_variables!S100</f>
        <v>1</v>
      </c>
      <c r="M103" s="0" t="n">
        <f aca="false">dummy_variables!T100</f>
        <v>0</v>
      </c>
      <c r="N103" s="0" t="n">
        <f aca="false">dummy_variables!M100</f>
        <v>605775.33</v>
      </c>
    </row>
    <row r="104" customFormat="false" ht="15" hidden="false" customHeight="false" outlineLevel="0" collapsed="false">
      <c r="A104" s="0" t="n">
        <f aca="false">dummy_variables!E101</f>
        <v>55101.1</v>
      </c>
      <c r="B104" s="0" t="n">
        <f aca="false">dummy_variables!F101</f>
        <v>5281</v>
      </c>
      <c r="C104" s="0" t="n">
        <f aca="false">dummy_variables!G101</f>
        <v>0.189</v>
      </c>
      <c r="D104" s="0" t="n">
        <f aca="false">dummy_variables!I101</f>
        <v>91</v>
      </c>
      <c r="E104" s="0" t="n">
        <f aca="false">dummy_variables!J101</f>
        <v>2.7</v>
      </c>
      <c r="F104" s="0" t="n">
        <f aca="false">dummy_variables!K101</f>
        <v>0</v>
      </c>
      <c r="G104" s="0" t="n">
        <f aca="false">dummy_variables!L101</f>
        <v>4.4</v>
      </c>
      <c r="H104" s="0" t="n">
        <f aca="false">dummy_variables!O101</f>
        <v>0</v>
      </c>
      <c r="I104" s="0" t="n">
        <f aca="false">dummy_variables!P101</f>
        <v>0</v>
      </c>
      <c r="J104" s="0" t="n">
        <f aca="false">dummy_variables!Q101</f>
        <v>1</v>
      </c>
      <c r="K104" s="0" t="n">
        <f aca="false">dummy_variables!R101</f>
        <v>0</v>
      </c>
      <c r="L104" s="0" t="n">
        <f aca="false">dummy_variables!S101</f>
        <v>1</v>
      </c>
      <c r="M104" s="0" t="n">
        <f aca="false">dummy_variables!T101</f>
        <v>0</v>
      </c>
      <c r="N104" s="0" t="n">
        <f aca="false">dummy_variables!M101</f>
        <v>675177.68</v>
      </c>
    </row>
    <row r="105" customFormat="false" ht="15" hidden="false" customHeight="false" outlineLevel="0" collapsed="false">
      <c r="A105" s="0" t="n">
        <f aca="false">dummy_variables!E102</f>
        <v>53084.76</v>
      </c>
      <c r="B105" s="0" t="n">
        <f aca="false">dummy_variables!F102</f>
        <v>3642</v>
      </c>
      <c r="C105" s="0" t="n">
        <f aca="false">dummy_variables!G102</f>
        <v>0.15</v>
      </c>
      <c r="D105" s="0" t="n">
        <f aca="false">dummy_variables!I102</f>
        <v>91.4</v>
      </c>
      <c r="E105" s="0" t="n">
        <f aca="false">dummy_variables!J102</f>
        <v>0.2</v>
      </c>
      <c r="F105" s="0" t="n">
        <f aca="false">dummy_variables!K102</f>
        <v>0</v>
      </c>
      <c r="G105" s="0" t="n">
        <f aca="false">dummy_variables!L102</f>
        <v>4.4</v>
      </c>
      <c r="H105" s="0" t="n">
        <f aca="false">dummy_variables!O102</f>
        <v>0</v>
      </c>
      <c r="I105" s="0" t="n">
        <f aca="false">dummy_variables!P102</f>
        <v>0</v>
      </c>
      <c r="J105" s="0" t="n">
        <f aca="false">dummy_variables!Q102</f>
        <v>0</v>
      </c>
      <c r="K105" s="0" t="n">
        <f aca="false">dummy_variables!R102</f>
        <v>0</v>
      </c>
      <c r="L105" s="0" t="n">
        <f aca="false">dummy_variables!S102</f>
        <v>1</v>
      </c>
      <c r="M105" s="0" t="n">
        <f aca="false">dummy_variables!T102</f>
        <v>0</v>
      </c>
      <c r="N105" s="0" t="n">
        <f aca="false">dummy_variables!M102</f>
        <v>635181.35</v>
      </c>
    </row>
    <row r="106" customFormat="false" ht="15" hidden="false" customHeight="false" outlineLevel="0" collapsed="false">
      <c r="A106" s="0" t="n">
        <f aca="false">dummy_variables!E103</f>
        <v>63101.59</v>
      </c>
      <c r="B106" s="0" t="n">
        <f aca="false">dummy_variables!F103</f>
        <v>4373</v>
      </c>
      <c r="C106" s="0" t="n">
        <f aca="false">dummy_variables!G103</f>
        <v>0.173</v>
      </c>
      <c r="D106" s="0" t="n">
        <f aca="false">dummy_variables!I103</f>
        <v>90.4</v>
      </c>
      <c r="E106" s="0" t="n">
        <f aca="false">dummy_variables!J103</f>
        <v>7.87</v>
      </c>
      <c r="F106" s="0" t="n">
        <f aca="false">dummy_variables!K103</f>
        <v>0</v>
      </c>
      <c r="G106" s="0" t="n">
        <f aca="false">dummy_variables!L103</f>
        <v>4.7</v>
      </c>
      <c r="H106" s="0" t="n">
        <f aca="false">dummy_variables!O103</f>
        <v>0</v>
      </c>
      <c r="I106" s="0" t="n">
        <f aca="false">dummy_variables!P103</f>
        <v>0</v>
      </c>
      <c r="J106" s="0" t="n">
        <f aca="false">dummy_variables!Q103</f>
        <v>0</v>
      </c>
      <c r="K106" s="0" t="n">
        <f aca="false">dummy_variables!R103</f>
        <v>0</v>
      </c>
      <c r="L106" s="0" t="n">
        <f aca="false">dummy_variables!S103</f>
        <v>1</v>
      </c>
      <c r="M106" s="0" t="n">
        <f aca="false">dummy_variables!T103</f>
        <v>0</v>
      </c>
      <c r="N106" s="0" t="n">
        <f aca="false">dummy_variables!M103</f>
        <v>586626.94</v>
      </c>
    </row>
    <row r="107" customFormat="false" ht="15" hidden="false" customHeight="false" outlineLevel="0" collapsed="false">
      <c r="A107" s="0" t="n">
        <f aca="false">dummy_variables!E104</f>
        <v>90084.4</v>
      </c>
      <c r="B107" s="0" t="n">
        <f aca="false">dummy_variables!F104</f>
        <v>6832</v>
      </c>
      <c r="C107" s="0" t="n">
        <f aca="false">dummy_variables!G104</f>
        <v>0.185</v>
      </c>
      <c r="D107" s="0" t="n">
        <f aca="false">dummy_variables!I104</f>
        <v>80.5</v>
      </c>
      <c r="E107" s="0" t="n">
        <f aca="false">dummy_variables!J104</f>
        <v>0.77</v>
      </c>
      <c r="F107" s="0" t="n">
        <f aca="false">dummy_variables!K104</f>
        <v>1</v>
      </c>
      <c r="G107" s="0" t="n">
        <f aca="false">dummy_variables!L104</f>
        <v>4.4</v>
      </c>
      <c r="H107" s="0" t="n">
        <f aca="false">dummy_variables!O104</f>
        <v>0</v>
      </c>
      <c r="I107" s="0" t="n">
        <f aca="false">dummy_variables!P104</f>
        <v>0</v>
      </c>
      <c r="J107" s="0" t="n">
        <f aca="false">dummy_variables!Q104</f>
        <v>0</v>
      </c>
      <c r="K107" s="0" t="n">
        <f aca="false">dummy_variables!R104</f>
        <v>0</v>
      </c>
      <c r="L107" s="0" t="n">
        <f aca="false">dummy_variables!S104</f>
        <v>1</v>
      </c>
      <c r="M107" s="0" t="n">
        <f aca="false">dummy_variables!T104</f>
        <v>0</v>
      </c>
      <c r="N107" s="0" t="n">
        <f aca="false">dummy_variables!M104</f>
        <v>740102.64</v>
      </c>
    </row>
    <row r="108" customFormat="false" ht="15" hidden="false" customHeight="false" outlineLevel="0" collapsed="false">
      <c r="A108" s="0" t="n">
        <f aca="false">dummy_variables!E105</f>
        <v>32266.64</v>
      </c>
      <c r="B108" s="0" t="n">
        <f aca="false">dummy_variables!F105</f>
        <v>2414</v>
      </c>
      <c r="C108" s="0" t="n">
        <f aca="false">dummy_variables!G105</f>
        <v>0.08</v>
      </c>
      <c r="D108" s="0" t="n">
        <f aca="false">dummy_variables!I105</f>
        <v>92.1</v>
      </c>
      <c r="E108" s="0" t="n">
        <f aca="false">dummy_variables!J105</f>
        <v>1.48</v>
      </c>
      <c r="F108" s="0" t="n">
        <f aca="false">dummy_variables!K105</f>
        <v>0</v>
      </c>
      <c r="G108" s="0" t="n">
        <f aca="false">dummy_variables!L105</f>
        <v>5</v>
      </c>
      <c r="H108" s="0" t="n">
        <f aca="false">dummy_variables!O105</f>
        <v>0</v>
      </c>
      <c r="I108" s="0" t="n">
        <f aca="false">dummy_variables!P105</f>
        <v>0</v>
      </c>
      <c r="J108" s="0" t="n">
        <f aca="false">dummy_variables!Q105</f>
        <v>0</v>
      </c>
      <c r="K108" s="0" t="n">
        <f aca="false">dummy_variables!R105</f>
        <v>0</v>
      </c>
      <c r="L108" s="0" t="n">
        <f aca="false">dummy_variables!S105</f>
        <v>1</v>
      </c>
      <c r="M108" s="0" t="n">
        <f aca="false">dummy_variables!T105</f>
        <v>0</v>
      </c>
      <c r="N108" s="0" t="n">
        <f aca="false">dummy_variables!M105</f>
        <v>625514.04</v>
      </c>
    </row>
    <row r="109" customFormat="false" ht="15" hidden="false" customHeight="false" outlineLevel="0" collapsed="false">
      <c r="A109" s="0" t="n">
        <f aca="false">dummy_variables!E106</f>
        <v>57919.07</v>
      </c>
      <c r="B109" s="0" t="n">
        <f aca="false">dummy_variables!F106</f>
        <v>7374</v>
      </c>
      <c r="C109" s="0" t="n">
        <f aca="false">dummy_variables!G106</f>
        <v>0.103</v>
      </c>
      <c r="D109" s="0" t="n">
        <f aca="false">dummy_variables!I106</f>
        <v>82.3</v>
      </c>
      <c r="E109" s="0" t="n">
        <f aca="false">dummy_variables!J106</f>
        <v>2.87</v>
      </c>
      <c r="F109" s="0" t="n">
        <f aca="false">dummy_variables!K106</f>
        <v>0</v>
      </c>
      <c r="G109" s="0" t="n">
        <f aca="false">dummy_variables!L106</f>
        <v>2.9</v>
      </c>
      <c r="H109" s="0" t="n">
        <f aca="false">dummy_variables!O106</f>
        <v>0</v>
      </c>
      <c r="I109" s="0" t="n">
        <f aca="false">dummy_variables!P106</f>
        <v>0</v>
      </c>
      <c r="J109" s="0" t="n">
        <f aca="false">dummy_variables!Q106</f>
        <v>1</v>
      </c>
      <c r="K109" s="0" t="n">
        <f aca="false">dummy_variables!R106</f>
        <v>0</v>
      </c>
      <c r="L109" s="0" t="n">
        <f aca="false">dummy_variables!S106</f>
        <v>0</v>
      </c>
      <c r="M109" s="0" t="n">
        <f aca="false">dummy_variables!T106</f>
        <v>0</v>
      </c>
      <c r="N109" s="0" t="n">
        <f aca="false">dummy_variables!M106</f>
        <v>727227.2</v>
      </c>
    </row>
    <row r="110" customFormat="false" ht="15" hidden="false" customHeight="false" outlineLevel="0" collapsed="false">
      <c r="A110" s="0" t="n">
        <f aca="false">dummy_variables!E107</f>
        <v>74679.35</v>
      </c>
      <c r="B110" s="0" t="n">
        <f aca="false">dummy_variables!F107</f>
        <v>8739</v>
      </c>
      <c r="C110" s="0" t="n">
        <f aca="false">dummy_variables!G107</f>
        <v>0.056</v>
      </c>
      <c r="D110" s="0" t="n">
        <f aca="false">dummy_variables!I107</f>
        <v>91.8</v>
      </c>
      <c r="E110" s="0" t="n">
        <f aca="false">dummy_variables!J107</f>
        <v>2.83</v>
      </c>
      <c r="F110" s="0" t="n">
        <f aca="false">dummy_variables!K107</f>
        <v>0</v>
      </c>
      <c r="G110" s="0" t="n">
        <f aca="false">dummy_variables!L107</f>
        <v>3</v>
      </c>
      <c r="H110" s="0" t="n">
        <f aca="false">dummy_variables!O107</f>
        <v>0</v>
      </c>
      <c r="I110" s="0" t="n">
        <f aca="false">dummy_variables!P107</f>
        <v>0</v>
      </c>
      <c r="J110" s="0" t="n">
        <f aca="false">dummy_variables!Q107</f>
        <v>1</v>
      </c>
      <c r="K110" s="0" t="n">
        <f aca="false">dummy_variables!R107</f>
        <v>0</v>
      </c>
      <c r="L110" s="0" t="n">
        <f aca="false">dummy_variables!S107</f>
        <v>0</v>
      </c>
      <c r="M110" s="0" t="n">
        <f aca="false">dummy_variables!T107</f>
        <v>0</v>
      </c>
      <c r="N110" s="0" t="n">
        <f aca="false">dummy_variables!M107</f>
        <v>783797.89</v>
      </c>
    </row>
    <row r="111" customFormat="false" ht="15" hidden="false" customHeight="false" outlineLevel="0" collapsed="false">
      <c r="A111" s="0" t="n">
        <f aca="false">dummy_variables!E108</f>
        <v>64294.23</v>
      </c>
      <c r="B111" s="0" t="n">
        <f aca="false">dummy_variables!F108</f>
        <v>6992</v>
      </c>
      <c r="C111" s="0" t="n">
        <f aca="false">dummy_variables!G108</f>
        <v>0.133</v>
      </c>
      <c r="D111" s="0" t="n">
        <f aca="false">dummy_variables!I108</f>
        <v>94.1</v>
      </c>
      <c r="E111" s="0" t="n">
        <f aca="false">dummy_variables!J108</f>
        <v>0.25</v>
      </c>
      <c r="F111" s="0" t="n">
        <f aca="false">dummy_variables!K108</f>
        <v>0</v>
      </c>
      <c r="G111" s="0" t="n">
        <f aca="false">dummy_variables!L108</f>
        <v>3</v>
      </c>
      <c r="H111" s="0" t="n">
        <f aca="false">dummy_variables!O108</f>
        <v>0</v>
      </c>
      <c r="I111" s="0" t="n">
        <f aca="false">dummy_variables!P108</f>
        <v>0</v>
      </c>
      <c r="J111" s="0" t="n">
        <f aca="false">dummy_variables!Q108</f>
        <v>1</v>
      </c>
      <c r="K111" s="0" t="n">
        <f aca="false">dummy_variables!R108</f>
        <v>0</v>
      </c>
      <c r="L111" s="0" t="n">
        <f aca="false">dummy_variables!S108</f>
        <v>0</v>
      </c>
      <c r="M111" s="0" t="n">
        <f aca="false">dummy_variables!T108</f>
        <v>0</v>
      </c>
      <c r="N111" s="0" t="n">
        <f aca="false">dummy_variables!M108</f>
        <v>795153.84</v>
      </c>
    </row>
    <row r="112" customFormat="false" ht="15" hidden="false" customHeight="false" outlineLevel="0" collapsed="false">
      <c r="A112" s="0" t="n">
        <f aca="false">dummy_variables!E109</f>
        <v>31042.03</v>
      </c>
      <c r="B112" s="0" t="n">
        <f aca="false">dummy_variables!F109</f>
        <v>7107</v>
      </c>
      <c r="C112" s="0" t="n">
        <f aca="false">dummy_variables!G109</f>
        <v>0.051</v>
      </c>
      <c r="D112" s="0" t="n">
        <f aca="false">dummy_variables!I109</f>
        <v>87</v>
      </c>
      <c r="E112" s="0" t="n">
        <f aca="false">dummy_variables!J109</f>
        <v>13.33</v>
      </c>
      <c r="F112" s="0" t="n">
        <f aca="false">dummy_variables!K109</f>
        <v>0</v>
      </c>
      <c r="G112" s="0" t="n">
        <f aca="false">dummy_variables!L109</f>
        <v>3.2</v>
      </c>
      <c r="H112" s="0" t="n">
        <f aca="false">dummy_variables!O109</f>
        <v>0</v>
      </c>
      <c r="I112" s="0" t="n">
        <f aca="false">dummy_variables!P109</f>
        <v>0</v>
      </c>
      <c r="J112" s="0" t="n">
        <f aca="false">dummy_variables!Q109</f>
        <v>1</v>
      </c>
      <c r="K112" s="0" t="n">
        <f aca="false">dummy_variables!R109</f>
        <v>0</v>
      </c>
      <c r="L112" s="0" t="n">
        <f aca="false">dummy_variables!S109</f>
        <v>0</v>
      </c>
      <c r="M112" s="0" t="n">
        <f aca="false">dummy_variables!T109</f>
        <v>0</v>
      </c>
      <c r="N112" s="0" t="n">
        <f aca="false">dummy_variables!M109</f>
        <v>665594.94</v>
      </c>
    </row>
    <row r="113" customFormat="false" ht="15" hidden="false" customHeight="false" outlineLevel="0" collapsed="false">
      <c r="A113" s="0" t="n">
        <f aca="false">dummy_variables!E110</f>
        <v>75265.02</v>
      </c>
      <c r="B113" s="0" t="n">
        <f aca="false">dummy_variables!F110</f>
        <v>6975</v>
      </c>
      <c r="C113" s="0" t="n">
        <f aca="false">dummy_variables!G110</f>
        <v>0.157</v>
      </c>
      <c r="D113" s="0" t="n">
        <f aca="false">dummy_variables!I110</f>
        <v>73.8</v>
      </c>
      <c r="E113" s="0" t="n">
        <f aca="false">dummy_variables!J110</f>
        <v>6.35</v>
      </c>
      <c r="F113" s="0" t="n">
        <f aca="false">dummy_variables!K110</f>
        <v>1</v>
      </c>
      <c r="G113" s="0" t="n">
        <f aca="false">dummy_variables!L110</f>
        <v>3.8</v>
      </c>
      <c r="H113" s="0" t="n">
        <f aca="false">dummy_variables!O110</f>
        <v>0</v>
      </c>
      <c r="I113" s="0" t="n">
        <f aca="false">dummy_variables!P110</f>
        <v>0</v>
      </c>
      <c r="J113" s="0" t="n">
        <f aca="false">dummy_variables!Q110</f>
        <v>0</v>
      </c>
      <c r="K113" s="0" t="n">
        <f aca="false">dummy_variables!R110</f>
        <v>0</v>
      </c>
      <c r="L113" s="0" t="n">
        <f aca="false">dummy_variables!S110</f>
        <v>1</v>
      </c>
      <c r="M113" s="0" t="n">
        <f aca="false">dummy_variables!T110</f>
        <v>0</v>
      </c>
      <c r="N113" s="0" t="n">
        <f aca="false">dummy_variables!M110</f>
        <v>709478.39</v>
      </c>
    </row>
    <row r="114" customFormat="false" ht="15" hidden="false" customHeight="false" outlineLevel="0" collapsed="false">
      <c r="A114" s="0" t="n">
        <f aca="false">dummy_variables!E111</f>
        <v>69411.7</v>
      </c>
      <c r="B114" s="0" t="n">
        <f aca="false">dummy_variables!F111</f>
        <v>5493</v>
      </c>
      <c r="C114" s="0" t="n">
        <f aca="false">dummy_variables!G111</f>
        <v>0.292</v>
      </c>
      <c r="D114" s="0" t="n">
        <f aca="false">dummy_variables!I111</f>
        <v>86.5</v>
      </c>
      <c r="E114" s="0" t="n">
        <f aca="false">dummy_variables!J111</f>
        <v>6.69</v>
      </c>
      <c r="F114" s="0" t="n">
        <f aca="false">dummy_variables!K111</f>
        <v>0</v>
      </c>
      <c r="G114" s="0" t="n">
        <f aca="false">dummy_variables!L111</f>
        <v>3.8</v>
      </c>
      <c r="H114" s="0" t="n">
        <f aca="false">dummy_variables!O111</f>
        <v>0</v>
      </c>
      <c r="I114" s="0" t="n">
        <f aca="false">dummy_variables!P111</f>
        <v>0</v>
      </c>
      <c r="J114" s="0" t="n">
        <f aca="false">dummy_variables!Q111</f>
        <v>0</v>
      </c>
      <c r="K114" s="0" t="n">
        <f aca="false">dummy_variables!R111</f>
        <v>0</v>
      </c>
      <c r="L114" s="0" t="n">
        <f aca="false">dummy_variables!S111</f>
        <v>1</v>
      </c>
      <c r="M114" s="0" t="n">
        <f aca="false">dummy_variables!T111</f>
        <v>0</v>
      </c>
      <c r="N114" s="0" t="n">
        <f aca="false">dummy_variables!M111</f>
        <v>664162.49</v>
      </c>
    </row>
    <row r="115" customFormat="false" ht="15" hidden="false" customHeight="false" outlineLevel="0" collapsed="false">
      <c r="A115" s="0" t="n">
        <f aca="false">dummy_variables!E112</f>
        <v>51056.15</v>
      </c>
      <c r="B115" s="0" t="n">
        <f aca="false">dummy_variables!F112</f>
        <v>5686</v>
      </c>
      <c r="C115" s="0" t="n">
        <f aca="false">dummy_variables!G112</f>
        <v>0.089</v>
      </c>
      <c r="D115" s="0" t="n">
        <f aca="false">dummy_variables!I112</f>
        <v>89.9</v>
      </c>
      <c r="E115" s="0" t="n">
        <f aca="false">dummy_variables!J112</f>
        <v>1.28</v>
      </c>
      <c r="F115" s="0" t="n">
        <f aca="false">dummy_variables!K112</f>
        <v>0</v>
      </c>
      <c r="G115" s="0" t="n">
        <f aca="false">dummy_variables!L112</f>
        <v>4.2</v>
      </c>
      <c r="H115" s="0" t="n">
        <f aca="false">dummy_variables!O112</f>
        <v>0</v>
      </c>
      <c r="I115" s="0" t="n">
        <f aca="false">dummy_variables!P112</f>
        <v>0</v>
      </c>
      <c r="J115" s="0" t="n">
        <f aca="false">dummy_variables!Q112</f>
        <v>0</v>
      </c>
      <c r="K115" s="0" t="n">
        <f aca="false">dummy_variables!R112</f>
        <v>0</v>
      </c>
      <c r="L115" s="0" t="n">
        <f aca="false">dummy_variables!S112</f>
        <v>1</v>
      </c>
      <c r="M115" s="0" t="n">
        <f aca="false">dummy_variables!T112</f>
        <v>0</v>
      </c>
      <c r="N115" s="0" t="n">
        <f aca="false">dummy_variables!M112</f>
        <v>633494.21</v>
      </c>
    </row>
    <row r="116" customFormat="false" ht="15" hidden="false" customHeight="false" outlineLevel="0" collapsed="false">
      <c r="A116" s="0" t="n">
        <f aca="false">dummy_variables!E113</f>
        <v>52758.01</v>
      </c>
      <c r="B116" s="0" t="n">
        <f aca="false">dummy_variables!F113</f>
        <v>4063</v>
      </c>
      <c r="C116" s="0" t="n">
        <f aca="false">dummy_variables!G113</f>
        <v>0.057</v>
      </c>
      <c r="D116" s="0" t="n">
        <f aca="false">dummy_variables!I113</f>
        <v>91.7</v>
      </c>
      <c r="E116" s="0" t="n">
        <f aca="false">dummy_variables!J113</f>
        <v>0.92</v>
      </c>
      <c r="F116" s="0" t="n">
        <f aca="false">dummy_variables!K113</f>
        <v>0</v>
      </c>
      <c r="G116" s="0" t="n">
        <f aca="false">dummy_variables!L113</f>
        <v>3.5</v>
      </c>
      <c r="H116" s="0" t="n">
        <f aca="false">dummy_variables!O113</f>
        <v>0</v>
      </c>
      <c r="I116" s="0" t="n">
        <f aca="false">dummy_variables!P113</f>
        <v>0</v>
      </c>
      <c r="J116" s="0" t="n">
        <f aca="false">dummy_variables!Q113</f>
        <v>0</v>
      </c>
      <c r="K116" s="0" t="n">
        <f aca="false">dummy_variables!R113</f>
        <v>0</v>
      </c>
      <c r="L116" s="0" t="n">
        <f aca="false">dummy_variables!S113</f>
        <v>1</v>
      </c>
      <c r="M116" s="0" t="n">
        <f aca="false">dummy_variables!T113</f>
        <v>0</v>
      </c>
      <c r="N116" s="0" t="n">
        <f aca="false">dummy_variables!M113</f>
        <v>713611.16</v>
      </c>
    </row>
    <row r="117" customFormat="false" ht="15" hidden="false" customHeight="false" outlineLevel="0" collapsed="false">
      <c r="A117" s="0" t="n">
        <f aca="false">dummy_variables!E114</f>
        <v>61426.04</v>
      </c>
      <c r="B117" s="0" t="n">
        <f aca="false">dummy_variables!F114</f>
        <v>8966</v>
      </c>
      <c r="C117" s="0" t="n">
        <f aca="false">dummy_variables!G114</f>
        <v>0.173</v>
      </c>
      <c r="D117" s="0" t="n">
        <f aca="false">dummy_variables!I114</f>
        <v>76.4</v>
      </c>
      <c r="E117" s="0" t="n">
        <f aca="false">dummy_variables!J114</f>
        <v>1.05</v>
      </c>
      <c r="F117" s="0" t="n">
        <f aca="false">dummy_variables!K114</f>
        <v>0</v>
      </c>
      <c r="G117" s="0" t="n">
        <f aca="false">dummy_variables!L114</f>
        <v>3.1</v>
      </c>
      <c r="H117" s="0" t="n">
        <f aca="false">dummy_variables!O114</f>
        <v>0</v>
      </c>
      <c r="I117" s="0" t="n">
        <f aca="false">dummy_variables!P114</f>
        <v>0</v>
      </c>
      <c r="J117" s="0" t="n">
        <f aca="false">dummy_variables!Q114</f>
        <v>1</v>
      </c>
      <c r="K117" s="0" t="n">
        <f aca="false">dummy_variables!R114</f>
        <v>0</v>
      </c>
      <c r="L117" s="0" t="n">
        <f aca="false">dummy_variables!S114</f>
        <v>1</v>
      </c>
      <c r="M117" s="0" t="n">
        <f aca="false">dummy_variables!T114</f>
        <v>0</v>
      </c>
      <c r="N117" s="0" t="n">
        <f aca="false">dummy_variables!M114</f>
        <v>778397.97</v>
      </c>
    </row>
    <row r="118" customFormat="false" ht="15" hidden="false" customHeight="false" outlineLevel="0" collapsed="false">
      <c r="A118" s="0" t="n">
        <f aca="false">dummy_variables!E115</f>
        <v>80176.34</v>
      </c>
      <c r="B118" s="0" t="n">
        <f aca="false">dummy_variables!F115</f>
        <v>9489</v>
      </c>
      <c r="C118" s="0" t="n">
        <f aca="false">dummy_variables!G115</f>
        <v>0.142</v>
      </c>
      <c r="D118" s="0" t="n">
        <f aca="false">dummy_variables!I115</f>
        <v>94.3</v>
      </c>
      <c r="E118" s="0" t="n">
        <f aca="false">dummy_variables!J115</f>
        <v>2.67</v>
      </c>
      <c r="F118" s="0" t="n">
        <f aca="false">dummy_variables!K115</f>
        <v>0</v>
      </c>
      <c r="G118" s="0" t="n">
        <f aca="false">dummy_variables!L115</f>
        <v>3.5</v>
      </c>
      <c r="H118" s="0" t="n">
        <f aca="false">dummy_variables!O115</f>
        <v>0</v>
      </c>
      <c r="I118" s="0" t="n">
        <f aca="false">dummy_variables!P115</f>
        <v>0</v>
      </c>
      <c r="J118" s="0" t="n">
        <f aca="false">dummy_variables!Q115</f>
        <v>1</v>
      </c>
      <c r="K118" s="0" t="n">
        <f aca="false">dummy_variables!R115</f>
        <v>0</v>
      </c>
      <c r="L118" s="0" t="n">
        <f aca="false">dummy_variables!S115</f>
        <v>1</v>
      </c>
      <c r="M118" s="0" t="n">
        <f aca="false">dummy_variables!T115</f>
        <v>0</v>
      </c>
      <c r="N118" s="0" t="n">
        <f aca="false">dummy_variables!M115</f>
        <v>873380.02</v>
      </c>
    </row>
    <row r="119" customFormat="false" ht="15" hidden="false" customHeight="false" outlineLevel="0" collapsed="false">
      <c r="A119" s="0" t="n">
        <f aca="false">dummy_variables!E116</f>
        <v>33605.18</v>
      </c>
      <c r="B119" s="0" t="n">
        <f aca="false">dummy_variables!F116</f>
        <v>9225</v>
      </c>
      <c r="C119" s="0" t="n">
        <f aca="false">dummy_variables!G116</f>
        <v>0.159</v>
      </c>
      <c r="D119" s="0" t="n">
        <f aca="false">dummy_variables!I116</f>
        <v>88.4</v>
      </c>
      <c r="E119" s="0" t="n">
        <f aca="false">dummy_variables!J116</f>
        <v>5.91</v>
      </c>
      <c r="F119" s="0" t="n">
        <f aca="false">dummy_variables!K116</f>
        <v>0</v>
      </c>
      <c r="G119" s="0" t="n">
        <f aca="false">dummy_variables!L116</f>
        <v>2.8</v>
      </c>
      <c r="H119" s="0" t="n">
        <f aca="false">dummy_variables!O116</f>
        <v>0</v>
      </c>
      <c r="I119" s="0" t="n">
        <f aca="false">dummy_variables!P116</f>
        <v>0</v>
      </c>
      <c r="J119" s="0" t="n">
        <f aca="false">dummy_variables!Q116</f>
        <v>1</v>
      </c>
      <c r="K119" s="0" t="n">
        <f aca="false">dummy_variables!R116</f>
        <v>0</v>
      </c>
      <c r="L119" s="0" t="n">
        <f aca="false">dummy_variables!S116</f>
        <v>1</v>
      </c>
      <c r="M119" s="0" t="n">
        <f aca="false">dummy_variables!T116</f>
        <v>0</v>
      </c>
      <c r="N119" s="0" t="n">
        <f aca="false">dummy_variables!M116</f>
        <v>697287.9</v>
      </c>
    </row>
    <row r="120" customFormat="false" ht="15" hidden="false" customHeight="false" outlineLevel="0" collapsed="false">
      <c r="A120" s="0" t="n">
        <f aca="false">dummy_variables!E117</f>
        <v>25990.54</v>
      </c>
      <c r="B120" s="0" t="n">
        <f aca="false">dummy_variables!F117</f>
        <v>9249</v>
      </c>
      <c r="C120" s="0" t="n">
        <f aca="false">dummy_variables!G117</f>
        <v>0.139</v>
      </c>
      <c r="D120" s="0" t="n">
        <f aca="false">dummy_variables!I117</f>
        <v>92.5</v>
      </c>
      <c r="E120" s="0" t="n">
        <f aca="false">dummy_variables!J117</f>
        <v>6.37</v>
      </c>
      <c r="F120" s="0" t="n">
        <f aca="false">dummy_variables!K117</f>
        <v>0</v>
      </c>
      <c r="G120" s="0" t="n">
        <f aca="false">dummy_variables!L117</f>
        <v>3.3</v>
      </c>
      <c r="H120" s="0" t="n">
        <f aca="false">dummy_variables!O117</f>
        <v>0</v>
      </c>
      <c r="I120" s="0" t="n">
        <f aca="false">dummy_variables!P117</f>
        <v>0</v>
      </c>
      <c r="J120" s="0" t="n">
        <f aca="false">dummy_variables!Q117</f>
        <v>1</v>
      </c>
      <c r="K120" s="0" t="n">
        <f aca="false">dummy_variables!R117</f>
        <v>0</v>
      </c>
      <c r="L120" s="0" t="n">
        <f aca="false">dummy_variables!S117</f>
        <v>1</v>
      </c>
      <c r="M120" s="0" t="n">
        <f aca="false">dummy_variables!T117</f>
        <v>0</v>
      </c>
      <c r="N120" s="0" t="n">
        <f aca="false">dummy_variables!M117</f>
        <v>718074.79</v>
      </c>
    </row>
    <row r="121" customFormat="false" ht="15" hidden="false" customHeight="false" outlineLevel="0" collapsed="false">
      <c r="A121" s="0" t="n">
        <f aca="false">dummy_variables!E118</f>
        <v>43685.14</v>
      </c>
      <c r="B121" s="0" t="n">
        <f aca="false">dummy_variables!F118</f>
        <v>7821</v>
      </c>
      <c r="C121" s="0" t="n">
        <f aca="false">dummy_variables!G118</f>
        <v>0.19</v>
      </c>
      <c r="D121" s="0" t="n">
        <f aca="false">dummy_variables!I118</f>
        <v>91</v>
      </c>
      <c r="E121" s="0" t="n">
        <f aca="false">dummy_variables!J118</f>
        <v>2.49</v>
      </c>
      <c r="F121" s="0" t="n">
        <f aca="false">dummy_variables!K118</f>
        <v>1</v>
      </c>
      <c r="G121" s="0" t="n">
        <f aca="false">dummy_variables!L118</f>
        <v>4.7</v>
      </c>
      <c r="H121" s="0" t="n">
        <f aca="false">dummy_variables!O118</f>
        <v>0</v>
      </c>
      <c r="I121" s="0" t="n">
        <f aca="false">dummy_variables!P118</f>
        <v>0</v>
      </c>
      <c r="J121" s="0" t="n">
        <f aca="false">dummy_variables!Q118</f>
        <v>1</v>
      </c>
      <c r="K121" s="0" t="n">
        <f aca="false">dummy_variables!R118</f>
        <v>0</v>
      </c>
      <c r="L121" s="0" t="n">
        <f aca="false">dummy_variables!S118</f>
        <v>0</v>
      </c>
      <c r="M121" s="0" t="n">
        <f aca="false">dummy_variables!T118</f>
        <v>1</v>
      </c>
      <c r="N121" s="0" t="n">
        <f aca="false">dummy_variables!M118</f>
        <v>714942.43</v>
      </c>
    </row>
    <row r="122" customFormat="false" ht="15" hidden="false" customHeight="false" outlineLevel="0" collapsed="false">
      <c r="A122" s="0" t="n">
        <f aca="false">dummy_variables!E119</f>
        <v>57360.01</v>
      </c>
      <c r="B122" s="0" t="n">
        <f aca="false">dummy_variables!F119</f>
        <v>8434</v>
      </c>
      <c r="C122" s="0" t="n">
        <f aca="false">dummy_variables!G119</f>
        <v>0.151</v>
      </c>
      <c r="D122" s="0" t="n">
        <f aca="false">dummy_variables!I119</f>
        <v>84.1</v>
      </c>
      <c r="E122" s="0" t="n">
        <f aca="false">dummy_variables!J119</f>
        <v>1.56</v>
      </c>
      <c r="F122" s="0" t="n">
        <f aca="false">dummy_variables!K119</f>
        <v>0</v>
      </c>
      <c r="G122" s="0" t="n">
        <f aca="false">dummy_variables!L119</f>
        <v>4.7</v>
      </c>
      <c r="H122" s="0" t="n">
        <f aca="false">dummy_variables!O119</f>
        <v>0</v>
      </c>
      <c r="I122" s="0" t="n">
        <f aca="false">dummy_variables!P119</f>
        <v>0</v>
      </c>
      <c r="J122" s="0" t="n">
        <f aca="false">dummy_variables!Q119</f>
        <v>1</v>
      </c>
      <c r="K122" s="0" t="n">
        <f aca="false">dummy_variables!R119</f>
        <v>0</v>
      </c>
      <c r="L122" s="0" t="n">
        <f aca="false">dummy_variables!S119</f>
        <v>0</v>
      </c>
      <c r="M122" s="0" t="n">
        <f aca="false">dummy_variables!T119</f>
        <v>1</v>
      </c>
      <c r="N122" s="0" t="n">
        <f aca="false">dummy_variables!M119</f>
        <v>820519.04</v>
      </c>
    </row>
    <row r="123" customFormat="false" ht="15" hidden="false" customHeight="false" outlineLevel="0" collapsed="false">
      <c r="A123" s="0" t="n">
        <f aca="false">dummy_variables!E120</f>
        <v>42415.47</v>
      </c>
      <c r="B123" s="0" t="n">
        <f aca="false">dummy_variables!F120</f>
        <v>8512</v>
      </c>
      <c r="C123" s="0" t="n">
        <f aca="false">dummy_variables!G120</f>
        <v>0.133</v>
      </c>
      <c r="D123" s="0" t="n">
        <f aca="false">dummy_variables!I120</f>
        <v>96.8</v>
      </c>
      <c r="E123" s="0" t="n">
        <f aca="false">dummy_variables!J120</f>
        <v>14.95</v>
      </c>
      <c r="F123" s="0" t="n">
        <f aca="false">dummy_variables!K120</f>
        <v>0</v>
      </c>
      <c r="G123" s="0" t="n">
        <f aca="false">dummy_variables!L120</f>
        <v>4.6</v>
      </c>
      <c r="H123" s="0" t="n">
        <f aca="false">dummy_variables!O120</f>
        <v>0</v>
      </c>
      <c r="I123" s="0" t="n">
        <f aca="false">dummy_variables!P120</f>
        <v>0</v>
      </c>
      <c r="J123" s="0" t="n">
        <f aca="false">dummy_variables!Q120</f>
        <v>1</v>
      </c>
      <c r="K123" s="0" t="n">
        <f aca="false">dummy_variables!R120</f>
        <v>0</v>
      </c>
      <c r="L123" s="0" t="n">
        <f aca="false">dummy_variables!S120</f>
        <v>0</v>
      </c>
      <c r="M123" s="0" t="n">
        <f aca="false">dummy_variables!T120</f>
        <v>1</v>
      </c>
      <c r="N123" s="0" t="n">
        <f aca="false">dummy_variables!M120</f>
        <v>684217.32</v>
      </c>
    </row>
    <row r="124" customFormat="false" ht="15" hidden="false" customHeight="false" outlineLevel="0" collapsed="false">
      <c r="A124" s="0" t="n">
        <f aca="false">dummy_variables!E121</f>
        <v>54968.98</v>
      </c>
      <c r="B124" s="0" t="n">
        <f aca="false">dummy_variables!F121</f>
        <v>7816</v>
      </c>
      <c r="C124" s="0" t="n">
        <f aca="false">dummy_variables!G121</f>
        <v>0.232</v>
      </c>
      <c r="D124" s="0" t="n">
        <f aca="false">dummy_variables!I121</f>
        <v>95.7</v>
      </c>
      <c r="E124" s="0" t="n">
        <f aca="false">dummy_variables!J121</f>
        <v>7.85</v>
      </c>
      <c r="F124" s="0" t="n">
        <f aca="false">dummy_variables!K121</f>
        <v>0</v>
      </c>
      <c r="G124" s="0" t="n">
        <f aca="false">dummy_variables!L121</f>
        <v>4.7</v>
      </c>
      <c r="H124" s="0" t="n">
        <f aca="false">dummy_variables!O121</f>
        <v>0</v>
      </c>
      <c r="I124" s="0" t="n">
        <f aca="false">dummy_variables!P121</f>
        <v>0</v>
      </c>
      <c r="J124" s="0" t="n">
        <f aca="false">dummy_variables!Q121</f>
        <v>1</v>
      </c>
      <c r="K124" s="0" t="n">
        <f aca="false">dummy_variables!R121</f>
        <v>0</v>
      </c>
      <c r="L124" s="0" t="n">
        <f aca="false">dummy_variables!S121</f>
        <v>0</v>
      </c>
      <c r="M124" s="0" t="n">
        <f aca="false">dummy_variables!T121</f>
        <v>1</v>
      </c>
      <c r="N124" s="0" t="n">
        <f aca="false">dummy_variables!M121</f>
        <v>735480.19</v>
      </c>
    </row>
    <row r="125" customFormat="false" ht="15" hidden="false" customHeight="false" outlineLevel="0" collapsed="false">
      <c r="A125" s="0" t="n">
        <f aca="false">dummy_variables!E122</f>
        <v>43896.13</v>
      </c>
      <c r="B125" s="0" t="n">
        <f aca="false">dummy_variables!F122</f>
        <v>3853</v>
      </c>
      <c r="C125" s="0" t="n">
        <f aca="false">dummy_variables!G122</f>
        <v>0.088</v>
      </c>
      <c r="D125" s="0" t="n">
        <f aca="false">dummy_variables!I122</f>
        <v>83</v>
      </c>
      <c r="E125" s="0" t="n">
        <f aca="false">dummy_variables!J122</f>
        <v>6.8</v>
      </c>
      <c r="F125" s="0" t="n">
        <f aca="false">dummy_variables!K122</f>
        <v>0</v>
      </c>
      <c r="G125" s="0" t="n">
        <f aca="false">dummy_variables!L122</f>
        <v>4.4</v>
      </c>
      <c r="H125" s="0" t="n">
        <f aca="false">dummy_variables!O122</f>
        <v>1</v>
      </c>
      <c r="I125" s="0" t="n">
        <f aca="false">dummy_variables!P122</f>
        <v>0</v>
      </c>
      <c r="J125" s="0" t="n">
        <f aca="false">dummy_variables!Q122</f>
        <v>0</v>
      </c>
      <c r="K125" s="0" t="n">
        <f aca="false">dummy_variables!R122</f>
        <v>0</v>
      </c>
      <c r="L125" s="0" t="n">
        <f aca="false">dummy_variables!S122</f>
        <v>0</v>
      </c>
      <c r="M125" s="0" t="n">
        <f aca="false">dummy_variables!T122</f>
        <v>0</v>
      </c>
      <c r="N125" s="0" t="n">
        <f aca="false">dummy_variables!M122</f>
        <v>509484.81</v>
      </c>
    </row>
    <row r="126" customFormat="false" ht="15" hidden="false" customHeight="false" outlineLevel="0" collapsed="false">
      <c r="A126" s="0" t="n">
        <f aca="false">dummy_variables!E123</f>
        <v>83044.17</v>
      </c>
      <c r="B126" s="0" t="n">
        <f aca="false">dummy_variables!F123</f>
        <v>3694</v>
      </c>
      <c r="C126" s="0" t="n">
        <f aca="false">dummy_variables!G123</f>
        <v>0</v>
      </c>
      <c r="D126" s="0" t="n">
        <f aca="false">dummy_variables!I123</f>
        <v>89.4</v>
      </c>
      <c r="E126" s="0" t="n">
        <f aca="false">dummy_variables!J123</f>
        <v>2.2</v>
      </c>
      <c r="F126" s="0" t="n">
        <f aca="false">dummy_variables!K123</f>
        <v>0</v>
      </c>
      <c r="G126" s="0" t="n">
        <f aca="false">dummy_variables!L123</f>
        <v>3.7</v>
      </c>
      <c r="H126" s="0" t="n">
        <f aca="false">dummy_variables!O123</f>
        <v>1</v>
      </c>
      <c r="I126" s="0" t="n">
        <f aca="false">dummy_variables!P123</f>
        <v>0</v>
      </c>
      <c r="J126" s="0" t="n">
        <f aca="false">dummy_variables!Q123</f>
        <v>0</v>
      </c>
      <c r="K126" s="0" t="n">
        <f aca="false">dummy_variables!R123</f>
        <v>0</v>
      </c>
      <c r="L126" s="0" t="n">
        <f aca="false">dummy_variables!S123</f>
        <v>0</v>
      </c>
      <c r="M126" s="0" t="n">
        <f aca="false">dummy_variables!T123</f>
        <v>0</v>
      </c>
      <c r="N126" s="0" t="n">
        <f aca="false">dummy_variables!M123</f>
        <v>654317.09</v>
      </c>
    </row>
    <row r="127" customFormat="false" ht="15" hidden="false" customHeight="false" outlineLevel="0" collapsed="false">
      <c r="A127" s="0" t="n">
        <f aca="false">dummy_variables!E124</f>
        <v>48396.13</v>
      </c>
      <c r="B127" s="0" t="n">
        <f aca="false">dummy_variables!F124</f>
        <v>4423</v>
      </c>
      <c r="C127" s="0" t="n">
        <f aca="false">dummy_variables!G124</f>
        <v>0.069</v>
      </c>
      <c r="D127" s="0" t="n">
        <f aca="false">dummy_variables!I124</f>
        <v>85.7</v>
      </c>
      <c r="E127" s="0" t="n">
        <f aca="false">dummy_variables!J124</f>
        <v>1.88</v>
      </c>
      <c r="F127" s="0" t="n">
        <f aca="false">dummy_variables!K124</f>
        <v>0</v>
      </c>
      <c r="G127" s="0" t="n">
        <f aca="false">dummy_variables!L124</f>
        <v>3.9</v>
      </c>
      <c r="H127" s="0" t="n">
        <f aca="false">dummy_variables!O124</f>
        <v>1</v>
      </c>
      <c r="I127" s="0" t="n">
        <f aca="false">dummy_variables!P124</f>
        <v>0</v>
      </c>
      <c r="J127" s="0" t="n">
        <f aca="false">dummy_variables!Q124</f>
        <v>0</v>
      </c>
      <c r="K127" s="0" t="n">
        <f aca="false">dummy_variables!R124</f>
        <v>0</v>
      </c>
      <c r="L127" s="0" t="n">
        <f aca="false">dummy_variables!S124</f>
        <v>0</v>
      </c>
      <c r="M127" s="0" t="n">
        <f aca="false">dummy_variables!T124</f>
        <v>0</v>
      </c>
      <c r="N127" s="0" t="n">
        <f aca="false">dummy_variables!M124</f>
        <v>557487.26</v>
      </c>
    </row>
    <row r="128" customFormat="false" ht="15" hidden="false" customHeight="false" outlineLevel="0" collapsed="false">
      <c r="A128" s="0" t="n">
        <f aca="false">dummy_variables!E125</f>
        <v>19063.48</v>
      </c>
      <c r="B128" s="0" t="n">
        <f aca="false">dummy_variables!F125</f>
        <v>1906</v>
      </c>
      <c r="C128" s="0" t="n">
        <f aca="false">dummy_variables!G125</f>
        <v>0.216</v>
      </c>
      <c r="D128" s="0" t="n">
        <f aca="false">dummy_variables!I125</f>
        <v>97.8</v>
      </c>
      <c r="E128" s="0" t="n">
        <f aca="false">dummy_variables!J125</f>
        <v>15.79</v>
      </c>
      <c r="F128" s="0" t="n">
        <f aca="false">dummy_variables!K125</f>
        <v>0</v>
      </c>
      <c r="G128" s="0" t="n">
        <f aca="false">dummy_variables!L125</f>
        <v>4.4</v>
      </c>
      <c r="H128" s="0" t="n">
        <f aca="false">dummy_variables!O125</f>
        <v>1</v>
      </c>
      <c r="I128" s="0" t="n">
        <f aca="false">dummy_variables!P125</f>
        <v>0</v>
      </c>
      <c r="J128" s="0" t="n">
        <f aca="false">dummy_variables!Q125</f>
        <v>0</v>
      </c>
      <c r="K128" s="0" t="n">
        <f aca="false">dummy_variables!R125</f>
        <v>0</v>
      </c>
      <c r="L128" s="0" t="n">
        <f aca="false">dummy_variables!S125</f>
        <v>0</v>
      </c>
      <c r="M128" s="0" t="n">
        <f aca="false">dummy_variables!T125</f>
        <v>0</v>
      </c>
      <c r="N128" s="0" t="n">
        <f aca="false">dummy_variables!M125</f>
        <v>441275.42</v>
      </c>
    </row>
    <row r="129" customFormat="false" ht="15" hidden="false" customHeight="false" outlineLevel="0" collapsed="false">
      <c r="A129" s="0" t="n">
        <f aca="false">dummy_variables!E126</f>
        <v>61541.21</v>
      </c>
      <c r="B129" s="0" t="n">
        <f aca="false">dummy_variables!F126</f>
        <v>10396</v>
      </c>
      <c r="C129" s="0" t="n">
        <f aca="false">dummy_variables!G126</f>
        <v>0.123</v>
      </c>
      <c r="D129" s="0" t="n">
        <f aca="false">dummy_variables!I126</f>
        <v>88.1</v>
      </c>
      <c r="E129" s="0" t="n">
        <f aca="false">dummy_variables!J126</f>
        <v>2.34</v>
      </c>
      <c r="F129" s="0" t="n">
        <f aca="false">dummy_variables!K126</f>
        <v>1</v>
      </c>
      <c r="G129" s="0" t="n">
        <f aca="false">dummy_variables!L126</f>
        <v>4.8</v>
      </c>
      <c r="H129" s="0" t="n">
        <f aca="false">dummy_variables!O126</f>
        <v>0</v>
      </c>
      <c r="I129" s="0" t="n">
        <f aca="false">dummy_variables!P126</f>
        <v>1</v>
      </c>
      <c r="J129" s="0" t="n">
        <f aca="false">dummy_variables!Q126</f>
        <v>0</v>
      </c>
      <c r="K129" s="0" t="n">
        <f aca="false">dummy_variables!R126</f>
        <v>0</v>
      </c>
      <c r="L129" s="0" t="n">
        <f aca="false">dummy_variables!S126</f>
        <v>0</v>
      </c>
      <c r="M129" s="0" t="n">
        <f aca="false">dummy_variables!T126</f>
        <v>0</v>
      </c>
      <c r="N129" s="0" t="n">
        <f aca="false">dummy_variables!M126</f>
        <v>914544.17</v>
      </c>
    </row>
    <row r="130" customFormat="false" ht="15" hidden="false" customHeight="false" outlineLevel="0" collapsed="false">
      <c r="A130" s="0" t="n">
        <f aca="false">dummy_variables!E127</f>
        <v>44747</v>
      </c>
      <c r="B130" s="0" t="n">
        <f aca="false">dummy_variables!F127</f>
        <v>11076</v>
      </c>
      <c r="C130" s="0" t="n">
        <f aca="false">dummy_variables!G127</f>
        <v>0.176</v>
      </c>
      <c r="D130" s="0" t="n">
        <f aca="false">dummy_variables!I127</f>
        <v>98.3</v>
      </c>
      <c r="E130" s="0" t="n">
        <f aca="false">dummy_variables!J127</f>
        <v>0.54</v>
      </c>
      <c r="F130" s="0" t="n">
        <f aca="false">dummy_variables!K127</f>
        <v>0</v>
      </c>
      <c r="G130" s="0" t="n">
        <f aca="false">dummy_variables!L127</f>
        <v>4.4</v>
      </c>
      <c r="H130" s="0" t="n">
        <f aca="false">dummy_variables!O127</f>
        <v>0</v>
      </c>
      <c r="I130" s="0" t="n">
        <f aca="false">dummy_variables!P127</f>
        <v>1</v>
      </c>
      <c r="J130" s="0" t="n">
        <f aca="false">dummy_variables!Q127</f>
        <v>0</v>
      </c>
      <c r="K130" s="0" t="n">
        <f aca="false">dummy_variables!R127</f>
        <v>0</v>
      </c>
      <c r="L130" s="0" t="n">
        <f aca="false">dummy_variables!S127</f>
        <v>0</v>
      </c>
      <c r="M130" s="0" t="n">
        <f aca="false">dummy_variables!T127</f>
        <v>0</v>
      </c>
      <c r="N130" s="0" t="n">
        <f aca="false">dummy_variables!M127</f>
        <v>842439.67</v>
      </c>
    </row>
    <row r="131" customFormat="false" ht="15" hidden="false" customHeight="false" outlineLevel="0" collapsed="false">
      <c r="A131" s="0" t="n">
        <f aca="false">dummy_variables!E128</f>
        <v>56517.9</v>
      </c>
      <c r="B131" s="0" t="n">
        <f aca="false">dummy_variables!F128</f>
        <v>9574</v>
      </c>
      <c r="C131" s="0" t="n">
        <f aca="false">dummy_variables!G128</f>
        <v>0.204</v>
      </c>
      <c r="D131" s="0" t="n">
        <f aca="false">dummy_variables!I128</f>
        <v>88.2</v>
      </c>
      <c r="E131" s="0" t="n">
        <f aca="false">dummy_variables!J128</f>
        <v>5.37</v>
      </c>
      <c r="F131" s="0" t="n">
        <f aca="false">dummy_variables!K128</f>
        <v>1</v>
      </c>
      <c r="G131" s="0" t="n">
        <f aca="false">dummy_variables!L128</f>
        <v>4.9</v>
      </c>
      <c r="H131" s="0" t="n">
        <f aca="false">dummy_variables!O128</f>
        <v>0</v>
      </c>
      <c r="I131" s="0" t="n">
        <f aca="false">dummy_variables!P128</f>
        <v>1</v>
      </c>
      <c r="J131" s="0" t="n">
        <f aca="false">dummy_variables!Q128</f>
        <v>0</v>
      </c>
      <c r="K131" s="0" t="n">
        <f aca="false">dummy_variables!R128</f>
        <v>0</v>
      </c>
      <c r="L131" s="0" t="n">
        <f aca="false">dummy_variables!S128</f>
        <v>0</v>
      </c>
      <c r="M131" s="0" t="n">
        <f aca="false">dummy_variables!T128</f>
        <v>0</v>
      </c>
      <c r="N131" s="0" t="n">
        <f aca="false">dummy_variables!M128</f>
        <v>842157.92</v>
      </c>
    </row>
    <row r="132" customFormat="false" ht="15" hidden="false" customHeight="false" outlineLevel="0" collapsed="false">
      <c r="A132" s="0" t="n">
        <f aca="false">dummy_variables!E129</f>
        <v>37828.5</v>
      </c>
      <c r="B132" s="0" t="n">
        <f aca="false">dummy_variables!F129</f>
        <v>8221</v>
      </c>
      <c r="C132" s="0" t="n">
        <f aca="false">dummy_variables!G129</f>
        <v>0.096</v>
      </c>
      <c r="D132" s="0" t="n">
        <f aca="false">dummy_variables!I129</f>
        <v>81.5</v>
      </c>
      <c r="E132" s="0" t="n">
        <f aca="false">dummy_variables!J129</f>
        <v>3.19</v>
      </c>
      <c r="F132" s="0" t="n">
        <f aca="false">dummy_variables!K129</f>
        <v>0</v>
      </c>
      <c r="G132" s="0" t="n">
        <f aca="false">dummy_variables!L129</f>
        <v>4.8</v>
      </c>
      <c r="H132" s="0" t="n">
        <f aca="false">dummy_variables!O129</f>
        <v>0</v>
      </c>
      <c r="I132" s="0" t="n">
        <f aca="false">dummy_variables!P129</f>
        <v>1</v>
      </c>
      <c r="J132" s="0" t="n">
        <f aca="false">dummy_variables!Q129</f>
        <v>0</v>
      </c>
      <c r="K132" s="0" t="n">
        <f aca="false">dummy_variables!R129</f>
        <v>0</v>
      </c>
      <c r="L132" s="0" t="n">
        <f aca="false">dummy_variables!S129</f>
        <v>0</v>
      </c>
      <c r="M132" s="0" t="n">
        <f aca="false">dummy_variables!T129</f>
        <v>0</v>
      </c>
      <c r="N132" s="0" t="n">
        <f aca="false">dummy_variables!M129</f>
        <v>697155.3</v>
      </c>
    </row>
    <row r="133" customFormat="false" ht="15" hidden="false" customHeight="false" outlineLevel="0" collapsed="false">
      <c r="A133" s="0" t="n">
        <f aca="false">dummy_variables!E130</f>
        <v>66250.53</v>
      </c>
      <c r="B133" s="0" t="n">
        <f aca="false">dummy_variables!F130</f>
        <v>10618</v>
      </c>
      <c r="C133" s="0" t="n">
        <f aca="false">dummy_variables!G130</f>
        <v>0.142</v>
      </c>
      <c r="D133" s="0" t="n">
        <f aca="false">dummy_variables!I130</f>
        <v>88.3</v>
      </c>
      <c r="E133" s="0" t="n">
        <f aca="false">dummy_variables!J130</f>
        <v>1.1</v>
      </c>
      <c r="F133" s="0" t="n">
        <f aca="false">dummy_variables!K130</f>
        <v>1</v>
      </c>
      <c r="G133" s="0" t="n">
        <f aca="false">dummy_variables!L130</f>
        <v>4.4</v>
      </c>
      <c r="H133" s="0" t="n">
        <f aca="false">dummy_variables!O130</f>
        <v>0</v>
      </c>
      <c r="I133" s="0" t="n">
        <f aca="false">dummy_variables!P130</f>
        <v>0</v>
      </c>
      <c r="J133" s="0" t="n">
        <f aca="false">dummy_variables!Q130</f>
        <v>0</v>
      </c>
      <c r="K133" s="0" t="n">
        <f aca="false">dummy_variables!R130</f>
        <v>0</v>
      </c>
      <c r="L133" s="0" t="n">
        <f aca="false">dummy_variables!S130</f>
        <v>0</v>
      </c>
      <c r="M133" s="0" t="n">
        <f aca="false">dummy_variables!T130</f>
        <v>0</v>
      </c>
      <c r="N133" s="0" t="n">
        <f aca="false">dummy_variables!M130</f>
        <v>849018.3</v>
      </c>
    </row>
    <row r="134" customFormat="false" ht="15" hidden="false" customHeight="false" outlineLevel="0" collapsed="false">
      <c r="A134" s="0" t="n">
        <f aca="false">dummy_variables!E131</f>
        <v>68410.93</v>
      </c>
      <c r="B134" s="0" t="n">
        <f aca="false">dummy_variables!F131</f>
        <v>10596</v>
      </c>
      <c r="C134" s="0" t="n">
        <f aca="false">dummy_variables!G131</f>
        <v>0.207</v>
      </c>
      <c r="D134" s="0" t="n">
        <f aca="false">dummy_variables!I131</f>
        <v>81.2</v>
      </c>
      <c r="E134" s="0" t="n">
        <f aca="false">dummy_variables!J131</f>
        <v>0.21</v>
      </c>
      <c r="F134" s="0" t="n">
        <f aca="false">dummy_variables!K131</f>
        <v>0</v>
      </c>
      <c r="G134" s="0" t="n">
        <f aca="false">dummy_variables!L131</f>
        <v>4</v>
      </c>
      <c r="H134" s="0" t="n">
        <f aca="false">dummy_variables!O131</f>
        <v>0</v>
      </c>
      <c r="I134" s="0" t="n">
        <f aca="false">dummy_variables!P131</f>
        <v>0</v>
      </c>
      <c r="J134" s="0" t="n">
        <f aca="false">dummy_variables!Q131</f>
        <v>0</v>
      </c>
      <c r="K134" s="0" t="n">
        <f aca="false">dummy_variables!R131</f>
        <v>0</v>
      </c>
      <c r="L134" s="0" t="n">
        <f aca="false">dummy_variables!S131</f>
        <v>0</v>
      </c>
      <c r="M134" s="0" t="n">
        <f aca="false">dummy_variables!T131</f>
        <v>0</v>
      </c>
      <c r="N134" s="0" t="n">
        <f aca="false">dummy_variables!M131</f>
        <v>801830.35</v>
      </c>
    </row>
    <row r="135" customFormat="false" ht="15" hidden="false" customHeight="false" outlineLevel="0" collapsed="false">
      <c r="A135" s="0" t="n">
        <f aca="false">dummy_variables!E132</f>
        <v>50735.63</v>
      </c>
      <c r="B135" s="0" t="n">
        <f aca="false">dummy_variables!F132</f>
        <v>9619</v>
      </c>
      <c r="C135" s="0" t="n">
        <f aca="false">dummy_variables!G132</f>
        <v>0.144</v>
      </c>
      <c r="D135" s="0" t="n">
        <f aca="false">dummy_variables!I132</f>
        <v>93.8</v>
      </c>
      <c r="E135" s="0" t="n">
        <f aca="false">dummy_variables!J132</f>
        <v>5.12</v>
      </c>
      <c r="F135" s="0" t="n">
        <f aca="false">dummy_variables!K132</f>
        <v>1</v>
      </c>
      <c r="G135" s="0" t="n">
        <f aca="false">dummy_variables!L132</f>
        <v>4.5</v>
      </c>
      <c r="H135" s="0" t="n">
        <f aca="false">dummy_variables!O132</f>
        <v>0</v>
      </c>
      <c r="I135" s="0" t="n">
        <f aca="false">dummy_variables!P132</f>
        <v>0</v>
      </c>
      <c r="J135" s="0" t="n">
        <f aca="false">dummy_variables!Q132</f>
        <v>0</v>
      </c>
      <c r="K135" s="0" t="n">
        <f aca="false">dummy_variables!R132</f>
        <v>0</v>
      </c>
      <c r="L135" s="0" t="n">
        <f aca="false">dummy_variables!S132</f>
        <v>0</v>
      </c>
      <c r="M135" s="0" t="n">
        <f aca="false">dummy_variables!T132</f>
        <v>0</v>
      </c>
      <c r="N135" s="0" t="n">
        <f aca="false">dummy_variables!M132</f>
        <v>725235.28</v>
      </c>
    </row>
    <row r="136" customFormat="false" ht="15" hidden="false" customHeight="false" outlineLevel="0" collapsed="false">
      <c r="A136" s="0" t="n">
        <f aca="false">dummy_variables!E133</f>
        <v>66455.8</v>
      </c>
      <c r="B136" s="0" t="n">
        <f aca="false">dummy_variables!F133</f>
        <v>10836</v>
      </c>
      <c r="C136" s="0" t="n">
        <f aca="false">dummy_variables!G133</f>
        <v>0.089</v>
      </c>
      <c r="D136" s="0" t="n">
        <f aca="false">dummy_variables!I133</f>
        <v>85</v>
      </c>
      <c r="E136" s="0" t="n">
        <f aca="false">dummy_variables!J133</f>
        <v>9.77</v>
      </c>
      <c r="F136" s="0" t="n">
        <f aca="false">dummy_variables!K133</f>
        <v>0</v>
      </c>
      <c r="G136" s="0" t="n">
        <f aca="false">dummy_variables!L133</f>
        <v>4.5</v>
      </c>
      <c r="H136" s="0" t="n">
        <f aca="false">dummy_variables!O133</f>
        <v>0</v>
      </c>
      <c r="I136" s="0" t="n">
        <f aca="false">dummy_variables!P133</f>
        <v>0</v>
      </c>
      <c r="J136" s="0" t="n">
        <f aca="false">dummy_variables!Q133</f>
        <v>0</v>
      </c>
      <c r="K136" s="0" t="n">
        <f aca="false">dummy_variables!R133</f>
        <v>0</v>
      </c>
      <c r="L136" s="0" t="n">
        <f aca="false">dummy_variables!S133</f>
        <v>0</v>
      </c>
      <c r="M136" s="0" t="n">
        <f aca="false">dummy_variables!T133</f>
        <v>0</v>
      </c>
      <c r="N136" s="0" t="n">
        <f aca="false">dummy_variables!M133</f>
        <v>811452.72</v>
      </c>
    </row>
    <row r="137" customFormat="false" ht="15" hidden="false" customHeight="false" outlineLevel="0" collapsed="false">
      <c r="A137" s="0" t="n">
        <f aca="false">dummy_variables!E134</f>
        <v>70276.28</v>
      </c>
      <c r="B137" s="0" t="n">
        <f aca="false">dummy_variables!F134</f>
        <v>3043</v>
      </c>
      <c r="C137" s="0" t="n">
        <f aca="false">dummy_variables!G134</f>
        <v>0.079</v>
      </c>
      <c r="D137" s="0" t="n">
        <f aca="false">dummy_variables!I134</f>
        <v>87.9</v>
      </c>
      <c r="E137" s="0" t="n">
        <f aca="false">dummy_variables!J134</f>
        <v>3.77</v>
      </c>
      <c r="F137" s="0" t="n">
        <f aca="false">dummy_variables!K134</f>
        <v>0</v>
      </c>
      <c r="G137" s="0" t="n">
        <f aca="false">dummy_variables!L134</f>
        <v>4.4</v>
      </c>
      <c r="H137" s="0" t="n">
        <f aca="false">dummy_variables!O134</f>
        <v>1</v>
      </c>
      <c r="I137" s="0" t="n">
        <f aca="false">dummy_variables!P134</f>
        <v>0</v>
      </c>
      <c r="J137" s="0" t="n">
        <f aca="false">dummy_variables!Q134</f>
        <v>0</v>
      </c>
      <c r="K137" s="0" t="n">
        <f aca="false">dummy_variables!R134</f>
        <v>0</v>
      </c>
      <c r="L137" s="0" t="n">
        <f aca="false">dummy_variables!S134</f>
        <v>0</v>
      </c>
      <c r="M137" s="0" t="n">
        <f aca="false">dummy_variables!T134</f>
        <v>0</v>
      </c>
      <c r="N137" s="0" t="n">
        <f aca="false">dummy_variables!M134</f>
        <v>527300.13</v>
      </c>
    </row>
    <row r="138" customFormat="false" ht="15" hidden="false" customHeight="false" outlineLevel="0" collapsed="false">
      <c r="A138" s="0" t="n">
        <f aca="false">dummy_variables!E135</f>
        <v>22071.64</v>
      </c>
      <c r="B138" s="0" t="n">
        <f aca="false">dummy_variables!F135</f>
        <v>1814</v>
      </c>
      <c r="C138" s="0" t="n">
        <f aca="false">dummy_variables!G135</f>
        <v>0.196</v>
      </c>
      <c r="D138" s="0" t="n">
        <f aca="false">dummy_variables!I135</f>
        <v>81.1</v>
      </c>
      <c r="E138" s="0" t="n">
        <f aca="false">dummy_variables!J135</f>
        <v>0.78</v>
      </c>
      <c r="F138" s="0" t="n">
        <f aca="false">dummy_variables!K135</f>
        <v>0</v>
      </c>
      <c r="G138" s="0" t="n">
        <f aca="false">dummy_variables!L135</f>
        <v>3.9</v>
      </c>
      <c r="H138" s="0" t="n">
        <f aca="false">dummy_variables!O135</f>
        <v>1</v>
      </c>
      <c r="I138" s="0" t="n">
        <f aca="false">dummy_variables!P135</f>
        <v>0</v>
      </c>
      <c r="J138" s="0" t="n">
        <f aca="false">dummy_variables!Q135</f>
        <v>0</v>
      </c>
      <c r="K138" s="0" t="n">
        <f aca="false">dummy_variables!R135</f>
        <v>0</v>
      </c>
      <c r="L138" s="0" t="n">
        <f aca="false">dummy_variables!S135</f>
        <v>0</v>
      </c>
      <c r="M138" s="0" t="n">
        <f aca="false">dummy_variables!T135</f>
        <v>0</v>
      </c>
      <c r="N138" s="0" t="n">
        <f aca="false">dummy_variables!M135</f>
        <v>400831.65</v>
      </c>
    </row>
    <row r="139" customFormat="false" ht="15" hidden="false" customHeight="false" outlineLevel="0" collapsed="false">
      <c r="A139" s="0" t="n">
        <f aca="false">dummy_variables!E136</f>
        <v>52285.45</v>
      </c>
      <c r="B139" s="0" t="n">
        <f aca="false">dummy_variables!F136</f>
        <v>3618</v>
      </c>
      <c r="C139" s="0" t="n">
        <f aca="false">dummy_variables!G136</f>
        <v>0.086</v>
      </c>
      <c r="D139" s="0" t="n">
        <f aca="false">dummy_variables!I136</f>
        <v>95.6</v>
      </c>
      <c r="E139" s="0" t="n">
        <f aca="false">dummy_variables!J136</f>
        <v>5.17</v>
      </c>
      <c r="F139" s="0" t="n">
        <f aca="false">dummy_variables!K136</f>
        <v>1</v>
      </c>
      <c r="G139" s="0" t="n">
        <f aca="false">dummy_variables!L136</f>
        <v>4.4</v>
      </c>
      <c r="H139" s="0" t="n">
        <f aca="false">dummy_variables!O136</f>
        <v>1</v>
      </c>
      <c r="I139" s="0" t="n">
        <f aca="false">dummy_variables!P136</f>
        <v>0</v>
      </c>
      <c r="J139" s="0" t="n">
        <f aca="false">dummy_variables!Q136</f>
        <v>0</v>
      </c>
      <c r="K139" s="0" t="n">
        <f aca="false">dummy_variables!R136</f>
        <v>0</v>
      </c>
      <c r="L139" s="0" t="n">
        <f aca="false">dummy_variables!S136</f>
        <v>0</v>
      </c>
      <c r="M139" s="0" t="n">
        <f aca="false">dummy_variables!T136</f>
        <v>0</v>
      </c>
      <c r="N139" s="0" t="n">
        <f aca="false">dummy_variables!M136</f>
        <v>593247.25</v>
      </c>
    </row>
    <row r="140" customFormat="false" ht="15" hidden="false" customHeight="false" outlineLevel="0" collapsed="false">
      <c r="A140" s="0" t="n">
        <f aca="false">dummy_variables!E137</f>
        <v>70366.76</v>
      </c>
      <c r="B140" s="0" t="n">
        <f aca="false">dummy_variables!F137</f>
        <v>1963</v>
      </c>
      <c r="C140" s="0" t="n">
        <f aca="false">dummy_variables!G137</f>
        <v>0.182</v>
      </c>
      <c r="D140" s="0" t="n">
        <f aca="false">dummy_variables!I137</f>
        <v>89.8</v>
      </c>
      <c r="E140" s="0" t="n">
        <f aca="false">dummy_variables!J137</f>
        <v>3.2</v>
      </c>
      <c r="F140" s="0" t="n">
        <f aca="false">dummy_variables!K137</f>
        <v>0</v>
      </c>
      <c r="G140" s="0" t="n">
        <f aca="false">dummy_variables!L137</f>
        <v>4.6</v>
      </c>
      <c r="H140" s="0" t="n">
        <f aca="false">dummy_variables!O137</f>
        <v>1</v>
      </c>
      <c r="I140" s="0" t="n">
        <f aca="false">dummy_variables!P137</f>
        <v>0</v>
      </c>
      <c r="J140" s="0" t="n">
        <f aca="false">dummy_variables!Q137</f>
        <v>0</v>
      </c>
      <c r="K140" s="0" t="n">
        <f aca="false">dummy_variables!R137</f>
        <v>0</v>
      </c>
      <c r="L140" s="0" t="n">
        <f aca="false">dummy_variables!S137</f>
        <v>0</v>
      </c>
      <c r="M140" s="0" t="n">
        <f aca="false">dummy_variables!T137</f>
        <v>0</v>
      </c>
      <c r="N140" s="0" t="n">
        <f aca="false">dummy_variables!M137</f>
        <v>529075.95</v>
      </c>
    </row>
    <row r="141" customFormat="false" ht="15" hidden="false" customHeight="false" outlineLevel="0" collapsed="false">
      <c r="A141" s="0" t="n">
        <f aca="false">dummy_variables!E138</f>
        <v>71320.66</v>
      </c>
      <c r="B141" s="0" t="n">
        <f aca="false">dummy_variables!F138</f>
        <v>7888</v>
      </c>
      <c r="C141" s="0" t="n">
        <f aca="false">dummy_variables!G138</f>
        <v>0.048</v>
      </c>
      <c r="D141" s="0" t="n">
        <f aca="false">dummy_variables!I138</f>
        <v>78.1</v>
      </c>
      <c r="E141" s="0" t="n">
        <f aca="false">dummy_variables!J138</f>
        <v>3.4</v>
      </c>
      <c r="F141" s="0" t="n">
        <f aca="false">dummy_variables!K138</f>
        <v>0</v>
      </c>
      <c r="G141" s="0" t="n">
        <f aca="false">dummy_variables!L138</f>
        <v>3.9</v>
      </c>
      <c r="H141" s="0" t="n">
        <f aca="false">dummy_variables!O138</f>
        <v>0</v>
      </c>
      <c r="I141" s="0" t="n">
        <f aca="false">dummy_variables!P138</f>
        <v>1</v>
      </c>
      <c r="J141" s="0" t="n">
        <f aca="false">dummy_variables!Q138</f>
        <v>0</v>
      </c>
      <c r="K141" s="0" t="n">
        <f aca="false">dummy_variables!R138</f>
        <v>0</v>
      </c>
      <c r="L141" s="0" t="n">
        <f aca="false">dummy_variables!S138</f>
        <v>0</v>
      </c>
      <c r="M141" s="0" t="n">
        <f aca="false">dummy_variables!T138</f>
        <v>1</v>
      </c>
      <c r="N141" s="0" t="n">
        <f aca="false">dummy_variables!M138</f>
        <v>633638.03</v>
      </c>
    </row>
    <row r="142" customFormat="false" ht="15" hidden="false" customHeight="false" outlineLevel="0" collapsed="false">
      <c r="A142" s="0" t="n">
        <f aca="false">dummy_variables!E139</f>
        <v>75109.67</v>
      </c>
      <c r="B142" s="0" t="n">
        <f aca="false">dummy_variables!F139</f>
        <v>6244</v>
      </c>
      <c r="C142" s="0" t="n">
        <f aca="false">dummy_variables!G139</f>
        <v>0.079</v>
      </c>
      <c r="D142" s="0" t="n">
        <f aca="false">dummy_variables!I139</f>
        <v>96.3</v>
      </c>
      <c r="E142" s="0" t="n">
        <f aca="false">dummy_variables!J139</f>
        <v>7.38</v>
      </c>
      <c r="F142" s="0" t="n">
        <f aca="false">dummy_variables!K139</f>
        <v>0</v>
      </c>
      <c r="G142" s="0" t="n">
        <f aca="false">dummy_variables!L139</f>
        <v>3.7</v>
      </c>
      <c r="H142" s="0" t="n">
        <f aca="false">dummy_variables!O139</f>
        <v>0</v>
      </c>
      <c r="I142" s="0" t="n">
        <f aca="false">dummy_variables!P139</f>
        <v>1</v>
      </c>
      <c r="J142" s="0" t="n">
        <f aca="false">dummy_variables!Q139</f>
        <v>0</v>
      </c>
      <c r="K142" s="0" t="n">
        <f aca="false">dummy_variables!R139</f>
        <v>0</v>
      </c>
      <c r="L142" s="0" t="n">
        <f aca="false">dummy_variables!S139</f>
        <v>0</v>
      </c>
      <c r="M142" s="0" t="n">
        <f aca="false">dummy_variables!T139</f>
        <v>1</v>
      </c>
      <c r="N142" s="0" t="n">
        <f aca="false">dummy_variables!M139</f>
        <v>743348.84</v>
      </c>
    </row>
    <row r="143" customFormat="false" ht="15" hidden="false" customHeight="false" outlineLevel="0" collapsed="false">
      <c r="A143" s="0" t="n">
        <f aca="false">dummy_variables!E140</f>
        <v>69779</v>
      </c>
      <c r="B143" s="0" t="n">
        <f aca="false">dummy_variables!F140</f>
        <v>6544</v>
      </c>
      <c r="C143" s="0" t="n">
        <f aca="false">dummy_variables!G140</f>
        <v>0.152</v>
      </c>
      <c r="D143" s="0" t="n">
        <f aca="false">dummy_variables!I140</f>
        <v>90.2</v>
      </c>
      <c r="E143" s="0" t="n">
        <f aca="false">dummy_variables!J140</f>
        <v>0.85</v>
      </c>
      <c r="F143" s="0" t="n">
        <f aca="false">dummy_variables!K140</f>
        <v>1</v>
      </c>
      <c r="G143" s="0" t="n">
        <f aca="false">dummy_variables!L140</f>
        <v>3.3</v>
      </c>
      <c r="H143" s="0" t="n">
        <f aca="false">dummy_variables!O140</f>
        <v>0</v>
      </c>
      <c r="I143" s="0" t="n">
        <f aca="false">dummy_variables!P140</f>
        <v>1</v>
      </c>
      <c r="J143" s="0" t="n">
        <f aca="false">dummy_variables!Q140</f>
        <v>0</v>
      </c>
      <c r="K143" s="0" t="n">
        <f aca="false">dummy_variables!R140</f>
        <v>0</v>
      </c>
      <c r="L143" s="0" t="n">
        <f aca="false">dummy_variables!S140</f>
        <v>0</v>
      </c>
      <c r="M143" s="0" t="n">
        <f aca="false">dummy_variables!T140</f>
        <v>1</v>
      </c>
      <c r="N143" s="0" t="n">
        <f aca="false">dummy_variables!M140</f>
        <v>758827.64</v>
      </c>
    </row>
    <row r="144" customFormat="false" ht="15" hidden="false" customHeight="false" outlineLevel="0" collapsed="false">
      <c r="A144" s="0" t="n">
        <f aca="false">dummy_variables!E141</f>
        <v>44211.95</v>
      </c>
      <c r="B144" s="0" t="n">
        <f aca="false">dummy_variables!F141</f>
        <v>5465</v>
      </c>
      <c r="C144" s="0" t="n">
        <f aca="false">dummy_variables!G141</f>
        <v>0.187</v>
      </c>
      <c r="D144" s="0" t="n">
        <f aca="false">dummy_variables!I141</f>
        <v>90</v>
      </c>
      <c r="E144" s="0" t="n">
        <f aca="false">dummy_variables!J141</f>
        <v>2.89</v>
      </c>
      <c r="F144" s="0" t="n">
        <f aca="false">dummy_variables!K141</f>
        <v>0</v>
      </c>
      <c r="G144" s="0" t="n">
        <f aca="false">dummy_variables!L141</f>
        <v>3.6</v>
      </c>
      <c r="H144" s="0" t="n">
        <f aca="false">dummy_variables!O141</f>
        <v>0</v>
      </c>
      <c r="I144" s="0" t="n">
        <f aca="false">dummy_variables!P141</f>
        <v>1</v>
      </c>
      <c r="J144" s="0" t="n">
        <f aca="false">dummy_variables!Q141</f>
        <v>0</v>
      </c>
      <c r="K144" s="0" t="n">
        <f aca="false">dummy_variables!R141</f>
        <v>0</v>
      </c>
      <c r="L144" s="0" t="n">
        <f aca="false">dummy_variables!S141</f>
        <v>0</v>
      </c>
      <c r="M144" s="0" t="n">
        <f aca="false">dummy_variables!T141</f>
        <v>1</v>
      </c>
      <c r="N144" s="0" t="n">
        <f aca="false">dummy_variables!M141</f>
        <v>646559.71</v>
      </c>
    </row>
    <row r="145" customFormat="false" ht="15" hidden="false" customHeight="false" outlineLevel="0" collapsed="false">
      <c r="A145" s="0" t="n">
        <f aca="false">dummy_variables!E142</f>
        <v>51430.31</v>
      </c>
      <c r="B145" s="0" t="n">
        <f aca="false">dummy_variables!F142</f>
        <v>6427</v>
      </c>
      <c r="C145" s="0" t="n">
        <f aca="false">dummy_variables!G142</f>
        <v>0.234</v>
      </c>
      <c r="D145" s="0" t="n">
        <f aca="false">dummy_variables!I142</f>
        <v>88.8</v>
      </c>
      <c r="E145" s="0" t="n">
        <f aca="false">dummy_variables!J142</f>
        <v>0.77</v>
      </c>
      <c r="F145" s="0" t="n">
        <f aca="false">dummy_variables!K142</f>
        <v>0</v>
      </c>
      <c r="G145" s="0" t="n">
        <f aca="false">dummy_variables!L142</f>
        <v>4.1</v>
      </c>
      <c r="H145" s="0" t="n">
        <f aca="false">dummy_variables!O142</f>
        <v>0</v>
      </c>
      <c r="I145" s="0" t="n">
        <f aca="false">dummy_variables!P142</f>
        <v>0</v>
      </c>
      <c r="J145" s="0" t="n">
        <f aca="false">dummy_variables!Q142</f>
        <v>1</v>
      </c>
      <c r="K145" s="0" t="n">
        <f aca="false">dummy_variables!R142</f>
        <v>0</v>
      </c>
      <c r="L145" s="0" t="n">
        <f aca="false">dummy_variables!S142</f>
        <v>0</v>
      </c>
      <c r="M145" s="0" t="n">
        <f aca="false">dummy_variables!T142</f>
        <v>0</v>
      </c>
      <c r="N145" s="0" t="n">
        <f aca="false">dummy_variables!M142</f>
        <v>715890.53</v>
      </c>
    </row>
    <row r="146" customFormat="false" ht="15" hidden="false" customHeight="false" outlineLevel="0" collapsed="false">
      <c r="A146" s="0" t="n">
        <f aca="false">dummy_variables!E143</f>
        <v>45706.49</v>
      </c>
      <c r="B146" s="0" t="n">
        <f aca="false">dummy_variables!F143</f>
        <v>6704</v>
      </c>
      <c r="C146" s="0" t="n">
        <f aca="false">dummy_variables!G143</f>
        <v>0.038</v>
      </c>
      <c r="D146" s="0" t="n">
        <f aca="false">dummy_variables!I143</f>
        <v>94.2</v>
      </c>
      <c r="E146" s="0" t="n">
        <f aca="false">dummy_variables!J143</f>
        <v>2.92</v>
      </c>
      <c r="F146" s="0" t="n">
        <f aca="false">dummy_variables!K143</f>
        <v>0</v>
      </c>
      <c r="G146" s="0" t="n">
        <f aca="false">dummy_variables!L143</f>
        <v>4.2</v>
      </c>
      <c r="H146" s="0" t="n">
        <f aca="false">dummy_variables!O143</f>
        <v>0</v>
      </c>
      <c r="I146" s="0" t="n">
        <f aca="false">dummy_variables!P143</f>
        <v>0</v>
      </c>
      <c r="J146" s="0" t="n">
        <f aca="false">dummy_variables!Q143</f>
        <v>1</v>
      </c>
      <c r="K146" s="0" t="n">
        <f aca="false">dummy_variables!R143</f>
        <v>0</v>
      </c>
      <c r="L146" s="0" t="n">
        <f aca="false">dummy_variables!S143</f>
        <v>0</v>
      </c>
      <c r="M146" s="0" t="n">
        <f aca="false">dummy_variables!T143</f>
        <v>0</v>
      </c>
      <c r="N146" s="0" t="n">
        <f aca="false">dummy_variables!M143</f>
        <v>715097.57</v>
      </c>
    </row>
    <row r="147" customFormat="false" ht="15" hidden="false" customHeight="false" outlineLevel="0" collapsed="false">
      <c r="A147" s="0" t="n">
        <f aca="false">dummy_variables!E144</f>
        <v>44034.6</v>
      </c>
      <c r="B147" s="0" t="n">
        <f aca="false">dummy_variables!F144</f>
        <v>5645</v>
      </c>
      <c r="C147" s="0" t="n">
        <f aca="false">dummy_variables!G144</f>
        <v>0.069</v>
      </c>
      <c r="D147" s="0" t="n">
        <f aca="false">dummy_variables!I144</f>
        <v>88.5</v>
      </c>
      <c r="E147" s="0" t="n">
        <f aca="false">dummy_variables!J144</f>
        <v>3.07</v>
      </c>
      <c r="F147" s="0" t="n">
        <f aca="false">dummy_variables!K144</f>
        <v>0</v>
      </c>
      <c r="G147" s="0" t="n">
        <f aca="false">dummy_variables!L144</f>
        <v>3.8</v>
      </c>
      <c r="H147" s="0" t="n">
        <f aca="false">dummy_variables!O144</f>
        <v>0</v>
      </c>
      <c r="I147" s="0" t="n">
        <f aca="false">dummy_variables!P144</f>
        <v>0</v>
      </c>
      <c r="J147" s="0" t="n">
        <f aca="false">dummy_variables!Q144</f>
        <v>1</v>
      </c>
      <c r="K147" s="0" t="n">
        <f aca="false">dummy_variables!R144</f>
        <v>0</v>
      </c>
      <c r="L147" s="0" t="n">
        <f aca="false">dummy_variables!S144</f>
        <v>0</v>
      </c>
      <c r="M147" s="0" t="n">
        <f aca="false">dummy_variables!T144</f>
        <v>0</v>
      </c>
      <c r="N147" s="0" t="n">
        <f aca="false">dummy_variables!M144</f>
        <v>682639.28</v>
      </c>
    </row>
    <row r="148" customFormat="false" ht="15" hidden="false" customHeight="false" outlineLevel="0" collapsed="false">
      <c r="A148" s="0" t="n">
        <f aca="false">dummy_variables!E145</f>
        <v>50198.12</v>
      </c>
      <c r="B148" s="0" t="n">
        <f aca="false">dummy_variables!F145</f>
        <v>6089</v>
      </c>
      <c r="C148" s="0" t="n">
        <f aca="false">dummy_variables!G145</f>
        <v>0.182</v>
      </c>
      <c r="D148" s="0" t="n">
        <f aca="false">dummy_variables!I145</f>
        <v>94</v>
      </c>
      <c r="E148" s="0" t="n">
        <f aca="false">dummy_variables!J145</f>
        <v>9.7</v>
      </c>
      <c r="F148" s="0" t="n">
        <f aca="false">dummy_variables!K145</f>
        <v>0</v>
      </c>
      <c r="G148" s="0" t="n">
        <f aca="false">dummy_variables!L145</f>
        <v>3.9</v>
      </c>
      <c r="H148" s="0" t="n">
        <f aca="false">dummy_variables!O145</f>
        <v>0</v>
      </c>
      <c r="I148" s="0" t="n">
        <f aca="false">dummy_variables!P145</f>
        <v>0</v>
      </c>
      <c r="J148" s="0" t="n">
        <f aca="false">dummy_variables!Q145</f>
        <v>1</v>
      </c>
      <c r="K148" s="0" t="n">
        <f aca="false">dummy_variables!R145</f>
        <v>0</v>
      </c>
      <c r="L148" s="0" t="n">
        <f aca="false">dummy_variables!S145</f>
        <v>0</v>
      </c>
      <c r="M148" s="0" t="n">
        <f aca="false">dummy_variables!T145</f>
        <v>0</v>
      </c>
      <c r="N148" s="0" t="n">
        <f aca="false">dummy_variables!M145</f>
        <v>695098.51</v>
      </c>
    </row>
    <row r="149" customFormat="false" ht="15" hidden="false" customHeight="false" outlineLevel="0" collapsed="false">
      <c r="A149" s="0" t="n">
        <f aca="false">dummy_variables!E146</f>
        <v>70488.2</v>
      </c>
      <c r="B149" s="0" t="n">
        <f aca="false">dummy_variables!F146</f>
        <v>4312</v>
      </c>
      <c r="C149" s="0" t="n">
        <f aca="false">dummy_variables!G146</f>
        <v>0.169</v>
      </c>
      <c r="D149" s="0" t="n">
        <f aca="false">dummy_variables!I146</f>
        <v>90.2</v>
      </c>
      <c r="E149" s="0" t="n">
        <f aca="false">dummy_variables!J146</f>
        <v>3.71</v>
      </c>
      <c r="F149" s="0" t="n">
        <f aca="false">dummy_variables!K146</f>
        <v>0</v>
      </c>
      <c r="G149" s="0" t="n">
        <f aca="false">dummy_variables!L146</f>
        <v>3.2</v>
      </c>
      <c r="H149" s="0" t="n">
        <f aca="false">dummy_variables!O146</f>
        <v>1</v>
      </c>
      <c r="I149" s="0" t="n">
        <f aca="false">dummy_variables!P146</f>
        <v>0</v>
      </c>
      <c r="J149" s="0" t="n">
        <f aca="false">dummy_variables!Q146</f>
        <v>0</v>
      </c>
      <c r="K149" s="0" t="n">
        <f aca="false">dummy_variables!R146</f>
        <v>0</v>
      </c>
      <c r="L149" s="0" t="n">
        <f aca="false">dummy_variables!S146</f>
        <v>0</v>
      </c>
      <c r="M149" s="0" t="n">
        <f aca="false">dummy_variables!T146</f>
        <v>1</v>
      </c>
      <c r="N149" s="0" t="n">
        <f aca="false">dummy_variables!M146</f>
        <v>577732.57</v>
      </c>
    </row>
    <row r="150" customFormat="false" ht="15" hidden="false" customHeight="false" outlineLevel="0" collapsed="false">
      <c r="A150" s="0" t="n">
        <f aca="false">dummy_variables!E147</f>
        <v>50909.27</v>
      </c>
      <c r="B150" s="0" t="n">
        <f aca="false">dummy_variables!F147</f>
        <v>3152</v>
      </c>
      <c r="C150" s="0" t="n">
        <f aca="false">dummy_variables!G147</f>
        <v>0.06</v>
      </c>
      <c r="D150" s="0" t="n">
        <f aca="false">dummy_variables!I147</f>
        <v>93.7</v>
      </c>
      <c r="E150" s="0" t="n">
        <f aca="false">dummy_variables!J147</f>
        <v>10.79</v>
      </c>
      <c r="F150" s="0" t="n">
        <f aca="false">dummy_variables!K147</f>
        <v>0</v>
      </c>
      <c r="G150" s="0" t="n">
        <f aca="false">dummy_variables!L147</f>
        <v>3.5</v>
      </c>
      <c r="H150" s="0" t="n">
        <f aca="false">dummy_variables!O147</f>
        <v>1</v>
      </c>
      <c r="I150" s="0" t="n">
        <f aca="false">dummy_variables!P147</f>
        <v>0</v>
      </c>
      <c r="J150" s="0" t="n">
        <f aca="false">dummy_variables!Q147</f>
        <v>0</v>
      </c>
      <c r="K150" s="0" t="n">
        <f aca="false">dummy_variables!R147</f>
        <v>0</v>
      </c>
      <c r="L150" s="0" t="n">
        <f aca="false">dummy_variables!S147</f>
        <v>0</v>
      </c>
      <c r="M150" s="0" t="n">
        <f aca="false">dummy_variables!T147</f>
        <v>1</v>
      </c>
      <c r="N150" s="0" t="n">
        <f aca="false">dummy_variables!M147</f>
        <v>537058.33</v>
      </c>
    </row>
    <row r="151" customFormat="false" ht="15" hidden="false" customHeight="false" outlineLevel="0" collapsed="false">
      <c r="A151" s="0" t="n">
        <f aca="false">dummy_variables!E148</f>
        <v>53351.7</v>
      </c>
      <c r="B151" s="0" t="n">
        <f aca="false">dummy_variables!F148</f>
        <v>4259</v>
      </c>
      <c r="C151" s="0" t="n">
        <f aca="false">dummy_variables!G148</f>
        <v>0.156</v>
      </c>
      <c r="D151" s="0" t="n">
        <f aca="false">dummy_variables!I148</f>
        <v>93.7</v>
      </c>
      <c r="E151" s="0" t="n">
        <f aca="false">dummy_variables!J148</f>
        <v>6.03</v>
      </c>
      <c r="F151" s="0" t="n">
        <f aca="false">dummy_variables!K148</f>
        <v>0</v>
      </c>
      <c r="G151" s="0" t="n">
        <f aca="false">dummy_variables!L148</f>
        <v>3.4</v>
      </c>
      <c r="H151" s="0" t="n">
        <f aca="false">dummy_variables!O148</f>
        <v>1</v>
      </c>
      <c r="I151" s="0" t="n">
        <f aca="false">dummy_variables!P148</f>
        <v>0</v>
      </c>
      <c r="J151" s="0" t="n">
        <f aca="false">dummy_variables!Q148</f>
        <v>0</v>
      </c>
      <c r="K151" s="0" t="n">
        <f aca="false">dummy_variables!R148</f>
        <v>0</v>
      </c>
      <c r="L151" s="0" t="n">
        <f aca="false">dummy_variables!S148</f>
        <v>0</v>
      </c>
      <c r="M151" s="0" t="n">
        <f aca="false">dummy_variables!T148</f>
        <v>1</v>
      </c>
      <c r="N151" s="0" t="n">
        <f aca="false">dummy_variables!M148</f>
        <v>601568.87</v>
      </c>
    </row>
    <row r="152" customFormat="false" ht="15" hidden="false" customHeight="false" outlineLevel="0" collapsed="false">
      <c r="A152" s="0" t="n">
        <f aca="false">dummy_variables!E149</f>
        <v>60322.4</v>
      </c>
      <c r="B152" s="0" t="n">
        <f aca="false">dummy_variables!F149</f>
        <v>3350</v>
      </c>
      <c r="C152" s="0" t="n">
        <f aca="false">dummy_variables!G149</f>
        <v>0.108</v>
      </c>
      <c r="D152" s="0" t="n">
        <f aca="false">dummy_variables!I149</f>
        <v>89.4</v>
      </c>
      <c r="E152" s="0" t="n">
        <f aca="false">dummy_variables!J149</f>
        <v>4.92</v>
      </c>
      <c r="F152" s="0" t="n">
        <f aca="false">dummy_variables!K149</f>
        <v>0</v>
      </c>
      <c r="G152" s="0" t="n">
        <f aca="false">dummy_variables!L149</f>
        <v>3.4</v>
      </c>
      <c r="H152" s="0" t="n">
        <f aca="false">dummy_variables!O149</f>
        <v>1</v>
      </c>
      <c r="I152" s="0" t="n">
        <f aca="false">dummy_variables!P149</f>
        <v>0</v>
      </c>
      <c r="J152" s="0" t="n">
        <f aca="false">dummy_variables!Q149</f>
        <v>0</v>
      </c>
      <c r="K152" s="0" t="n">
        <f aca="false">dummy_variables!R149</f>
        <v>0</v>
      </c>
      <c r="L152" s="0" t="n">
        <f aca="false">dummy_variables!S149</f>
        <v>0</v>
      </c>
      <c r="M152" s="0" t="n">
        <f aca="false">dummy_variables!T149</f>
        <v>1</v>
      </c>
      <c r="N152" s="0" t="n">
        <f aca="false">dummy_variables!M149</f>
        <v>570964.84</v>
      </c>
    </row>
    <row r="153" customFormat="false" ht="15" hidden="false" customHeight="false" outlineLevel="0" collapsed="false">
      <c r="A153" s="0" t="n">
        <f aca="false">dummy_variables!E150</f>
        <v>51575.68</v>
      </c>
      <c r="B153" s="0" t="n">
        <f aca="false">dummy_variables!F150</f>
        <v>5329</v>
      </c>
      <c r="C153" s="0" t="n">
        <f aca="false">dummy_variables!G150</f>
        <v>0.047</v>
      </c>
      <c r="D153" s="0" t="n">
        <f aca="false">dummy_variables!I150</f>
        <v>88.1</v>
      </c>
      <c r="E153" s="0" t="n">
        <f aca="false">dummy_variables!J150</f>
        <v>19.78</v>
      </c>
      <c r="F153" s="0" t="n">
        <f aca="false">dummy_variables!K150</f>
        <v>0</v>
      </c>
      <c r="G153" s="0" t="n">
        <f aca="false">dummy_variables!L150</f>
        <v>3.8</v>
      </c>
      <c r="H153" s="0" t="n">
        <f aca="false">dummy_variables!O150</f>
        <v>0</v>
      </c>
      <c r="I153" s="0" t="n">
        <f aca="false">dummy_variables!P150</f>
        <v>1</v>
      </c>
      <c r="J153" s="0" t="n">
        <f aca="false">dummy_variables!Q150</f>
        <v>0</v>
      </c>
      <c r="K153" s="0" t="n">
        <f aca="false">dummy_variables!R150</f>
        <v>0</v>
      </c>
      <c r="L153" s="0" t="n">
        <f aca="false">dummy_variables!S150</f>
        <v>1</v>
      </c>
      <c r="M153" s="0" t="n">
        <f aca="false">dummy_variables!T150</f>
        <v>0</v>
      </c>
      <c r="N153" s="0" t="n">
        <f aca="false">dummy_variables!M150</f>
        <v>614024.91</v>
      </c>
    </row>
    <row r="154" customFormat="false" ht="15" hidden="false" customHeight="false" outlineLevel="0" collapsed="false">
      <c r="A154" s="0" t="n">
        <f aca="false">dummy_variables!E151</f>
        <v>43319.94</v>
      </c>
      <c r="B154" s="0" t="n">
        <f aca="false">dummy_variables!F151</f>
        <v>6551</v>
      </c>
      <c r="C154" s="0" t="n">
        <f aca="false">dummy_variables!G151</f>
        <v>0.044</v>
      </c>
      <c r="D154" s="0" t="n">
        <f aca="false">dummy_variables!I151</f>
        <v>99</v>
      </c>
      <c r="E154" s="0" t="n">
        <f aca="false">dummy_variables!J151</f>
        <v>5.45</v>
      </c>
      <c r="F154" s="0" t="n">
        <f aca="false">dummy_variables!K151</f>
        <v>0</v>
      </c>
      <c r="G154" s="0" t="n">
        <f aca="false">dummy_variables!L151</f>
        <v>4.1</v>
      </c>
      <c r="H154" s="0" t="n">
        <f aca="false">dummy_variables!O151</f>
        <v>0</v>
      </c>
      <c r="I154" s="0" t="n">
        <f aca="false">dummy_variables!P151</f>
        <v>1</v>
      </c>
      <c r="J154" s="0" t="n">
        <f aca="false">dummy_variables!Q151</f>
        <v>0</v>
      </c>
      <c r="K154" s="0" t="n">
        <f aca="false">dummy_variables!R151</f>
        <v>0</v>
      </c>
      <c r="L154" s="0" t="n">
        <f aca="false">dummy_variables!S151</f>
        <v>1</v>
      </c>
      <c r="M154" s="0" t="n">
        <f aca="false">dummy_variables!T151</f>
        <v>0</v>
      </c>
      <c r="N154" s="0" t="n">
        <f aca="false">dummy_variables!M151</f>
        <v>712868.35</v>
      </c>
    </row>
    <row r="155" customFormat="false" ht="15" hidden="false" customHeight="false" outlineLevel="0" collapsed="false">
      <c r="A155" s="0" t="n">
        <f aca="false">dummy_variables!E152</f>
        <v>47093.55</v>
      </c>
      <c r="B155" s="0" t="n">
        <f aca="false">dummy_variables!F152</f>
        <v>5550</v>
      </c>
      <c r="C155" s="0" t="n">
        <f aca="false">dummy_variables!G152</f>
        <v>0.1</v>
      </c>
      <c r="D155" s="0" t="n">
        <f aca="false">dummy_variables!I152</f>
        <v>95</v>
      </c>
      <c r="E155" s="0" t="n">
        <f aca="false">dummy_variables!J152</f>
        <v>2.33</v>
      </c>
      <c r="F155" s="0" t="n">
        <f aca="false">dummy_variables!K152</f>
        <v>1</v>
      </c>
      <c r="G155" s="0" t="n">
        <f aca="false">dummy_variables!L152</f>
        <v>3.7</v>
      </c>
      <c r="H155" s="0" t="n">
        <f aca="false">dummy_variables!O152</f>
        <v>0</v>
      </c>
      <c r="I155" s="0" t="n">
        <f aca="false">dummy_variables!P152</f>
        <v>1</v>
      </c>
      <c r="J155" s="0" t="n">
        <f aca="false">dummy_variables!Q152</f>
        <v>0</v>
      </c>
      <c r="K155" s="0" t="n">
        <f aca="false">dummy_variables!R152</f>
        <v>0</v>
      </c>
      <c r="L155" s="0" t="n">
        <f aca="false">dummy_variables!S152</f>
        <v>1</v>
      </c>
      <c r="M155" s="0" t="n">
        <f aca="false">dummy_variables!T152</f>
        <v>0</v>
      </c>
      <c r="N155" s="0" t="n">
        <f aca="false">dummy_variables!M152</f>
        <v>696744.15</v>
      </c>
    </row>
    <row r="156" customFormat="false" ht="15" hidden="false" customHeight="false" outlineLevel="0" collapsed="false">
      <c r="A156" s="0" t="n">
        <f aca="false">dummy_variables!E153</f>
        <v>71855.09</v>
      </c>
      <c r="B156" s="0" t="n">
        <f aca="false">dummy_variables!F153</f>
        <v>5911</v>
      </c>
      <c r="C156" s="0" t="n">
        <f aca="false">dummy_variables!G153</f>
        <v>0.197</v>
      </c>
      <c r="D156" s="0" t="n">
        <f aca="false">dummy_variables!I153</f>
        <v>94.3</v>
      </c>
      <c r="E156" s="0" t="n">
        <f aca="false">dummy_variables!J153</f>
        <v>3.55</v>
      </c>
      <c r="F156" s="0" t="n">
        <f aca="false">dummy_variables!K153</f>
        <v>0</v>
      </c>
      <c r="G156" s="0" t="n">
        <f aca="false">dummy_variables!L153</f>
        <v>4.1</v>
      </c>
      <c r="H156" s="0" t="n">
        <f aca="false">dummy_variables!O153</f>
        <v>0</v>
      </c>
      <c r="I156" s="0" t="n">
        <f aca="false">dummy_variables!P153</f>
        <v>1</v>
      </c>
      <c r="J156" s="0" t="n">
        <f aca="false">dummy_variables!Q153</f>
        <v>0</v>
      </c>
      <c r="K156" s="0" t="n">
        <f aca="false">dummy_variables!R153</f>
        <v>0</v>
      </c>
      <c r="L156" s="0" t="n">
        <f aca="false">dummy_variables!S153</f>
        <v>1</v>
      </c>
      <c r="M156" s="0" t="n">
        <f aca="false">dummy_variables!T153</f>
        <v>0</v>
      </c>
      <c r="N156" s="0" t="n">
        <f aca="false">dummy_variables!M153</f>
        <v>725847.99</v>
      </c>
    </row>
    <row r="157" customFormat="false" ht="15" hidden="false" customHeight="false" outlineLevel="0" collapsed="false">
      <c r="A157" s="0" t="n">
        <f aca="false">dummy_variables!E154</f>
        <v>75645.23</v>
      </c>
      <c r="B157" s="0" t="n">
        <f aca="false">dummy_variables!F154</f>
        <v>9674</v>
      </c>
      <c r="C157" s="0" t="n">
        <f aca="false">dummy_variables!G154</f>
        <v>0.234</v>
      </c>
      <c r="D157" s="0" t="n">
        <f aca="false">dummy_variables!I154</f>
        <v>87.4</v>
      </c>
      <c r="E157" s="0" t="n">
        <f aca="false">dummy_variables!J154</f>
        <v>0.2</v>
      </c>
      <c r="F157" s="0" t="n">
        <f aca="false">dummy_variables!K154</f>
        <v>0</v>
      </c>
      <c r="G157" s="0" t="n">
        <f aca="false">dummy_variables!L154</f>
        <v>4.5</v>
      </c>
      <c r="H157" s="0" t="n">
        <f aca="false">dummy_variables!O154</f>
        <v>0</v>
      </c>
      <c r="I157" s="0" t="n">
        <f aca="false">dummy_variables!P154</f>
        <v>0</v>
      </c>
      <c r="J157" s="0" t="n">
        <f aca="false">dummy_variables!Q154</f>
        <v>0</v>
      </c>
      <c r="K157" s="0" t="n">
        <f aca="false">dummy_variables!R154</f>
        <v>0</v>
      </c>
      <c r="L157" s="0" t="n">
        <f aca="false">dummy_variables!S154</f>
        <v>0</v>
      </c>
      <c r="M157" s="0" t="n">
        <f aca="false">dummy_variables!T154</f>
        <v>0</v>
      </c>
      <c r="N157" s="0" t="n">
        <f aca="false">dummy_variables!M154</f>
        <v>785028.25</v>
      </c>
    </row>
    <row r="158" customFormat="false" ht="15" hidden="false" customHeight="false" outlineLevel="0" collapsed="false">
      <c r="A158" s="0" t="n">
        <f aca="false">dummy_variables!E155</f>
        <v>64374.75</v>
      </c>
      <c r="B158" s="0" t="n">
        <f aca="false">dummy_variables!F155</f>
        <v>6740</v>
      </c>
      <c r="C158" s="0" t="n">
        <f aca="false">dummy_variables!G155</f>
        <v>0.169</v>
      </c>
      <c r="D158" s="0" t="n">
        <f aca="false">dummy_variables!I155</f>
        <v>87</v>
      </c>
      <c r="E158" s="0" t="n">
        <f aca="false">dummy_variables!J155</f>
        <v>2.09</v>
      </c>
      <c r="F158" s="0" t="n">
        <f aca="false">dummy_variables!K155</f>
        <v>0</v>
      </c>
      <c r="G158" s="0" t="n">
        <f aca="false">dummy_variables!L155</f>
        <v>4.2</v>
      </c>
      <c r="H158" s="0" t="n">
        <f aca="false">dummy_variables!O155</f>
        <v>0</v>
      </c>
      <c r="I158" s="0" t="n">
        <f aca="false">dummy_variables!P155</f>
        <v>0</v>
      </c>
      <c r="J158" s="0" t="n">
        <f aca="false">dummy_variables!Q155</f>
        <v>0</v>
      </c>
      <c r="K158" s="0" t="n">
        <f aca="false">dummy_variables!R155</f>
        <v>0</v>
      </c>
      <c r="L158" s="0" t="n">
        <f aca="false">dummy_variables!S155</f>
        <v>0</v>
      </c>
      <c r="M158" s="0" t="n">
        <f aca="false">dummy_variables!T155</f>
        <v>0</v>
      </c>
      <c r="N158" s="0" t="n">
        <f aca="false">dummy_variables!M155</f>
        <v>698492.67</v>
      </c>
    </row>
    <row r="159" customFormat="false" ht="15" hidden="false" customHeight="false" outlineLevel="0" collapsed="false">
      <c r="A159" s="0" t="n">
        <f aca="false">dummy_variables!E156</f>
        <v>61433.84</v>
      </c>
      <c r="B159" s="0" t="n">
        <f aca="false">dummy_variables!F156</f>
        <v>7745</v>
      </c>
      <c r="C159" s="0" t="n">
        <f aca="false">dummy_variables!G156</f>
        <v>0.18</v>
      </c>
      <c r="D159" s="0" t="n">
        <f aca="false">dummy_variables!I156</f>
        <v>90.5</v>
      </c>
      <c r="E159" s="0" t="n">
        <f aca="false">dummy_variables!J156</f>
        <v>2.26</v>
      </c>
      <c r="F159" s="0" t="n">
        <f aca="false">dummy_variables!K156</f>
        <v>0</v>
      </c>
      <c r="G159" s="0" t="n">
        <f aca="false">dummy_variables!L156</f>
        <v>4.2</v>
      </c>
      <c r="H159" s="0" t="n">
        <f aca="false">dummy_variables!O156</f>
        <v>0</v>
      </c>
      <c r="I159" s="0" t="n">
        <f aca="false">dummy_variables!P156</f>
        <v>0</v>
      </c>
      <c r="J159" s="0" t="n">
        <f aca="false">dummy_variables!Q156</f>
        <v>0</v>
      </c>
      <c r="K159" s="0" t="n">
        <f aca="false">dummy_variables!R156</f>
        <v>0</v>
      </c>
      <c r="L159" s="0" t="n">
        <f aca="false">dummy_variables!S156</f>
        <v>0</v>
      </c>
      <c r="M159" s="0" t="n">
        <f aca="false">dummy_variables!T156</f>
        <v>0</v>
      </c>
      <c r="N159" s="0" t="n">
        <f aca="false">dummy_variables!M156</f>
        <v>685830.24</v>
      </c>
    </row>
    <row r="160" customFormat="false" ht="15" hidden="false" customHeight="false" outlineLevel="0" collapsed="false">
      <c r="A160" s="0" t="n">
        <f aca="false">dummy_variables!E157</f>
        <v>42698.14</v>
      </c>
      <c r="B160" s="0" t="n">
        <f aca="false">dummy_variables!F157</f>
        <v>7693</v>
      </c>
      <c r="C160" s="0" t="n">
        <f aca="false">dummy_variables!G157</f>
        <v>0.187</v>
      </c>
      <c r="D160" s="0" t="n">
        <f aca="false">dummy_variables!I157</f>
        <v>90.1</v>
      </c>
      <c r="E160" s="0" t="n">
        <f aca="false">dummy_variables!J157</f>
        <v>0.44</v>
      </c>
      <c r="F160" s="0" t="n">
        <f aca="false">dummy_variables!K157</f>
        <v>0</v>
      </c>
      <c r="G160" s="0" t="n">
        <f aca="false">dummy_variables!L157</f>
        <v>4.4</v>
      </c>
      <c r="H160" s="0" t="n">
        <f aca="false">dummy_variables!O157</f>
        <v>0</v>
      </c>
      <c r="I160" s="0" t="n">
        <f aca="false">dummy_variables!P157</f>
        <v>0</v>
      </c>
      <c r="J160" s="0" t="n">
        <f aca="false">dummy_variables!Q157</f>
        <v>0</v>
      </c>
      <c r="K160" s="0" t="n">
        <f aca="false">dummy_variables!R157</f>
        <v>0</v>
      </c>
      <c r="L160" s="0" t="n">
        <f aca="false">dummy_variables!S157</f>
        <v>0</v>
      </c>
      <c r="M160" s="0" t="n">
        <f aca="false">dummy_variables!T157</f>
        <v>0</v>
      </c>
      <c r="N160" s="0" t="n">
        <f aca="false">dummy_variables!M157</f>
        <v>702318.94</v>
      </c>
    </row>
    <row r="161" customFormat="false" ht="15" hidden="false" customHeight="false" outlineLevel="0" collapsed="false">
      <c r="A161" s="0" t="n">
        <f aca="false">dummy_variables!E158</f>
        <v>86883.31</v>
      </c>
      <c r="B161" s="0" t="n">
        <f aca="false">dummy_variables!F158</f>
        <v>6424</v>
      </c>
      <c r="C161" s="0" t="n">
        <f aca="false">dummy_variables!G158</f>
        <v>0.057</v>
      </c>
      <c r="D161" s="0" t="n">
        <f aca="false">dummy_variables!I158</f>
        <v>85.2</v>
      </c>
      <c r="E161" s="0" t="n">
        <f aca="false">dummy_variables!J158</f>
        <v>3.08</v>
      </c>
      <c r="F161" s="0" t="n">
        <f aca="false">dummy_variables!K158</f>
        <v>0</v>
      </c>
      <c r="G161" s="0" t="n">
        <f aca="false">dummy_variables!L158</f>
        <v>3.9</v>
      </c>
      <c r="H161" s="0" t="n">
        <f aca="false">dummy_variables!O158</f>
        <v>1</v>
      </c>
      <c r="I161" s="0" t="n">
        <f aca="false">dummy_variables!P158</f>
        <v>0</v>
      </c>
      <c r="J161" s="0" t="n">
        <f aca="false">dummy_variables!Q158</f>
        <v>0</v>
      </c>
      <c r="K161" s="0" t="n">
        <f aca="false">dummy_variables!R158</f>
        <v>0</v>
      </c>
      <c r="L161" s="0" t="n">
        <f aca="false">dummy_variables!S158</f>
        <v>1</v>
      </c>
      <c r="M161" s="0" t="n">
        <f aca="false">dummy_variables!T158</f>
        <v>0</v>
      </c>
      <c r="N161" s="0" t="n">
        <f aca="false">dummy_variables!M158</f>
        <v>700078.32</v>
      </c>
    </row>
    <row r="162" customFormat="false" ht="15" hidden="false" customHeight="false" outlineLevel="0" collapsed="false">
      <c r="A162" s="0" t="n">
        <f aca="false">dummy_variables!E159</f>
        <v>41863.08</v>
      </c>
      <c r="B162" s="0" t="n">
        <f aca="false">dummy_variables!F159</f>
        <v>5400</v>
      </c>
      <c r="C162" s="0" t="n">
        <f aca="false">dummy_variables!G159</f>
        <v>0.114</v>
      </c>
      <c r="D162" s="0" t="n">
        <f aca="false">dummy_variables!I159</f>
        <v>91.6</v>
      </c>
      <c r="E162" s="0" t="n">
        <f aca="false">dummy_variables!J159</f>
        <v>7.99</v>
      </c>
      <c r="F162" s="0" t="n">
        <f aca="false">dummy_variables!K159</f>
        <v>0</v>
      </c>
      <c r="G162" s="0" t="n">
        <f aca="false">dummy_variables!L159</f>
        <v>3</v>
      </c>
      <c r="H162" s="0" t="n">
        <f aca="false">dummy_variables!O159</f>
        <v>1</v>
      </c>
      <c r="I162" s="0" t="n">
        <f aca="false">dummy_variables!P159</f>
        <v>0</v>
      </c>
      <c r="J162" s="0" t="n">
        <f aca="false">dummy_variables!Q159</f>
        <v>0</v>
      </c>
      <c r="K162" s="0" t="n">
        <f aca="false">dummy_variables!R159</f>
        <v>0</v>
      </c>
      <c r="L162" s="0" t="n">
        <f aca="false">dummy_variables!S159</f>
        <v>1</v>
      </c>
      <c r="M162" s="0" t="n">
        <f aca="false">dummy_variables!T159</f>
        <v>0</v>
      </c>
      <c r="N162" s="0" t="n">
        <f aca="false">dummy_variables!M159</f>
        <v>602002.32</v>
      </c>
    </row>
    <row r="163" customFormat="false" ht="15" hidden="false" customHeight="false" outlineLevel="0" collapsed="false">
      <c r="A163" s="0" t="n">
        <f aca="false">dummy_variables!E160</f>
        <v>56918.16</v>
      </c>
      <c r="B163" s="0" t="n">
        <f aca="false">dummy_variables!F160</f>
        <v>7015</v>
      </c>
      <c r="C163" s="0" t="n">
        <f aca="false">dummy_variables!G160</f>
        <v>0.158</v>
      </c>
      <c r="D163" s="0" t="n">
        <f aca="false">dummy_variables!I160</f>
        <v>74.2</v>
      </c>
      <c r="E163" s="0" t="n">
        <f aca="false">dummy_variables!J160</f>
        <v>0.2</v>
      </c>
      <c r="F163" s="0" t="n">
        <f aca="false">dummy_variables!K160</f>
        <v>0</v>
      </c>
      <c r="G163" s="0" t="n">
        <f aca="false">dummy_variables!L160</f>
        <v>3.4</v>
      </c>
      <c r="H163" s="0" t="n">
        <f aca="false">dummy_variables!O160</f>
        <v>1</v>
      </c>
      <c r="I163" s="0" t="n">
        <f aca="false">dummy_variables!P160</f>
        <v>0</v>
      </c>
      <c r="J163" s="0" t="n">
        <f aca="false">dummy_variables!Q160</f>
        <v>0</v>
      </c>
      <c r="K163" s="0" t="n">
        <f aca="false">dummy_variables!R160</f>
        <v>0</v>
      </c>
      <c r="L163" s="0" t="n">
        <f aca="false">dummy_variables!S160</f>
        <v>1</v>
      </c>
      <c r="M163" s="0" t="n">
        <f aca="false">dummy_variables!T160</f>
        <v>0</v>
      </c>
      <c r="N163" s="0" t="n">
        <f aca="false">dummy_variables!M160</f>
        <v>724216.07</v>
      </c>
    </row>
    <row r="164" customFormat="false" ht="15" hidden="false" customHeight="false" outlineLevel="0" collapsed="false">
      <c r="A164" s="0" t="n">
        <f aca="false">dummy_variables!E161</f>
        <v>23254.57</v>
      </c>
      <c r="B164" s="0" t="n">
        <f aca="false">dummy_variables!F161</f>
        <v>3847</v>
      </c>
      <c r="C164" s="0" t="n">
        <f aca="false">dummy_variables!G161</f>
        <v>0.159</v>
      </c>
      <c r="D164" s="0" t="n">
        <f aca="false">dummy_variables!I161</f>
        <v>93</v>
      </c>
      <c r="E164" s="0" t="n">
        <f aca="false">dummy_variables!J161</f>
        <v>5.46</v>
      </c>
      <c r="F164" s="0" t="n">
        <f aca="false">dummy_variables!K161</f>
        <v>0</v>
      </c>
      <c r="G164" s="0" t="n">
        <f aca="false">dummy_variables!L161</f>
        <v>3.3</v>
      </c>
      <c r="H164" s="0" t="n">
        <f aca="false">dummy_variables!O161</f>
        <v>1</v>
      </c>
      <c r="I164" s="0" t="n">
        <f aca="false">dummy_variables!P161</f>
        <v>0</v>
      </c>
      <c r="J164" s="0" t="n">
        <f aca="false">dummy_variables!Q161</f>
        <v>0</v>
      </c>
      <c r="K164" s="0" t="n">
        <f aca="false">dummy_variables!R161</f>
        <v>0</v>
      </c>
      <c r="L164" s="0" t="n">
        <f aca="false">dummy_variables!S161</f>
        <v>1</v>
      </c>
      <c r="M164" s="0" t="n">
        <f aca="false">dummy_variables!T161</f>
        <v>0</v>
      </c>
      <c r="N164" s="0" t="n">
        <f aca="false">dummy_variables!M161</f>
        <v>620973.03</v>
      </c>
    </row>
    <row r="165" customFormat="false" ht="15" hidden="false" customHeight="false" outlineLevel="0" collapsed="false">
      <c r="A165" s="0" t="n">
        <f aca="false">dummy_variables!E162</f>
        <v>41443.41</v>
      </c>
      <c r="B165" s="0" t="n">
        <f aca="false">dummy_variables!F162</f>
        <v>7455</v>
      </c>
      <c r="C165" s="0" t="n">
        <f aca="false">dummy_variables!G162</f>
        <v>0.175</v>
      </c>
      <c r="D165" s="0" t="n">
        <f aca="false">dummy_variables!I162</f>
        <v>90.1</v>
      </c>
      <c r="E165" s="0" t="n">
        <f aca="false">dummy_variables!J162</f>
        <v>4.05</v>
      </c>
      <c r="F165" s="0" t="n">
        <f aca="false">dummy_variables!K162</f>
        <v>0</v>
      </c>
      <c r="G165" s="0" t="n">
        <f aca="false">dummy_variables!L162</f>
        <v>4</v>
      </c>
      <c r="H165" s="0" t="n">
        <f aca="false">dummy_variables!O162</f>
        <v>0</v>
      </c>
      <c r="I165" s="0" t="n">
        <f aca="false">dummy_variables!P162</f>
        <v>1</v>
      </c>
      <c r="J165" s="0" t="n">
        <f aca="false">dummy_variables!Q162</f>
        <v>0</v>
      </c>
      <c r="K165" s="0" t="n">
        <f aca="false">dummy_variables!R162</f>
        <v>0</v>
      </c>
      <c r="L165" s="0" t="n">
        <f aca="false">dummy_variables!S162</f>
        <v>0</v>
      </c>
      <c r="M165" s="0" t="n">
        <f aca="false">dummy_variables!T162</f>
        <v>0</v>
      </c>
      <c r="N165" s="0" t="n">
        <f aca="false">dummy_variables!M162</f>
        <v>650480.06</v>
      </c>
    </row>
    <row r="166" customFormat="false" ht="15" hidden="false" customHeight="false" outlineLevel="0" collapsed="false">
      <c r="A166" s="0" t="n">
        <f aca="false">dummy_variables!E163</f>
        <v>48438.85</v>
      </c>
      <c r="B166" s="0" t="n">
        <f aca="false">dummy_variables!F163</f>
        <v>6992</v>
      </c>
      <c r="C166" s="0" t="n">
        <f aca="false">dummy_variables!G163</f>
        <v>0.034</v>
      </c>
      <c r="D166" s="0" t="n">
        <f aca="false">dummy_variables!I163</f>
        <v>91</v>
      </c>
      <c r="E166" s="0" t="n">
        <f aca="false">dummy_variables!J163</f>
        <v>4.36</v>
      </c>
      <c r="F166" s="0" t="n">
        <f aca="false">dummy_variables!K163</f>
        <v>0</v>
      </c>
      <c r="G166" s="0" t="n">
        <f aca="false">dummy_variables!L163</f>
        <v>4.2</v>
      </c>
      <c r="H166" s="0" t="n">
        <f aca="false">dummy_variables!O163</f>
        <v>0</v>
      </c>
      <c r="I166" s="0" t="n">
        <f aca="false">dummy_variables!P163</f>
        <v>1</v>
      </c>
      <c r="J166" s="0" t="n">
        <f aca="false">dummy_variables!Q163</f>
        <v>0</v>
      </c>
      <c r="K166" s="0" t="n">
        <f aca="false">dummy_variables!R163</f>
        <v>0</v>
      </c>
      <c r="L166" s="0" t="n">
        <f aca="false">dummy_variables!S163</f>
        <v>0</v>
      </c>
      <c r="M166" s="0" t="n">
        <f aca="false">dummy_variables!T163</f>
        <v>0</v>
      </c>
      <c r="N166" s="0" t="n">
        <f aca="false">dummy_variables!M163</f>
        <v>778298.88</v>
      </c>
    </row>
    <row r="167" customFormat="false" ht="15" hidden="false" customHeight="false" outlineLevel="0" collapsed="false">
      <c r="A167" s="0" t="n">
        <f aca="false">dummy_variables!E164</f>
        <v>57143.3</v>
      </c>
      <c r="B167" s="0" t="n">
        <f aca="false">dummy_variables!F164</f>
        <v>8038</v>
      </c>
      <c r="C167" s="0" t="n">
        <f aca="false">dummy_variables!G164</f>
        <v>0.193</v>
      </c>
      <c r="D167" s="0" t="n">
        <f aca="false">dummy_variables!I164</f>
        <v>72.6</v>
      </c>
      <c r="E167" s="0" t="n">
        <f aca="false">dummy_variables!J164</f>
        <v>3.365</v>
      </c>
      <c r="F167" s="0" t="n">
        <f aca="false">dummy_variables!K164</f>
        <v>0</v>
      </c>
      <c r="G167" s="0" t="n">
        <f aca="false">dummy_variables!L164</f>
        <v>4.2</v>
      </c>
      <c r="H167" s="0" t="n">
        <f aca="false">dummy_variables!O164</f>
        <v>0</v>
      </c>
      <c r="I167" s="0" t="n">
        <f aca="false">dummy_variables!P164</f>
        <v>1</v>
      </c>
      <c r="J167" s="0" t="n">
        <f aca="false">dummy_variables!Q164</f>
        <v>0</v>
      </c>
      <c r="K167" s="0" t="n">
        <f aca="false">dummy_variables!R164</f>
        <v>0</v>
      </c>
      <c r="L167" s="0" t="n">
        <f aca="false">dummy_variables!S164</f>
        <v>0</v>
      </c>
      <c r="M167" s="0" t="n">
        <f aca="false">dummy_variables!T164</f>
        <v>0</v>
      </c>
      <c r="N167" s="0" t="n">
        <f aca="false">dummy_variables!M164</f>
        <v>677096.71</v>
      </c>
    </row>
    <row r="168" customFormat="false" ht="15" hidden="false" customHeight="false" outlineLevel="0" collapsed="false">
      <c r="A168" s="0" t="n">
        <f aca="false">dummy_variables!E165</f>
        <v>66870.62</v>
      </c>
      <c r="B168" s="0" t="n">
        <f aca="false">dummy_variables!F165</f>
        <v>6055</v>
      </c>
      <c r="C168" s="0" t="n">
        <f aca="false">dummy_variables!G165</f>
        <v>0.075</v>
      </c>
      <c r="D168" s="0" t="n">
        <f aca="false">dummy_variables!I165</f>
        <v>93.8</v>
      </c>
      <c r="E168" s="0" t="n">
        <f aca="false">dummy_variables!J165</f>
        <v>0.54</v>
      </c>
      <c r="F168" s="0" t="n">
        <f aca="false">dummy_variables!K165</f>
        <v>0</v>
      </c>
      <c r="G168" s="0" t="n">
        <f aca="false">dummy_variables!L165</f>
        <v>4.3</v>
      </c>
      <c r="H168" s="0" t="n">
        <f aca="false">dummy_variables!O165</f>
        <v>0</v>
      </c>
      <c r="I168" s="0" t="n">
        <f aca="false">dummy_variables!P165</f>
        <v>1</v>
      </c>
      <c r="J168" s="0" t="n">
        <f aca="false">dummy_variables!Q165</f>
        <v>0</v>
      </c>
      <c r="K168" s="0" t="n">
        <f aca="false">dummy_variables!R165</f>
        <v>0</v>
      </c>
      <c r="L168" s="0" t="n">
        <f aca="false">dummy_variables!S165</f>
        <v>0</v>
      </c>
      <c r="M168" s="0" t="n">
        <f aca="false">dummy_variables!T165</f>
        <v>0</v>
      </c>
      <c r="N168" s="0" t="n">
        <f aca="false">dummy_variables!M165</f>
        <v>692008.64</v>
      </c>
    </row>
    <row r="169" customFormat="false" ht="15" hidden="false" customHeight="false" outlineLevel="0" collapsed="false">
      <c r="A169" s="0" t="n">
        <f aca="false">dummy_variables!E166</f>
        <v>72150.53</v>
      </c>
      <c r="B169" s="0" t="n">
        <f aca="false">dummy_variables!F166</f>
        <v>9323</v>
      </c>
      <c r="C169" s="0" t="n">
        <f aca="false">dummy_variables!G166</f>
        <v>0.157</v>
      </c>
      <c r="D169" s="0" t="n">
        <f aca="false">dummy_variables!I166</f>
        <v>82.9</v>
      </c>
      <c r="E169" s="0" t="n">
        <f aca="false">dummy_variables!J166</f>
        <v>11.37</v>
      </c>
      <c r="F169" s="0" t="n">
        <f aca="false">dummy_variables!K166</f>
        <v>1</v>
      </c>
      <c r="G169" s="0" t="n">
        <f aca="false">dummy_variables!L166</f>
        <v>4.3</v>
      </c>
      <c r="H169" s="0" t="n">
        <f aca="false">dummy_variables!O166</f>
        <v>1</v>
      </c>
      <c r="I169" s="0" t="n">
        <f aca="false">dummy_variables!P166</f>
        <v>0</v>
      </c>
      <c r="J169" s="0" t="n">
        <f aca="false">dummy_variables!Q166</f>
        <v>0</v>
      </c>
      <c r="K169" s="0" t="n">
        <f aca="false">dummy_variables!R166</f>
        <v>0</v>
      </c>
      <c r="L169" s="0" t="n">
        <f aca="false">dummy_variables!S166</f>
        <v>1</v>
      </c>
      <c r="M169" s="0" t="n">
        <f aca="false">dummy_variables!T166</f>
        <v>0</v>
      </c>
      <c r="N169" s="0" t="n">
        <f aca="false">dummy_variables!M166</f>
        <v>825797.91</v>
      </c>
    </row>
    <row r="170" customFormat="false" ht="15" hidden="false" customHeight="false" outlineLevel="0" collapsed="false">
      <c r="A170" s="0" t="n">
        <f aca="false">dummy_variables!E167</f>
        <v>35303.3</v>
      </c>
      <c r="B170" s="0" t="n">
        <f aca="false">dummy_variables!F167</f>
        <v>8789</v>
      </c>
      <c r="C170" s="0" t="n">
        <f aca="false">dummy_variables!G167</f>
        <v>0.123</v>
      </c>
      <c r="D170" s="0" t="n">
        <f aca="false">dummy_variables!I167</f>
        <v>86.1</v>
      </c>
      <c r="E170" s="0" t="n">
        <f aca="false">dummy_variables!J167</f>
        <v>9.43</v>
      </c>
      <c r="F170" s="0" t="n">
        <f aca="false">dummy_variables!K167</f>
        <v>0</v>
      </c>
      <c r="G170" s="0" t="n">
        <f aca="false">dummy_variables!L167</f>
        <v>4.2</v>
      </c>
      <c r="H170" s="0" t="n">
        <f aca="false">dummy_variables!O167</f>
        <v>1</v>
      </c>
      <c r="I170" s="0" t="n">
        <f aca="false">dummy_variables!P167</f>
        <v>0</v>
      </c>
      <c r="J170" s="0" t="n">
        <f aca="false">dummy_variables!Q167</f>
        <v>0</v>
      </c>
      <c r="K170" s="0" t="n">
        <f aca="false">dummy_variables!R167</f>
        <v>0</v>
      </c>
      <c r="L170" s="0" t="n">
        <f aca="false">dummy_variables!S167</f>
        <v>1</v>
      </c>
      <c r="M170" s="0" t="n">
        <f aca="false">dummy_variables!T167</f>
        <v>0</v>
      </c>
      <c r="N170" s="0" t="n">
        <f aca="false">dummy_variables!M167</f>
        <v>706285.52</v>
      </c>
    </row>
    <row r="171" customFormat="false" ht="15" hidden="false" customHeight="false" outlineLevel="0" collapsed="false">
      <c r="A171" s="0" t="n">
        <f aca="false">dummy_variables!E168</f>
        <v>30301.86</v>
      </c>
      <c r="B171" s="0" t="n">
        <f aca="false">dummy_variables!F168</f>
        <v>6939</v>
      </c>
      <c r="C171" s="0" t="n">
        <f aca="false">dummy_variables!G168</f>
        <v>0.09</v>
      </c>
      <c r="D171" s="0" t="n">
        <f aca="false">dummy_variables!I168</f>
        <v>90.3</v>
      </c>
      <c r="E171" s="0" t="n">
        <f aca="false">dummy_variables!J168</f>
        <v>3.49</v>
      </c>
      <c r="F171" s="0" t="n">
        <f aca="false">dummy_variables!K168</f>
        <v>0</v>
      </c>
      <c r="G171" s="0" t="n">
        <f aca="false">dummy_variables!L168</f>
        <v>4</v>
      </c>
      <c r="H171" s="0" t="n">
        <f aca="false">dummy_variables!O168</f>
        <v>1</v>
      </c>
      <c r="I171" s="0" t="n">
        <f aca="false">dummy_variables!P168</f>
        <v>0</v>
      </c>
      <c r="J171" s="0" t="n">
        <f aca="false">dummy_variables!Q168</f>
        <v>0</v>
      </c>
      <c r="K171" s="0" t="n">
        <f aca="false">dummy_variables!R168</f>
        <v>0</v>
      </c>
      <c r="L171" s="0" t="n">
        <f aca="false">dummy_variables!S168</f>
        <v>1</v>
      </c>
      <c r="M171" s="0" t="n">
        <f aca="false">dummy_variables!T168</f>
        <v>0</v>
      </c>
      <c r="N171" s="0" t="n">
        <f aca="false">dummy_variables!M168</f>
        <v>665534.7</v>
      </c>
    </row>
    <row r="172" customFormat="false" ht="15" hidden="false" customHeight="false" outlineLevel="0" collapsed="false">
      <c r="A172" s="0" t="n">
        <f aca="false">dummy_variables!E169</f>
        <v>78432.14</v>
      </c>
      <c r="B172" s="0" t="n">
        <f aca="false">dummy_variables!F169</f>
        <v>9440</v>
      </c>
      <c r="C172" s="0" t="n">
        <f aca="false">dummy_variables!G169</f>
        <v>0.126</v>
      </c>
      <c r="D172" s="0" t="n">
        <f aca="false">dummy_variables!I169</f>
        <v>89.2</v>
      </c>
      <c r="E172" s="0" t="n">
        <f aca="false">dummy_variables!J169</f>
        <v>7.86</v>
      </c>
      <c r="F172" s="0" t="n">
        <f aca="false">dummy_variables!K169</f>
        <v>0</v>
      </c>
      <c r="G172" s="0" t="n">
        <f aca="false">dummy_variables!L169</f>
        <v>4.1</v>
      </c>
      <c r="H172" s="0" t="n">
        <f aca="false">dummy_variables!O169</f>
        <v>1</v>
      </c>
      <c r="I172" s="0" t="n">
        <f aca="false">dummy_variables!P169</f>
        <v>0</v>
      </c>
      <c r="J172" s="0" t="n">
        <f aca="false">dummy_variables!Q169</f>
        <v>0</v>
      </c>
      <c r="K172" s="0" t="n">
        <f aca="false">dummy_variables!R169</f>
        <v>0</v>
      </c>
      <c r="L172" s="0" t="n">
        <f aca="false">dummy_variables!S169</f>
        <v>1</v>
      </c>
      <c r="M172" s="0" t="n">
        <f aca="false">dummy_variables!T169</f>
        <v>0</v>
      </c>
      <c r="N172" s="0" t="n">
        <f aca="false">dummy_variables!M169</f>
        <v>820729.29</v>
      </c>
    </row>
    <row r="173" customFormat="false" ht="15" hidden="false" customHeight="false" outlineLevel="0" collapsed="false">
      <c r="A173" s="0" t="n">
        <f aca="false">dummy_variables!E170</f>
        <v>62059.18</v>
      </c>
      <c r="B173" s="0" t="n">
        <f aca="false">dummy_variables!F170</f>
        <v>9374</v>
      </c>
      <c r="C173" s="0" t="n">
        <f aca="false">dummy_variables!G170</f>
        <v>0.136</v>
      </c>
      <c r="D173" s="0" t="n">
        <f aca="false">dummy_variables!I170</f>
        <v>87.1</v>
      </c>
      <c r="E173" s="0" t="n">
        <f aca="false">dummy_variables!J170</f>
        <v>12.55</v>
      </c>
      <c r="F173" s="0" t="n">
        <f aca="false">dummy_variables!K170</f>
        <v>0</v>
      </c>
      <c r="G173" s="0" t="n">
        <f aca="false">dummy_variables!L170</f>
        <v>4.9</v>
      </c>
      <c r="H173" s="0" t="n">
        <f aca="false">dummy_variables!O170</f>
        <v>0</v>
      </c>
      <c r="I173" s="0" t="n">
        <f aca="false">dummy_variables!P170</f>
        <v>0</v>
      </c>
      <c r="J173" s="0" t="n">
        <f aca="false">dummy_variables!Q170</f>
        <v>0</v>
      </c>
      <c r="K173" s="0" t="n">
        <f aca="false">dummy_variables!R170</f>
        <v>0</v>
      </c>
      <c r="L173" s="0" t="n">
        <f aca="false">dummy_variables!S170</f>
        <v>0</v>
      </c>
      <c r="M173" s="0" t="n">
        <f aca="false">dummy_variables!T170</f>
        <v>1</v>
      </c>
      <c r="N173" s="0" t="n">
        <f aca="false">dummy_variables!M170</f>
        <v>739831.73</v>
      </c>
    </row>
    <row r="174" customFormat="false" ht="15" hidden="false" customHeight="false" outlineLevel="0" collapsed="false">
      <c r="A174" s="0" t="n">
        <f aca="false">dummy_variables!E171</f>
        <v>32834.48</v>
      </c>
      <c r="B174" s="0" t="n">
        <f aca="false">dummy_variables!F171</f>
        <v>7576</v>
      </c>
      <c r="C174" s="0" t="n">
        <f aca="false">dummy_variables!G171</f>
        <v>0.099</v>
      </c>
      <c r="D174" s="0" t="n">
        <f aca="false">dummy_variables!I171</f>
        <v>84.1</v>
      </c>
      <c r="E174" s="0" t="n">
        <f aca="false">dummy_variables!J171</f>
        <v>3.48</v>
      </c>
      <c r="F174" s="0" t="n">
        <f aca="false">dummy_variables!K171</f>
        <v>0</v>
      </c>
      <c r="G174" s="0" t="n">
        <f aca="false">dummy_variables!L171</f>
        <v>5</v>
      </c>
      <c r="H174" s="0" t="n">
        <f aca="false">dummy_variables!O171</f>
        <v>0</v>
      </c>
      <c r="I174" s="0" t="n">
        <f aca="false">dummy_variables!P171</f>
        <v>0</v>
      </c>
      <c r="J174" s="0" t="n">
        <f aca="false">dummy_variables!Q171</f>
        <v>0</v>
      </c>
      <c r="K174" s="0" t="n">
        <f aca="false">dummy_variables!R171</f>
        <v>0</v>
      </c>
      <c r="L174" s="0" t="n">
        <f aca="false">dummy_variables!S171</f>
        <v>0</v>
      </c>
      <c r="M174" s="0" t="n">
        <f aca="false">dummy_variables!T171</f>
        <v>1</v>
      </c>
      <c r="N174" s="0" t="n">
        <f aca="false">dummy_variables!M171</f>
        <v>593637.14</v>
      </c>
    </row>
    <row r="175" customFormat="false" ht="15" hidden="false" customHeight="false" outlineLevel="0" collapsed="false">
      <c r="A175" s="0" t="n">
        <f aca="false">dummy_variables!E172</f>
        <v>50825.08</v>
      </c>
      <c r="B175" s="0" t="n">
        <f aca="false">dummy_variables!F172</f>
        <v>8949</v>
      </c>
      <c r="C175" s="0" t="n">
        <f aca="false">dummy_variables!G172</f>
        <v>0.157</v>
      </c>
      <c r="D175" s="0" t="n">
        <f aca="false">dummy_variables!I172</f>
        <v>84.7</v>
      </c>
      <c r="E175" s="0" t="n">
        <f aca="false">dummy_variables!J172</f>
        <v>7.73</v>
      </c>
      <c r="F175" s="0" t="n">
        <f aca="false">dummy_variables!K172</f>
        <v>0</v>
      </c>
      <c r="G175" s="0" t="n">
        <f aca="false">dummy_variables!L172</f>
        <v>4.9</v>
      </c>
      <c r="H175" s="0" t="n">
        <f aca="false">dummy_variables!O172</f>
        <v>0</v>
      </c>
      <c r="I175" s="0" t="n">
        <f aca="false">dummy_variables!P172</f>
        <v>0</v>
      </c>
      <c r="J175" s="0" t="n">
        <f aca="false">dummy_variables!Q172</f>
        <v>0</v>
      </c>
      <c r="K175" s="0" t="n">
        <f aca="false">dummy_variables!R172</f>
        <v>0</v>
      </c>
      <c r="L175" s="0" t="n">
        <f aca="false">dummy_variables!S172</f>
        <v>0</v>
      </c>
      <c r="M175" s="0" t="n">
        <f aca="false">dummy_variables!T172</f>
        <v>1</v>
      </c>
      <c r="N175" s="0" t="n">
        <f aca="false">dummy_variables!M172</f>
        <v>769702.76</v>
      </c>
    </row>
    <row r="176" customFormat="false" ht="15" hidden="false" customHeight="false" outlineLevel="0" collapsed="false">
      <c r="A176" s="0" t="n">
        <f aca="false">dummy_variables!E173</f>
        <v>36606.51</v>
      </c>
      <c r="B176" s="0" t="n">
        <f aca="false">dummy_variables!F173</f>
        <v>7671</v>
      </c>
      <c r="C176" s="0" t="n">
        <f aca="false">dummy_variables!G173</f>
        <v>0.118</v>
      </c>
      <c r="D176" s="0" t="n">
        <f aca="false">dummy_variables!I173</f>
        <v>89.8</v>
      </c>
      <c r="E176" s="0" t="n">
        <f aca="false">dummy_variables!J173</f>
        <v>0.25</v>
      </c>
      <c r="F176" s="0" t="n">
        <f aca="false">dummy_variables!K173</f>
        <v>0</v>
      </c>
      <c r="G176" s="0" t="n">
        <f aca="false">dummy_variables!L173</f>
        <v>4.4</v>
      </c>
      <c r="H176" s="0" t="n">
        <f aca="false">dummy_variables!O173</f>
        <v>0</v>
      </c>
      <c r="I176" s="0" t="n">
        <f aca="false">dummy_variables!P173</f>
        <v>0</v>
      </c>
      <c r="J176" s="0" t="n">
        <f aca="false">dummy_variables!Q173</f>
        <v>0</v>
      </c>
      <c r="K176" s="0" t="n">
        <f aca="false">dummy_variables!R173</f>
        <v>0</v>
      </c>
      <c r="L176" s="0" t="n">
        <f aca="false">dummy_variables!S173</f>
        <v>0</v>
      </c>
      <c r="M176" s="0" t="n">
        <f aca="false">dummy_variables!T173</f>
        <v>1</v>
      </c>
      <c r="N176" s="0" t="n">
        <f aca="false">dummy_variables!M173</f>
        <v>679731.57</v>
      </c>
    </row>
    <row r="177" customFormat="false" ht="15" hidden="false" customHeight="false" outlineLevel="0" collapsed="false">
      <c r="A177" s="0" t="n">
        <f aca="false">dummy_variables!E174</f>
        <v>65237.79</v>
      </c>
      <c r="B177" s="0" t="n">
        <f aca="false">dummy_variables!F174</f>
        <v>8741</v>
      </c>
      <c r="C177" s="0" t="n">
        <f aca="false">dummy_variables!G174</f>
        <v>0.157</v>
      </c>
      <c r="D177" s="0" t="n">
        <f aca="false">dummy_variables!I174</f>
        <v>94.4</v>
      </c>
      <c r="E177" s="0" t="n">
        <f aca="false">dummy_variables!J174</f>
        <v>6.43</v>
      </c>
      <c r="F177" s="0" t="n">
        <f aca="false">dummy_variables!K174</f>
        <v>0</v>
      </c>
      <c r="G177" s="0" t="n">
        <f aca="false">dummy_variables!L174</f>
        <v>3.3</v>
      </c>
      <c r="H177" s="0" t="n">
        <f aca="false">dummy_variables!O174</f>
        <v>0</v>
      </c>
      <c r="I177" s="0" t="n">
        <f aca="false">dummy_variables!P174</f>
        <v>0</v>
      </c>
      <c r="J177" s="0" t="n">
        <f aca="false">dummy_variables!Q174</f>
        <v>0</v>
      </c>
      <c r="K177" s="0" t="n">
        <f aca="false">dummy_variables!R174</f>
        <v>0</v>
      </c>
      <c r="L177" s="0" t="n">
        <f aca="false">dummy_variables!S174</f>
        <v>0</v>
      </c>
      <c r="M177" s="0" t="n">
        <f aca="false">dummy_variables!T174</f>
        <v>1</v>
      </c>
      <c r="N177" s="0" t="n">
        <f aca="false">dummy_variables!M174</f>
        <v>780344.18</v>
      </c>
    </row>
    <row r="178" customFormat="false" ht="15" hidden="false" customHeight="false" outlineLevel="0" collapsed="false">
      <c r="A178" s="0" t="n">
        <f aca="false">dummy_variables!E175</f>
        <v>43645.98</v>
      </c>
      <c r="B178" s="0" t="n">
        <f aca="false">dummy_variables!F175</f>
        <v>9480</v>
      </c>
      <c r="C178" s="0" t="n">
        <f aca="false">dummy_variables!G175</f>
        <v>0.109</v>
      </c>
      <c r="D178" s="0" t="n">
        <f aca="false">dummy_variables!I175</f>
        <v>89</v>
      </c>
      <c r="E178" s="0" t="n">
        <f aca="false">dummy_variables!J175</f>
        <v>2.11</v>
      </c>
      <c r="F178" s="0" t="n">
        <f aca="false">dummy_variables!K175</f>
        <v>0</v>
      </c>
      <c r="G178" s="0" t="n">
        <f aca="false">dummy_variables!L175</f>
        <v>3.1</v>
      </c>
      <c r="H178" s="0" t="n">
        <f aca="false">dummy_variables!O175</f>
        <v>0</v>
      </c>
      <c r="I178" s="0" t="n">
        <f aca="false">dummy_variables!P175</f>
        <v>0</v>
      </c>
      <c r="J178" s="0" t="n">
        <f aca="false">dummy_variables!Q175</f>
        <v>0</v>
      </c>
      <c r="K178" s="0" t="n">
        <f aca="false">dummy_variables!R175</f>
        <v>0</v>
      </c>
      <c r="L178" s="0" t="n">
        <f aca="false">dummy_variables!S175</f>
        <v>0</v>
      </c>
      <c r="M178" s="0" t="n">
        <f aca="false">dummy_variables!T175</f>
        <v>1</v>
      </c>
      <c r="N178" s="0" t="n">
        <f aca="false">dummy_variables!M175</f>
        <v>721364.11</v>
      </c>
    </row>
    <row r="179" customFormat="false" ht="15" hidden="false" customHeight="false" outlineLevel="0" collapsed="false">
      <c r="A179" s="0" t="n">
        <f aca="false">dummy_variables!E176</f>
        <v>68040.15</v>
      </c>
      <c r="B179" s="0" t="n">
        <f aca="false">dummy_variables!F176</f>
        <v>9826</v>
      </c>
      <c r="C179" s="0" t="n">
        <f aca="false">dummy_variables!G176</f>
        <v>0.125</v>
      </c>
      <c r="D179" s="0" t="n">
        <f aca="false">dummy_variables!I176</f>
        <v>83.9</v>
      </c>
      <c r="E179" s="0" t="n">
        <f aca="false">dummy_variables!J176</f>
        <v>9.12</v>
      </c>
      <c r="F179" s="0" t="n">
        <f aca="false">dummy_variables!K176</f>
        <v>0</v>
      </c>
      <c r="G179" s="0" t="n">
        <f aca="false">dummy_variables!L176</f>
        <v>3.6</v>
      </c>
      <c r="H179" s="0" t="n">
        <f aca="false">dummy_variables!O176</f>
        <v>0</v>
      </c>
      <c r="I179" s="0" t="n">
        <f aca="false">dummy_variables!P176</f>
        <v>0</v>
      </c>
      <c r="J179" s="0" t="n">
        <f aca="false">dummy_variables!Q176</f>
        <v>0</v>
      </c>
      <c r="K179" s="0" t="n">
        <f aca="false">dummy_variables!R176</f>
        <v>0</v>
      </c>
      <c r="L179" s="0" t="n">
        <f aca="false">dummy_variables!S176</f>
        <v>0</v>
      </c>
      <c r="M179" s="0" t="n">
        <f aca="false">dummy_variables!T176</f>
        <v>1</v>
      </c>
      <c r="N179" s="0" t="n">
        <f aca="false">dummy_variables!M176</f>
        <v>758138.29</v>
      </c>
    </row>
    <row r="180" customFormat="false" ht="15" hidden="false" customHeight="false" outlineLevel="0" collapsed="false">
      <c r="A180" s="0" t="n">
        <f aca="false">dummy_variables!E177</f>
        <v>63043.94</v>
      </c>
      <c r="B180" s="0" t="n">
        <f aca="false">dummy_variables!F177</f>
        <v>10402</v>
      </c>
      <c r="C180" s="0" t="n">
        <f aca="false">dummy_variables!G177</f>
        <v>0.159</v>
      </c>
      <c r="D180" s="0" t="n">
        <f aca="false">dummy_variables!I177</f>
        <v>93.9</v>
      </c>
      <c r="E180" s="0" t="n">
        <f aca="false">dummy_variables!J177</f>
        <v>2.71</v>
      </c>
      <c r="F180" s="0" t="n">
        <f aca="false">dummy_variables!K177</f>
        <v>0</v>
      </c>
      <c r="G180" s="0" t="n">
        <f aca="false">dummy_variables!L177</f>
        <v>3.1</v>
      </c>
      <c r="H180" s="0" t="n">
        <f aca="false">dummy_variables!O177</f>
        <v>0</v>
      </c>
      <c r="I180" s="0" t="n">
        <f aca="false">dummy_variables!P177</f>
        <v>0</v>
      </c>
      <c r="J180" s="0" t="n">
        <f aca="false">dummy_variables!Q177</f>
        <v>0</v>
      </c>
      <c r="K180" s="0" t="n">
        <f aca="false">dummy_variables!R177</f>
        <v>0</v>
      </c>
      <c r="L180" s="0" t="n">
        <f aca="false">dummy_variables!S177</f>
        <v>0</v>
      </c>
      <c r="M180" s="0" t="n">
        <f aca="false">dummy_variables!T177</f>
        <v>1</v>
      </c>
      <c r="N180" s="0" t="n">
        <f aca="false">dummy_variables!M177</f>
        <v>804264</v>
      </c>
    </row>
    <row r="181" customFormat="false" ht="15" hidden="false" customHeight="false" outlineLevel="0" collapsed="false">
      <c r="A181" s="0" t="n">
        <f aca="false">dummy_variables!E178</f>
        <v>67494.09</v>
      </c>
      <c r="B181" s="0" t="n">
        <f aca="false">dummy_variables!F178</f>
        <v>12361</v>
      </c>
      <c r="C181" s="0" t="n">
        <f aca="false">dummy_variables!G178</f>
        <v>0.046</v>
      </c>
      <c r="D181" s="0" t="n">
        <f aca="false">dummy_variables!I178</f>
        <v>76.6</v>
      </c>
      <c r="E181" s="0" t="n">
        <f aca="false">dummy_variables!J178</f>
        <v>3.65</v>
      </c>
      <c r="F181" s="0" t="n">
        <f aca="false">dummy_variables!K178</f>
        <v>1</v>
      </c>
      <c r="G181" s="0" t="n">
        <f aca="false">dummy_variables!L178</f>
        <v>3.7</v>
      </c>
      <c r="H181" s="0" t="n">
        <f aca="false">dummy_variables!O178</f>
        <v>0</v>
      </c>
      <c r="I181" s="0" t="n">
        <f aca="false">dummy_variables!P178</f>
        <v>0</v>
      </c>
      <c r="J181" s="0" t="n">
        <f aca="false">dummy_variables!Q178</f>
        <v>1</v>
      </c>
      <c r="K181" s="0" t="n">
        <f aca="false">dummy_variables!R178</f>
        <v>1</v>
      </c>
      <c r="L181" s="0" t="n">
        <f aca="false">dummy_variables!S178</f>
        <v>0</v>
      </c>
      <c r="M181" s="0" t="n">
        <f aca="false">dummy_variables!T178</f>
        <v>0</v>
      </c>
      <c r="N181" s="0" t="n">
        <f aca="false">dummy_variables!M178</f>
        <v>887537.75</v>
      </c>
    </row>
    <row r="182" customFormat="false" ht="15" hidden="false" customHeight="false" outlineLevel="0" collapsed="false">
      <c r="A182" s="0" t="n">
        <f aca="false">dummy_variables!E179</f>
        <v>29389.32</v>
      </c>
      <c r="B182" s="0" t="n">
        <f aca="false">dummy_variables!F179</f>
        <v>7925</v>
      </c>
      <c r="C182" s="0" t="n">
        <f aca="false">dummy_variables!G179</f>
        <v>0.177</v>
      </c>
      <c r="D182" s="0" t="n">
        <f aca="false">dummy_variables!I179</f>
        <v>90.9</v>
      </c>
      <c r="E182" s="0" t="n">
        <f aca="false">dummy_variables!J179</f>
        <v>7.86</v>
      </c>
      <c r="F182" s="0" t="n">
        <f aca="false">dummy_variables!K179</f>
        <v>0</v>
      </c>
      <c r="G182" s="0" t="n">
        <f aca="false">dummy_variables!L179</f>
        <v>4</v>
      </c>
      <c r="H182" s="0" t="n">
        <f aca="false">dummy_variables!O179</f>
        <v>0</v>
      </c>
      <c r="I182" s="0" t="n">
        <f aca="false">dummy_variables!P179</f>
        <v>0</v>
      </c>
      <c r="J182" s="0" t="n">
        <f aca="false">dummy_variables!Q179</f>
        <v>1</v>
      </c>
      <c r="K182" s="0" t="n">
        <f aca="false">dummy_variables!R179</f>
        <v>1</v>
      </c>
      <c r="L182" s="0" t="n">
        <f aca="false">dummy_variables!S179</f>
        <v>0</v>
      </c>
      <c r="M182" s="0" t="n">
        <f aca="false">dummy_variables!T179</f>
        <v>0</v>
      </c>
      <c r="N182" s="0" t="n">
        <f aca="false">dummy_variables!M179</f>
        <v>783582</v>
      </c>
    </row>
    <row r="183" customFormat="false" ht="15" hidden="false" customHeight="false" outlineLevel="0" collapsed="false">
      <c r="A183" s="0" t="n">
        <f aca="false">dummy_variables!E180</f>
        <v>40535.09</v>
      </c>
      <c r="B183" s="0" t="n">
        <f aca="false">dummy_variables!F180</f>
        <v>8870</v>
      </c>
      <c r="C183" s="0" t="n">
        <f aca="false">dummy_variables!G180</f>
        <v>0.041</v>
      </c>
      <c r="D183" s="0" t="n">
        <f aca="false">dummy_variables!I180</f>
        <v>86.6</v>
      </c>
      <c r="E183" s="0" t="n">
        <f aca="false">dummy_variables!J180</f>
        <v>0.3</v>
      </c>
      <c r="F183" s="0" t="n">
        <f aca="false">dummy_variables!K180</f>
        <v>0</v>
      </c>
      <c r="G183" s="0" t="n">
        <f aca="false">dummy_variables!L180</f>
        <v>4.1</v>
      </c>
      <c r="H183" s="0" t="n">
        <f aca="false">dummy_variables!O180</f>
        <v>0</v>
      </c>
      <c r="I183" s="0" t="n">
        <f aca="false">dummy_variables!P180</f>
        <v>0</v>
      </c>
      <c r="J183" s="0" t="n">
        <f aca="false">dummy_variables!Q180</f>
        <v>1</v>
      </c>
      <c r="K183" s="0" t="n">
        <f aca="false">dummy_variables!R180</f>
        <v>1</v>
      </c>
      <c r="L183" s="0" t="n">
        <f aca="false">dummy_variables!S180</f>
        <v>0</v>
      </c>
      <c r="M183" s="0" t="n">
        <f aca="false">dummy_variables!T180</f>
        <v>0</v>
      </c>
      <c r="N183" s="0" t="n">
        <f aca="false">dummy_variables!M180</f>
        <v>781955.52</v>
      </c>
    </row>
    <row r="184" customFormat="false" ht="15" hidden="false" customHeight="false" outlineLevel="0" collapsed="false">
      <c r="A184" s="0" t="n">
        <f aca="false">dummy_variables!E181</f>
        <v>74881.56</v>
      </c>
      <c r="B184" s="0" t="n">
        <f aca="false">dummy_variables!F181</f>
        <v>9999</v>
      </c>
      <c r="C184" s="0" t="n">
        <f aca="false">dummy_variables!G181</f>
        <v>0.013</v>
      </c>
      <c r="D184" s="0" t="n">
        <f aca="false">dummy_variables!I181</f>
        <v>89.6</v>
      </c>
      <c r="E184" s="0" t="n">
        <f aca="false">dummy_variables!J181</f>
        <v>8.44</v>
      </c>
      <c r="F184" s="0" t="n">
        <f aca="false">dummy_variables!K181</f>
        <v>0</v>
      </c>
      <c r="G184" s="0" t="n">
        <f aca="false">dummy_variables!L181</f>
        <v>4.1</v>
      </c>
      <c r="H184" s="0" t="n">
        <f aca="false">dummy_variables!O181</f>
        <v>0</v>
      </c>
      <c r="I184" s="0" t="n">
        <f aca="false">dummy_variables!P181</f>
        <v>0</v>
      </c>
      <c r="J184" s="0" t="n">
        <f aca="false">dummy_variables!Q181</f>
        <v>1</v>
      </c>
      <c r="K184" s="0" t="n">
        <f aca="false">dummy_variables!R181</f>
        <v>1</v>
      </c>
      <c r="L184" s="0" t="n">
        <f aca="false">dummy_variables!S181</f>
        <v>0</v>
      </c>
      <c r="M184" s="0" t="n">
        <f aca="false">dummy_variables!T181</f>
        <v>0</v>
      </c>
      <c r="N184" s="0" t="n">
        <f aca="false">dummy_variables!M181</f>
        <v>898031.04</v>
      </c>
    </row>
    <row r="185" customFormat="false" ht="15" hidden="false" customHeight="false" outlineLevel="0" collapsed="false">
      <c r="A185" s="0" t="n">
        <f aca="false">dummy_variables!E182</f>
        <v>68491.11</v>
      </c>
      <c r="B185" s="0" t="n">
        <f aca="false">dummy_variables!F182</f>
        <v>11154</v>
      </c>
      <c r="C185" s="0" t="n">
        <f aca="false">dummy_variables!G182</f>
        <v>0.001</v>
      </c>
      <c r="D185" s="0" t="n">
        <f aca="false">dummy_variables!I182</f>
        <v>89.4</v>
      </c>
      <c r="E185" s="0" t="n">
        <f aca="false">dummy_variables!J182</f>
        <v>5.27</v>
      </c>
      <c r="F185" s="0" t="n">
        <f aca="false">dummy_variables!K182</f>
        <v>1</v>
      </c>
      <c r="G185" s="0" t="n">
        <f aca="false">dummy_variables!L182</f>
        <v>3.9</v>
      </c>
      <c r="H185" s="0" t="n">
        <f aca="false">dummy_variables!O182</f>
        <v>0</v>
      </c>
      <c r="I185" s="0" t="n">
        <f aca="false">dummy_variables!P182</f>
        <v>0</v>
      </c>
      <c r="J185" s="0" t="n">
        <f aca="false">dummy_variables!Q182</f>
        <v>1</v>
      </c>
      <c r="K185" s="0" t="n">
        <f aca="false">dummy_variables!R182</f>
        <v>0</v>
      </c>
      <c r="L185" s="0" t="n">
        <f aca="false">dummy_variables!S182</f>
        <v>0</v>
      </c>
      <c r="M185" s="0" t="n">
        <f aca="false">dummy_variables!T182</f>
        <v>1</v>
      </c>
      <c r="N185" s="0" t="n">
        <f aca="false">dummy_variables!M182</f>
        <v>855341.28</v>
      </c>
    </row>
    <row r="186" customFormat="false" ht="15" hidden="false" customHeight="false" outlineLevel="0" collapsed="false">
      <c r="A186" s="0" t="n">
        <f aca="false">dummy_variables!E183</f>
        <v>45209.25</v>
      </c>
      <c r="B186" s="0" t="n">
        <f aca="false">dummy_variables!F183</f>
        <v>9287</v>
      </c>
      <c r="C186" s="0" t="n">
        <f aca="false">dummy_variables!G183</f>
        <v>0.141</v>
      </c>
      <c r="D186" s="0" t="n">
        <f aca="false">dummy_variables!I183</f>
        <v>86.4</v>
      </c>
      <c r="E186" s="0" t="n">
        <f aca="false">dummy_variables!J183</f>
        <v>13.22</v>
      </c>
      <c r="F186" s="0" t="n">
        <f aca="false">dummy_variables!K183</f>
        <v>0</v>
      </c>
      <c r="G186" s="0" t="n">
        <f aca="false">dummy_variables!L183</f>
        <v>3.6</v>
      </c>
      <c r="H186" s="0" t="n">
        <f aca="false">dummy_variables!O183</f>
        <v>0</v>
      </c>
      <c r="I186" s="0" t="n">
        <f aca="false">dummy_variables!P183</f>
        <v>0</v>
      </c>
      <c r="J186" s="0" t="n">
        <f aca="false">dummy_variables!Q183</f>
        <v>1</v>
      </c>
      <c r="K186" s="0" t="n">
        <f aca="false">dummy_variables!R183</f>
        <v>0</v>
      </c>
      <c r="L186" s="0" t="n">
        <f aca="false">dummy_variables!S183</f>
        <v>0</v>
      </c>
      <c r="M186" s="0" t="n">
        <f aca="false">dummy_variables!T183</f>
        <v>1</v>
      </c>
      <c r="N186" s="0" t="n">
        <f aca="false">dummy_variables!M183</f>
        <v>751393.88</v>
      </c>
    </row>
    <row r="187" customFormat="false" ht="15" hidden="false" customHeight="false" outlineLevel="0" collapsed="false">
      <c r="A187" s="0" t="n">
        <f aca="false">dummy_variables!E184</f>
        <v>63010.23</v>
      </c>
      <c r="B187" s="0" t="n">
        <f aca="false">dummy_variables!F184</f>
        <v>9812</v>
      </c>
      <c r="C187" s="0" t="n">
        <f aca="false">dummy_variables!G184</f>
        <v>0.113</v>
      </c>
      <c r="D187" s="0" t="n">
        <f aca="false">dummy_variables!I184</f>
        <v>76.8</v>
      </c>
      <c r="E187" s="0" t="n">
        <f aca="false">dummy_variables!J184</f>
        <v>1.02</v>
      </c>
      <c r="F187" s="0" t="n">
        <f aca="false">dummy_variables!K184</f>
        <v>1</v>
      </c>
      <c r="G187" s="0" t="n">
        <f aca="false">dummy_variables!L184</f>
        <v>3.8</v>
      </c>
      <c r="H187" s="0" t="n">
        <f aca="false">dummy_variables!O184</f>
        <v>0</v>
      </c>
      <c r="I187" s="0" t="n">
        <f aca="false">dummy_variables!P184</f>
        <v>0</v>
      </c>
      <c r="J187" s="0" t="n">
        <f aca="false">dummy_variables!Q184</f>
        <v>1</v>
      </c>
      <c r="K187" s="0" t="n">
        <f aca="false">dummy_variables!R184</f>
        <v>0</v>
      </c>
      <c r="L187" s="0" t="n">
        <f aca="false">dummy_variables!S184</f>
        <v>0</v>
      </c>
      <c r="M187" s="0" t="n">
        <f aca="false">dummy_variables!T184</f>
        <v>1</v>
      </c>
      <c r="N187" s="0" t="n">
        <f aca="false">dummy_variables!M184</f>
        <v>761077.08</v>
      </c>
    </row>
    <row r="188" customFormat="false" ht="15" hidden="false" customHeight="false" outlineLevel="0" collapsed="false">
      <c r="A188" s="0" t="n">
        <f aca="false">dummy_variables!E185</f>
        <v>57948.88</v>
      </c>
      <c r="B188" s="0" t="n">
        <f aca="false">dummy_variables!F185</f>
        <v>10741</v>
      </c>
      <c r="C188" s="0" t="n">
        <f aca="false">dummy_variables!G185</f>
        <v>0.07</v>
      </c>
      <c r="D188" s="0" t="n">
        <f aca="false">dummy_variables!I185</f>
        <v>90.1</v>
      </c>
      <c r="E188" s="0" t="n">
        <f aca="false">dummy_variables!J185</f>
        <v>4.03</v>
      </c>
      <c r="F188" s="0" t="n">
        <f aca="false">dummy_variables!K185</f>
        <v>0</v>
      </c>
      <c r="G188" s="0" t="n">
        <f aca="false">dummy_variables!L185</f>
        <v>3.1</v>
      </c>
      <c r="H188" s="0" t="n">
        <f aca="false">dummy_variables!O185</f>
        <v>0</v>
      </c>
      <c r="I188" s="0" t="n">
        <f aca="false">dummy_variables!P185</f>
        <v>0</v>
      </c>
      <c r="J188" s="0" t="n">
        <f aca="false">dummy_variables!Q185</f>
        <v>1</v>
      </c>
      <c r="K188" s="0" t="n">
        <f aca="false">dummy_variables!R185</f>
        <v>0</v>
      </c>
      <c r="L188" s="0" t="n">
        <f aca="false">dummy_variables!S185</f>
        <v>0</v>
      </c>
      <c r="M188" s="0" t="n">
        <f aca="false">dummy_variables!T185</f>
        <v>1</v>
      </c>
      <c r="N188" s="0" t="n">
        <f aca="false">dummy_variables!M185</f>
        <v>819660.59</v>
      </c>
    </row>
    <row r="189" customFormat="false" ht="15" hidden="false" customHeight="false" outlineLevel="0" collapsed="false">
      <c r="A189" s="0" t="n">
        <f aca="false">dummy_variables!E186</f>
        <v>71941.62</v>
      </c>
      <c r="B189" s="0" t="n">
        <f aca="false">dummy_variables!F186</f>
        <v>6084</v>
      </c>
      <c r="C189" s="0" t="n">
        <f aca="false">dummy_variables!G186</f>
        <v>0.072</v>
      </c>
      <c r="D189" s="0" t="n">
        <f aca="false">dummy_variables!I186</f>
        <v>93.7</v>
      </c>
      <c r="E189" s="0" t="n">
        <f aca="false">dummy_variables!J186</f>
        <v>2.34</v>
      </c>
      <c r="F189" s="0" t="n">
        <f aca="false">dummy_variables!K186</f>
        <v>0</v>
      </c>
      <c r="G189" s="0" t="n">
        <f aca="false">dummy_variables!L186</f>
        <v>4.4</v>
      </c>
      <c r="H189" s="0" t="n">
        <f aca="false">dummy_variables!O186</f>
        <v>1</v>
      </c>
      <c r="I189" s="0" t="n">
        <f aca="false">dummy_variables!P186</f>
        <v>0</v>
      </c>
      <c r="J189" s="0" t="n">
        <f aca="false">dummy_variables!Q186</f>
        <v>0</v>
      </c>
      <c r="K189" s="0" t="n">
        <f aca="false">dummy_variables!R186</f>
        <v>0</v>
      </c>
      <c r="L189" s="0" t="n">
        <f aca="false">dummy_variables!S186</f>
        <v>0</v>
      </c>
      <c r="M189" s="0" t="n">
        <f aca="false">dummy_variables!T186</f>
        <v>0</v>
      </c>
      <c r="N189" s="0" t="n">
        <f aca="false">dummy_variables!M186</f>
        <v>681855.56</v>
      </c>
    </row>
    <row r="190" customFormat="false" ht="15" hidden="false" customHeight="false" outlineLevel="0" collapsed="false">
      <c r="A190" s="0" t="n">
        <f aca="false">dummy_variables!E187</f>
        <v>57147.88</v>
      </c>
      <c r="B190" s="0" t="n">
        <f aca="false">dummy_variables!F187</f>
        <v>5252</v>
      </c>
      <c r="C190" s="0" t="n">
        <f aca="false">dummy_variables!G187</f>
        <v>0.161</v>
      </c>
      <c r="D190" s="0" t="n">
        <f aca="false">dummy_variables!I187</f>
        <v>95.5</v>
      </c>
      <c r="E190" s="0" t="n">
        <f aca="false">dummy_variables!J187</f>
        <v>8.51</v>
      </c>
      <c r="F190" s="0" t="n">
        <f aca="false">dummy_variables!K187</f>
        <v>0</v>
      </c>
      <c r="G190" s="0" t="n">
        <f aca="false">dummy_variables!L187</f>
        <v>4.4</v>
      </c>
      <c r="H190" s="0" t="n">
        <f aca="false">dummy_variables!O187</f>
        <v>1</v>
      </c>
      <c r="I190" s="0" t="n">
        <f aca="false">dummy_variables!P187</f>
        <v>0</v>
      </c>
      <c r="J190" s="0" t="n">
        <f aca="false">dummy_variables!Q187</f>
        <v>0</v>
      </c>
      <c r="K190" s="0" t="n">
        <f aca="false">dummy_variables!R187</f>
        <v>0</v>
      </c>
      <c r="L190" s="0" t="n">
        <f aca="false">dummy_variables!S187</f>
        <v>0</v>
      </c>
      <c r="M190" s="0" t="n">
        <f aca="false">dummy_variables!T187</f>
        <v>0</v>
      </c>
      <c r="N190" s="0" t="n">
        <f aca="false">dummy_variables!M187</f>
        <v>678311.17</v>
      </c>
    </row>
    <row r="191" customFormat="false" ht="15" hidden="false" customHeight="false" outlineLevel="0" collapsed="false">
      <c r="A191" s="0" t="n">
        <f aca="false">dummy_variables!E188</f>
        <v>48031.74</v>
      </c>
      <c r="B191" s="0" t="n">
        <f aca="false">dummy_variables!F188</f>
        <v>6516</v>
      </c>
      <c r="C191" s="0" t="n">
        <f aca="false">dummy_variables!G188</f>
        <v>0.067</v>
      </c>
      <c r="D191" s="0" t="n">
        <f aca="false">dummy_variables!I188</f>
        <v>99</v>
      </c>
      <c r="E191" s="0" t="n">
        <f aca="false">dummy_variables!J188</f>
        <v>0.48</v>
      </c>
      <c r="F191" s="0" t="n">
        <f aca="false">dummy_variables!K188</f>
        <v>1</v>
      </c>
      <c r="G191" s="0" t="n">
        <f aca="false">dummy_variables!L188</f>
        <v>4.3</v>
      </c>
      <c r="H191" s="0" t="n">
        <f aca="false">dummy_variables!O188</f>
        <v>1</v>
      </c>
      <c r="I191" s="0" t="n">
        <f aca="false">dummy_variables!P188</f>
        <v>0</v>
      </c>
      <c r="J191" s="0" t="n">
        <f aca="false">dummy_variables!Q188</f>
        <v>0</v>
      </c>
      <c r="K191" s="0" t="n">
        <f aca="false">dummy_variables!R188</f>
        <v>0</v>
      </c>
      <c r="L191" s="0" t="n">
        <f aca="false">dummy_variables!S188</f>
        <v>0</v>
      </c>
      <c r="M191" s="0" t="n">
        <f aca="false">dummy_variables!T188</f>
        <v>0</v>
      </c>
      <c r="N191" s="0" t="n">
        <f aca="false">dummy_variables!M188</f>
        <v>765906.95</v>
      </c>
    </row>
    <row r="192" customFormat="false" ht="15" hidden="false" customHeight="false" outlineLevel="0" collapsed="false">
      <c r="A192" s="0" t="n">
        <f aca="false">dummy_variables!E189</f>
        <v>72784.8</v>
      </c>
      <c r="B192" s="0" t="n">
        <f aca="false">dummy_variables!F189</f>
        <v>7932</v>
      </c>
      <c r="C192" s="0" t="n">
        <f aca="false">dummy_variables!G189</f>
        <v>0.094</v>
      </c>
      <c r="D192" s="0" t="n">
        <f aca="false">dummy_variables!I189</f>
        <v>74.9</v>
      </c>
      <c r="E192" s="0" t="n">
        <f aca="false">dummy_variables!J189</f>
        <v>13.62</v>
      </c>
      <c r="F192" s="0" t="n">
        <f aca="false">dummy_variables!K189</f>
        <v>0</v>
      </c>
      <c r="G192" s="0" t="n">
        <f aca="false">dummy_variables!L189</f>
        <v>4.2</v>
      </c>
      <c r="H192" s="0" t="n">
        <f aca="false">dummy_variables!O189</f>
        <v>1</v>
      </c>
      <c r="I192" s="0" t="n">
        <f aca="false">dummy_variables!P189</f>
        <v>0</v>
      </c>
      <c r="J192" s="0" t="n">
        <f aca="false">dummy_variables!Q189</f>
        <v>0</v>
      </c>
      <c r="K192" s="0" t="n">
        <f aca="false">dummy_variables!R189</f>
        <v>0</v>
      </c>
      <c r="L192" s="0" t="n">
        <f aca="false">dummy_variables!S189</f>
        <v>0</v>
      </c>
      <c r="M192" s="0" t="n">
        <f aca="false">dummy_variables!T189</f>
        <v>0</v>
      </c>
      <c r="N192" s="0" t="n">
        <f aca="false">dummy_variables!M189</f>
        <v>712546.38</v>
      </c>
    </row>
    <row r="193" customFormat="false" ht="15" hidden="false" customHeight="false" outlineLevel="0" collapsed="false">
      <c r="A193" s="0" t="n">
        <f aca="false">dummy_variables!E190</f>
        <v>71641.9</v>
      </c>
      <c r="B193" s="0" t="n">
        <f aca="false">dummy_variables!F190</f>
        <v>3506</v>
      </c>
      <c r="C193" s="0" t="n">
        <f aca="false">dummy_variables!G190</f>
        <v>0</v>
      </c>
      <c r="D193" s="0" t="n">
        <f aca="false">dummy_variables!I190</f>
        <v>86.4</v>
      </c>
      <c r="E193" s="0" t="n">
        <f aca="false">dummy_variables!J190</f>
        <v>7.77</v>
      </c>
      <c r="F193" s="0" t="n">
        <f aca="false">dummy_variables!K190</f>
        <v>0</v>
      </c>
      <c r="G193" s="0" t="n">
        <f aca="false">dummy_variables!L190</f>
        <v>4.1</v>
      </c>
      <c r="H193" s="0" t="n">
        <f aca="false">dummy_variables!O190</f>
        <v>0</v>
      </c>
      <c r="I193" s="0" t="n">
        <f aca="false">dummy_variables!P190</f>
        <v>0</v>
      </c>
      <c r="J193" s="0" t="n">
        <f aca="false">dummy_variables!Q190</f>
        <v>0</v>
      </c>
      <c r="K193" s="0" t="n">
        <f aca="false">dummy_variables!R190</f>
        <v>0</v>
      </c>
      <c r="L193" s="0" t="n">
        <f aca="false">dummy_variables!S190</f>
        <v>0</v>
      </c>
      <c r="M193" s="0" t="n">
        <f aca="false">dummy_variables!T190</f>
        <v>0</v>
      </c>
      <c r="N193" s="0" t="n">
        <f aca="false">dummy_variables!M190</f>
        <v>625993.83</v>
      </c>
    </row>
    <row r="194" customFormat="false" ht="15" hidden="false" customHeight="false" outlineLevel="0" collapsed="false">
      <c r="A194" s="0" t="n">
        <f aca="false">dummy_variables!E191</f>
        <v>55788.61</v>
      </c>
      <c r="B194" s="0" t="n">
        <f aca="false">dummy_variables!F191</f>
        <v>2312</v>
      </c>
      <c r="C194" s="0" t="n">
        <f aca="false">dummy_variables!G191</f>
        <v>0.058</v>
      </c>
      <c r="D194" s="0" t="n">
        <f aca="false">dummy_variables!I191</f>
        <v>91.3</v>
      </c>
      <c r="E194" s="0" t="n">
        <f aca="false">dummy_variables!J191</f>
        <v>1.99</v>
      </c>
      <c r="F194" s="0" t="n">
        <f aca="false">dummy_variables!K191</f>
        <v>0</v>
      </c>
      <c r="G194" s="0" t="n">
        <f aca="false">dummy_variables!L191</f>
        <v>3.8</v>
      </c>
      <c r="H194" s="0" t="n">
        <f aca="false">dummy_variables!O191</f>
        <v>0</v>
      </c>
      <c r="I194" s="0" t="n">
        <f aca="false">dummy_variables!P191</f>
        <v>0</v>
      </c>
      <c r="J194" s="0" t="n">
        <f aca="false">dummy_variables!Q191</f>
        <v>0</v>
      </c>
      <c r="K194" s="0" t="n">
        <f aca="false">dummy_variables!R191</f>
        <v>0</v>
      </c>
      <c r="L194" s="0" t="n">
        <f aca="false">dummy_variables!S191</f>
        <v>0</v>
      </c>
      <c r="M194" s="0" t="n">
        <f aca="false">dummy_variables!T191</f>
        <v>0</v>
      </c>
      <c r="N194" s="0" t="n">
        <f aca="false">dummy_variables!M191</f>
        <v>550962.93</v>
      </c>
    </row>
    <row r="195" customFormat="false" ht="15" hidden="false" customHeight="false" outlineLevel="0" collapsed="false">
      <c r="A195" s="0" t="n">
        <f aca="false">dummy_variables!E192</f>
        <v>37705.88</v>
      </c>
      <c r="B195" s="0" t="n">
        <f aca="false">dummy_variables!F192</f>
        <v>1268</v>
      </c>
      <c r="C195" s="0" t="n">
        <f aca="false">dummy_variables!G192</f>
        <v>0.259</v>
      </c>
      <c r="D195" s="0" t="n">
        <f aca="false">dummy_variables!I192</f>
        <v>84.1</v>
      </c>
      <c r="E195" s="0" t="n">
        <f aca="false">dummy_variables!J192</f>
        <v>4.77</v>
      </c>
      <c r="F195" s="0" t="n">
        <f aca="false">dummy_variables!K192</f>
        <v>0</v>
      </c>
      <c r="G195" s="0" t="n">
        <f aca="false">dummy_variables!L192</f>
        <v>3.8</v>
      </c>
      <c r="H195" s="0" t="n">
        <f aca="false">dummy_variables!O192</f>
        <v>0</v>
      </c>
      <c r="I195" s="0" t="n">
        <f aca="false">dummy_variables!P192</f>
        <v>0</v>
      </c>
      <c r="J195" s="0" t="n">
        <f aca="false">dummy_variables!Q192</f>
        <v>0</v>
      </c>
      <c r="K195" s="0" t="n">
        <f aca="false">dummy_variables!R192</f>
        <v>0</v>
      </c>
      <c r="L195" s="0" t="n">
        <f aca="false">dummy_variables!S192</f>
        <v>0</v>
      </c>
      <c r="M195" s="0" t="n">
        <f aca="false">dummy_variables!T192</f>
        <v>0</v>
      </c>
      <c r="N195" s="0" t="n">
        <f aca="false">dummy_variables!M192</f>
        <v>443275.59</v>
      </c>
    </row>
    <row r="196" customFormat="false" ht="15" hidden="false" customHeight="false" outlineLevel="0" collapsed="false">
      <c r="A196" s="0" t="n">
        <f aca="false">dummy_variables!E193</f>
        <v>54966.18</v>
      </c>
      <c r="B196" s="0" t="n">
        <f aca="false">dummy_variables!F193</f>
        <v>4423</v>
      </c>
      <c r="C196" s="0" t="n">
        <f aca="false">dummy_variables!G193</f>
        <v>0.186</v>
      </c>
      <c r="D196" s="0" t="n">
        <f aca="false">dummy_variables!I193</f>
        <v>88.7</v>
      </c>
      <c r="E196" s="0" t="n">
        <f aca="false">dummy_variables!J193</f>
        <v>0.2</v>
      </c>
      <c r="F196" s="0" t="n">
        <f aca="false">dummy_variables!K193</f>
        <v>0</v>
      </c>
      <c r="G196" s="0" t="n">
        <f aca="false">dummy_variables!L193</f>
        <v>4.4</v>
      </c>
      <c r="H196" s="0" t="n">
        <f aca="false">dummy_variables!O193</f>
        <v>0</v>
      </c>
      <c r="I196" s="0" t="n">
        <f aca="false">dummy_variables!P193</f>
        <v>0</v>
      </c>
      <c r="J196" s="0" t="n">
        <f aca="false">dummy_variables!Q193</f>
        <v>0</v>
      </c>
      <c r="K196" s="0" t="n">
        <f aca="false">dummy_variables!R193</f>
        <v>0</v>
      </c>
      <c r="L196" s="0" t="n">
        <f aca="false">dummy_variables!S193</f>
        <v>0</v>
      </c>
      <c r="M196" s="0" t="n">
        <f aca="false">dummy_variables!T193</f>
        <v>0</v>
      </c>
      <c r="N196" s="0" t="n">
        <f aca="false">dummy_variables!M193</f>
        <v>554012.07</v>
      </c>
    </row>
    <row r="197" customFormat="false" ht="15" hidden="false" customHeight="false" outlineLevel="0" collapsed="false">
      <c r="A197" s="0" t="n">
        <f aca="false">dummy_variables!E194</f>
        <v>81796.74</v>
      </c>
      <c r="B197" s="0" t="n">
        <f aca="false">dummy_variables!F194</f>
        <v>6177</v>
      </c>
      <c r="C197" s="0" t="n">
        <f aca="false">dummy_variables!G194</f>
        <v>0.164</v>
      </c>
      <c r="D197" s="0" t="n">
        <f aca="false">dummy_variables!I194</f>
        <v>87.9</v>
      </c>
      <c r="E197" s="0" t="n">
        <f aca="false">dummy_variables!J194</f>
        <v>0.53</v>
      </c>
      <c r="F197" s="0" t="n">
        <f aca="false">dummy_variables!K194</f>
        <v>0</v>
      </c>
      <c r="G197" s="0" t="n">
        <f aca="false">dummy_variables!L194</f>
        <v>3.2</v>
      </c>
      <c r="H197" s="0" t="n">
        <f aca="false">dummy_variables!O194</f>
        <v>0</v>
      </c>
      <c r="I197" s="0" t="n">
        <f aca="false">dummy_variables!P194</f>
        <v>0</v>
      </c>
      <c r="J197" s="0" t="n">
        <f aca="false">dummy_variables!Q194</f>
        <v>1</v>
      </c>
      <c r="K197" s="0" t="n">
        <f aca="false">dummy_variables!R194</f>
        <v>0</v>
      </c>
      <c r="L197" s="0" t="n">
        <f aca="false">dummy_variables!S194</f>
        <v>0</v>
      </c>
      <c r="M197" s="0" t="n">
        <f aca="false">dummy_variables!T194</f>
        <v>1</v>
      </c>
      <c r="N197" s="0" t="n">
        <f aca="false">dummy_variables!M194</f>
        <v>643428.85</v>
      </c>
    </row>
    <row r="198" customFormat="false" ht="15" hidden="false" customHeight="false" outlineLevel="0" collapsed="false">
      <c r="A198" s="0" t="n">
        <f aca="false">dummy_variables!E195</f>
        <v>51133.43</v>
      </c>
      <c r="B198" s="0" t="n">
        <f aca="false">dummy_variables!F195</f>
        <v>5150</v>
      </c>
      <c r="C198" s="0" t="n">
        <f aca="false">dummy_variables!G195</f>
        <v>0.15</v>
      </c>
      <c r="D198" s="0" t="n">
        <f aca="false">dummy_variables!I195</f>
        <v>88.5</v>
      </c>
      <c r="E198" s="0" t="n">
        <f aca="false">dummy_variables!J195</f>
        <v>1.54</v>
      </c>
      <c r="F198" s="0" t="n">
        <f aca="false">dummy_variables!K195</f>
        <v>0</v>
      </c>
      <c r="G198" s="0" t="n">
        <f aca="false">dummy_variables!L195</f>
        <v>3.2</v>
      </c>
      <c r="H198" s="0" t="n">
        <f aca="false">dummy_variables!O195</f>
        <v>0</v>
      </c>
      <c r="I198" s="0" t="n">
        <f aca="false">dummy_variables!P195</f>
        <v>0</v>
      </c>
      <c r="J198" s="0" t="n">
        <f aca="false">dummy_variables!Q195</f>
        <v>1</v>
      </c>
      <c r="K198" s="0" t="n">
        <f aca="false">dummy_variables!R195</f>
        <v>0</v>
      </c>
      <c r="L198" s="0" t="n">
        <f aca="false">dummy_variables!S195</f>
        <v>0</v>
      </c>
      <c r="M198" s="0" t="n">
        <f aca="false">dummy_variables!T195</f>
        <v>1</v>
      </c>
      <c r="N198" s="0" t="n">
        <f aca="false">dummy_variables!M195</f>
        <v>611924.27</v>
      </c>
    </row>
    <row r="199" customFormat="false" ht="15" hidden="false" customHeight="false" outlineLevel="0" collapsed="false">
      <c r="A199" s="0" t="n">
        <f aca="false">dummy_variables!E196</f>
        <v>40220.18</v>
      </c>
      <c r="B199" s="0" t="n">
        <f aca="false">dummy_variables!F196</f>
        <v>3783</v>
      </c>
      <c r="C199" s="0" t="n">
        <f aca="false">dummy_variables!G196</f>
        <v>0.089</v>
      </c>
      <c r="D199" s="0" t="n">
        <f aca="false">dummy_variables!I196</f>
        <v>86.6</v>
      </c>
      <c r="E199" s="0" t="n">
        <f aca="false">dummy_variables!J196</f>
        <v>3.63</v>
      </c>
      <c r="F199" s="0" t="n">
        <f aca="false">dummy_variables!K196</f>
        <v>0</v>
      </c>
      <c r="G199" s="0" t="n">
        <f aca="false">dummy_variables!L196</f>
        <v>3.7</v>
      </c>
      <c r="H199" s="0" t="n">
        <f aca="false">dummy_variables!O196</f>
        <v>0</v>
      </c>
      <c r="I199" s="0" t="n">
        <f aca="false">dummy_variables!P196</f>
        <v>0</v>
      </c>
      <c r="J199" s="0" t="n">
        <f aca="false">dummy_variables!Q196</f>
        <v>1</v>
      </c>
      <c r="K199" s="0" t="n">
        <f aca="false">dummy_variables!R196</f>
        <v>0</v>
      </c>
      <c r="L199" s="0" t="n">
        <f aca="false">dummy_variables!S196</f>
        <v>0</v>
      </c>
      <c r="M199" s="0" t="n">
        <f aca="false">dummy_variables!T196</f>
        <v>1</v>
      </c>
      <c r="N199" s="0" t="n">
        <f aca="false">dummy_variables!M196</f>
        <v>559422.02</v>
      </c>
    </row>
    <row r="200" customFormat="false" ht="15" hidden="false" customHeight="false" outlineLevel="0" collapsed="false">
      <c r="A200" s="0" t="n">
        <f aca="false">dummy_variables!E197</f>
        <v>41657.64</v>
      </c>
      <c r="B200" s="0" t="n">
        <f aca="false">dummy_variables!F197</f>
        <v>3135</v>
      </c>
      <c r="C200" s="0" t="n">
        <f aca="false">dummy_variables!G197</f>
        <v>0.229</v>
      </c>
      <c r="D200" s="0" t="n">
        <f aca="false">dummy_variables!I197</f>
        <v>85.4</v>
      </c>
      <c r="E200" s="0" t="n">
        <f aca="false">dummy_variables!J197</f>
        <v>13.48</v>
      </c>
      <c r="F200" s="0" t="n">
        <f aca="false">dummy_variables!K197</f>
        <v>0</v>
      </c>
      <c r="G200" s="0" t="n">
        <f aca="false">dummy_variables!L197</f>
        <v>3.9</v>
      </c>
      <c r="H200" s="0" t="n">
        <f aca="false">dummy_variables!O197</f>
        <v>0</v>
      </c>
      <c r="I200" s="0" t="n">
        <f aca="false">dummy_variables!P197</f>
        <v>0</v>
      </c>
      <c r="J200" s="0" t="n">
        <f aca="false">dummy_variables!Q197</f>
        <v>1</v>
      </c>
      <c r="K200" s="0" t="n">
        <f aca="false">dummy_variables!R197</f>
        <v>0</v>
      </c>
      <c r="L200" s="0" t="n">
        <f aca="false">dummy_variables!S197</f>
        <v>0</v>
      </c>
      <c r="M200" s="0" t="n">
        <f aca="false">dummy_variables!T197</f>
        <v>1</v>
      </c>
      <c r="N200" s="0" t="n">
        <f aca="false">dummy_variables!M197</f>
        <v>449465.06</v>
      </c>
    </row>
    <row r="201" customFormat="false" ht="15" hidden="false" customHeight="false" outlineLevel="0" collapsed="false">
      <c r="A201" s="0" t="n">
        <f aca="false">dummy_variables!E198</f>
        <v>71851.45</v>
      </c>
      <c r="B201" s="0" t="n">
        <f aca="false">dummy_variables!F198</f>
        <v>4970</v>
      </c>
      <c r="C201" s="0" t="n">
        <f aca="false">dummy_variables!G198</f>
        <v>0.098</v>
      </c>
      <c r="D201" s="0" t="n">
        <f aca="false">dummy_variables!I198</f>
        <v>89.6</v>
      </c>
      <c r="E201" s="0" t="n">
        <f aca="false">dummy_variables!J198</f>
        <v>0.2</v>
      </c>
      <c r="F201" s="0" t="n">
        <f aca="false">dummy_variables!K198</f>
        <v>0</v>
      </c>
      <c r="G201" s="0" t="n">
        <f aca="false">dummy_variables!L198</f>
        <v>4.2</v>
      </c>
      <c r="H201" s="0" t="n">
        <f aca="false">dummy_variables!O198</f>
        <v>1</v>
      </c>
      <c r="I201" s="0" t="n">
        <f aca="false">dummy_variables!P198</f>
        <v>0</v>
      </c>
      <c r="J201" s="0" t="n">
        <f aca="false">dummy_variables!Q198</f>
        <v>0</v>
      </c>
      <c r="K201" s="0" t="n">
        <f aca="false">dummy_variables!R198</f>
        <v>0</v>
      </c>
      <c r="L201" s="0" t="n">
        <f aca="false">dummy_variables!S198</f>
        <v>0</v>
      </c>
      <c r="M201" s="0" t="n">
        <f aca="false">dummy_variables!T198</f>
        <v>1</v>
      </c>
      <c r="N201" s="0" t="n">
        <f aca="false">dummy_variables!M198</f>
        <v>691447.43</v>
      </c>
    </row>
    <row r="202" customFormat="false" ht="15" hidden="false" customHeight="false" outlineLevel="0" collapsed="false">
      <c r="A202" s="0" t="n">
        <f aca="false">dummy_variables!E199</f>
        <v>54002.83</v>
      </c>
      <c r="B202" s="0" t="n">
        <f aca="false">dummy_variables!F199</f>
        <v>4366</v>
      </c>
      <c r="C202" s="0" t="n">
        <f aca="false">dummy_variables!G199</f>
        <v>0.027</v>
      </c>
      <c r="D202" s="0" t="n">
        <f aca="false">dummy_variables!I199</f>
        <v>90.6</v>
      </c>
      <c r="E202" s="0" t="n">
        <f aca="false">dummy_variables!J199</f>
        <v>12.82</v>
      </c>
      <c r="F202" s="0" t="n">
        <f aca="false">dummy_variables!K199</f>
        <v>0</v>
      </c>
      <c r="G202" s="0" t="n">
        <f aca="false">dummy_variables!L199</f>
        <v>4.6</v>
      </c>
      <c r="H202" s="0" t="n">
        <f aca="false">dummy_variables!O199</f>
        <v>1</v>
      </c>
      <c r="I202" s="0" t="n">
        <f aca="false">dummy_variables!P199</f>
        <v>0</v>
      </c>
      <c r="J202" s="0" t="n">
        <f aca="false">dummy_variables!Q199</f>
        <v>0</v>
      </c>
      <c r="K202" s="0" t="n">
        <f aca="false">dummy_variables!R199</f>
        <v>0</v>
      </c>
      <c r="L202" s="0" t="n">
        <f aca="false">dummy_variables!S199</f>
        <v>0</v>
      </c>
      <c r="M202" s="0" t="n">
        <f aca="false">dummy_variables!T199</f>
        <v>1</v>
      </c>
      <c r="N202" s="0" t="n">
        <f aca="false">dummy_variables!M199</f>
        <v>574066.61</v>
      </c>
    </row>
    <row r="203" customFormat="false" ht="15" hidden="false" customHeight="false" outlineLevel="0" collapsed="false">
      <c r="A203" s="0" t="n">
        <f aca="false">dummy_variables!E200</f>
        <v>54479.33</v>
      </c>
      <c r="B203" s="0" t="n">
        <f aca="false">dummy_variables!F200</f>
        <v>5012</v>
      </c>
      <c r="C203" s="0" t="n">
        <f aca="false">dummy_variables!G200</f>
        <v>0.284</v>
      </c>
      <c r="D203" s="0" t="n">
        <f aca="false">dummy_variables!I200</f>
        <v>86</v>
      </c>
      <c r="E203" s="0" t="n">
        <f aca="false">dummy_variables!J200</f>
        <v>2.24</v>
      </c>
      <c r="F203" s="0" t="n">
        <f aca="false">dummy_variables!K200</f>
        <v>1</v>
      </c>
      <c r="G203" s="0" t="n">
        <f aca="false">dummy_variables!L200</f>
        <v>4.3</v>
      </c>
      <c r="H203" s="0" t="n">
        <f aca="false">dummy_variables!O200</f>
        <v>1</v>
      </c>
      <c r="I203" s="0" t="n">
        <f aca="false">dummy_variables!P200</f>
        <v>0</v>
      </c>
      <c r="J203" s="0" t="n">
        <f aca="false">dummy_variables!Q200</f>
        <v>0</v>
      </c>
      <c r="K203" s="0" t="n">
        <f aca="false">dummy_variables!R200</f>
        <v>0</v>
      </c>
      <c r="L203" s="0" t="n">
        <f aca="false">dummy_variables!S200</f>
        <v>0</v>
      </c>
      <c r="M203" s="0" t="n">
        <f aca="false">dummy_variables!T200</f>
        <v>1</v>
      </c>
      <c r="N203" s="0" t="n">
        <f aca="false">dummy_variables!M200</f>
        <v>578949.84</v>
      </c>
    </row>
    <row r="204" customFormat="false" ht="15" hidden="false" customHeight="false" outlineLevel="0" collapsed="false">
      <c r="A204" s="0" t="n">
        <f aca="false">dummy_variables!E201</f>
        <v>61391.8</v>
      </c>
      <c r="B204" s="0" t="n">
        <f aca="false">dummy_variables!F201</f>
        <v>5575</v>
      </c>
      <c r="C204" s="0" t="n">
        <f aca="false">dummy_variables!G201</f>
        <v>0.189</v>
      </c>
      <c r="D204" s="0" t="n">
        <f aca="false">dummy_variables!I201</f>
        <v>90</v>
      </c>
      <c r="E204" s="0" t="n">
        <f aca="false">dummy_variables!J201</f>
        <v>1.8</v>
      </c>
      <c r="F204" s="0" t="n">
        <f aca="false">dummy_variables!K201</f>
        <v>0</v>
      </c>
      <c r="G204" s="0" t="n">
        <f aca="false">dummy_variables!L201</f>
        <v>4.8</v>
      </c>
      <c r="H204" s="0" t="n">
        <f aca="false">dummy_variables!O201</f>
        <v>1</v>
      </c>
      <c r="I204" s="0" t="n">
        <f aca="false">dummy_variables!P201</f>
        <v>0</v>
      </c>
      <c r="J204" s="0" t="n">
        <f aca="false">dummy_variables!Q201</f>
        <v>0</v>
      </c>
      <c r="K204" s="0" t="n">
        <f aca="false">dummy_variables!R201</f>
        <v>0</v>
      </c>
      <c r="L204" s="0" t="n">
        <f aca="false">dummy_variables!S201</f>
        <v>0</v>
      </c>
      <c r="M204" s="0" t="n">
        <f aca="false">dummy_variables!T201</f>
        <v>1</v>
      </c>
      <c r="N204" s="0" t="n">
        <f aca="false">dummy_variables!M201</f>
        <v>735786.64</v>
      </c>
    </row>
    <row r="205" customFormat="false" ht="15" hidden="false" customHeight="false" outlineLevel="0" collapsed="false">
      <c r="A205" s="0" t="n">
        <f aca="false">dummy_variables!E202</f>
        <v>22312.93</v>
      </c>
      <c r="B205" s="0" t="n">
        <f aca="false">dummy_variables!F202</f>
        <v>5955</v>
      </c>
      <c r="C205" s="0" t="n">
        <f aca="false">dummy_variables!G202</f>
        <v>0.123</v>
      </c>
      <c r="D205" s="0" t="n">
        <f aca="false">dummy_variables!I202</f>
        <v>84.2</v>
      </c>
      <c r="E205" s="0" t="n">
        <f aca="false">dummy_variables!J202</f>
        <v>0.41</v>
      </c>
      <c r="F205" s="0" t="n">
        <f aca="false">dummy_variables!K202</f>
        <v>1</v>
      </c>
      <c r="G205" s="0" t="n">
        <f aca="false">dummy_variables!L202</f>
        <v>4.6</v>
      </c>
      <c r="H205" s="0" t="n">
        <f aca="false">dummy_variables!O202</f>
        <v>0</v>
      </c>
      <c r="I205" s="0" t="n">
        <f aca="false">dummy_variables!P202</f>
        <v>0</v>
      </c>
      <c r="J205" s="0" t="n">
        <f aca="false">dummy_variables!Q202</f>
        <v>0</v>
      </c>
      <c r="K205" s="0" t="n">
        <f aca="false">dummy_variables!R202</f>
        <v>1</v>
      </c>
      <c r="L205" s="0" t="n">
        <f aca="false">dummy_variables!S202</f>
        <v>0</v>
      </c>
      <c r="M205" s="0" t="n">
        <f aca="false">dummy_variables!T202</f>
        <v>0</v>
      </c>
      <c r="N205" s="0" t="n">
        <f aca="false">dummy_variables!M202</f>
        <v>598904.9</v>
      </c>
    </row>
    <row r="206" customFormat="false" ht="15" hidden="false" customHeight="false" outlineLevel="0" collapsed="false">
      <c r="A206" s="0" t="n">
        <f aca="false">dummy_variables!E203</f>
        <v>78111.97</v>
      </c>
      <c r="B206" s="0" t="n">
        <f aca="false">dummy_variables!F203</f>
        <v>6389</v>
      </c>
      <c r="C206" s="0" t="n">
        <f aca="false">dummy_variables!G203</f>
        <v>0.15</v>
      </c>
      <c r="D206" s="0" t="n">
        <f aca="false">dummy_variables!I203</f>
        <v>83.9</v>
      </c>
      <c r="E206" s="0" t="n">
        <f aca="false">dummy_variables!J203</f>
        <v>3.05</v>
      </c>
      <c r="F206" s="0" t="n">
        <f aca="false">dummy_variables!K203</f>
        <v>0</v>
      </c>
      <c r="G206" s="0" t="n">
        <f aca="false">dummy_variables!L203</f>
        <v>4.8</v>
      </c>
      <c r="H206" s="0" t="n">
        <f aca="false">dummy_variables!O203</f>
        <v>0</v>
      </c>
      <c r="I206" s="0" t="n">
        <f aca="false">dummy_variables!P203</f>
        <v>0</v>
      </c>
      <c r="J206" s="0" t="n">
        <f aca="false">dummy_variables!Q203</f>
        <v>0</v>
      </c>
      <c r="K206" s="0" t="n">
        <f aca="false">dummy_variables!R203</f>
        <v>1</v>
      </c>
      <c r="L206" s="0" t="n">
        <f aca="false">dummy_variables!S203</f>
        <v>0</v>
      </c>
      <c r="M206" s="0" t="n">
        <f aca="false">dummy_variables!T203</f>
        <v>0</v>
      </c>
      <c r="N206" s="0" t="n">
        <f aca="false">dummy_variables!M203</f>
        <v>787715.51</v>
      </c>
    </row>
    <row r="207" customFormat="false" ht="15" hidden="false" customHeight="false" outlineLevel="0" collapsed="false">
      <c r="A207" s="0" t="n">
        <f aca="false">dummy_variables!E204</f>
        <v>35203.23</v>
      </c>
      <c r="B207" s="0" t="n">
        <f aca="false">dummy_variables!F204</f>
        <v>6896</v>
      </c>
      <c r="C207" s="0" t="n">
        <f aca="false">dummy_variables!G204</f>
        <v>0.032</v>
      </c>
      <c r="D207" s="0" t="n">
        <f aca="false">dummy_variables!I204</f>
        <v>80.8</v>
      </c>
      <c r="E207" s="0" t="n">
        <f aca="false">dummy_variables!J204</f>
        <v>8.44</v>
      </c>
      <c r="F207" s="0" t="n">
        <f aca="false">dummy_variables!K204</f>
        <v>1</v>
      </c>
      <c r="G207" s="0" t="n">
        <f aca="false">dummy_variables!L204</f>
        <v>5</v>
      </c>
      <c r="H207" s="0" t="n">
        <f aca="false">dummy_variables!O204</f>
        <v>0</v>
      </c>
      <c r="I207" s="0" t="n">
        <f aca="false">dummy_variables!P204</f>
        <v>0</v>
      </c>
      <c r="J207" s="0" t="n">
        <f aca="false">dummy_variables!Q204</f>
        <v>0</v>
      </c>
      <c r="K207" s="0" t="n">
        <f aca="false">dummy_variables!R204</f>
        <v>1</v>
      </c>
      <c r="L207" s="0" t="n">
        <f aca="false">dummy_variables!S204</f>
        <v>0</v>
      </c>
      <c r="M207" s="0" t="n">
        <f aca="false">dummy_variables!T204</f>
        <v>0</v>
      </c>
      <c r="N207" s="0" t="n">
        <f aca="false">dummy_variables!M204</f>
        <v>607084.92</v>
      </c>
    </row>
    <row r="208" customFormat="false" ht="15" hidden="false" customHeight="false" outlineLevel="0" collapsed="false">
      <c r="A208" s="0" t="n">
        <f aca="false">dummy_variables!E205</f>
        <v>64104.28</v>
      </c>
      <c r="B208" s="0" t="n">
        <f aca="false">dummy_variables!F205</f>
        <v>6015</v>
      </c>
      <c r="C208" s="0" t="n">
        <f aca="false">dummy_variables!G205</f>
        <v>0.127</v>
      </c>
      <c r="D208" s="0" t="n">
        <f aca="false">dummy_variables!I205</f>
        <v>88.7</v>
      </c>
      <c r="E208" s="0" t="n">
        <f aca="false">dummy_variables!J205</f>
        <v>0.78</v>
      </c>
      <c r="F208" s="0" t="n">
        <f aca="false">dummy_variables!K205</f>
        <v>0</v>
      </c>
      <c r="G208" s="0" t="n">
        <f aca="false">dummy_variables!L205</f>
        <v>4</v>
      </c>
      <c r="H208" s="0" t="n">
        <f aca="false">dummy_variables!O205</f>
        <v>0</v>
      </c>
      <c r="I208" s="0" t="n">
        <f aca="false">dummy_variables!P205</f>
        <v>0</v>
      </c>
      <c r="J208" s="0" t="n">
        <f aca="false">dummy_variables!Q205</f>
        <v>0</v>
      </c>
      <c r="K208" s="0" t="n">
        <f aca="false">dummy_variables!R205</f>
        <v>1</v>
      </c>
      <c r="L208" s="0" t="n">
        <f aca="false">dummy_variables!S205</f>
        <v>0</v>
      </c>
      <c r="M208" s="0" t="n">
        <f aca="false">dummy_variables!T205</f>
        <v>0</v>
      </c>
      <c r="N208" s="0" t="n">
        <f aca="false">dummy_variables!M205</f>
        <v>650795.49</v>
      </c>
    </row>
    <row r="209" customFormat="false" ht="15" hidden="false" customHeight="false" outlineLevel="0" collapsed="false">
      <c r="A209" s="0" t="n">
        <f aca="false">dummy_variables!E206</f>
        <v>92090.14</v>
      </c>
      <c r="B209" s="0" t="n">
        <f aca="false">dummy_variables!F206</f>
        <v>9476</v>
      </c>
      <c r="C209" s="0" t="n">
        <f aca="false">dummy_variables!G206</f>
        <v>0.07</v>
      </c>
      <c r="D209" s="0" t="n">
        <f aca="false">dummy_variables!I206</f>
        <v>94.3</v>
      </c>
      <c r="E209" s="0" t="n">
        <f aca="false">dummy_variables!J206</f>
        <v>0.87</v>
      </c>
      <c r="F209" s="0" t="n">
        <f aca="false">dummy_variables!K206</f>
        <v>0</v>
      </c>
      <c r="G209" s="0" t="n">
        <f aca="false">dummy_variables!L206</f>
        <v>3.7</v>
      </c>
      <c r="H209" s="0" t="n">
        <f aca="false">dummy_variables!O206</f>
        <v>0</v>
      </c>
      <c r="I209" s="0" t="n">
        <f aca="false">dummy_variables!P206</f>
        <v>0</v>
      </c>
      <c r="J209" s="0" t="n">
        <f aca="false">dummy_variables!Q206</f>
        <v>0</v>
      </c>
      <c r="K209" s="0" t="n">
        <f aca="false">dummy_variables!R206</f>
        <v>0</v>
      </c>
      <c r="L209" s="0" t="n">
        <f aca="false">dummy_variables!S206</f>
        <v>1</v>
      </c>
      <c r="M209" s="0" t="n">
        <f aca="false">dummy_variables!T206</f>
        <v>0</v>
      </c>
      <c r="N209" s="0" t="n">
        <f aca="false">dummy_variables!M206</f>
        <v>825060.52</v>
      </c>
    </row>
    <row r="210" customFormat="false" ht="15" hidden="false" customHeight="false" outlineLevel="0" collapsed="false">
      <c r="A210" s="0" t="n">
        <f aca="false">dummy_variables!E207</f>
        <v>54300.87</v>
      </c>
      <c r="B210" s="0" t="n">
        <f aca="false">dummy_variables!F207</f>
        <v>7875</v>
      </c>
      <c r="C210" s="0" t="n">
        <f aca="false">dummy_variables!G207</f>
        <v>0.107</v>
      </c>
      <c r="D210" s="0" t="n">
        <f aca="false">dummy_variables!I207</f>
        <v>94.1</v>
      </c>
      <c r="E210" s="0" t="n">
        <f aca="false">dummy_variables!J207</f>
        <v>0.95</v>
      </c>
      <c r="F210" s="0" t="n">
        <f aca="false">dummy_variables!K207</f>
        <v>0</v>
      </c>
      <c r="G210" s="0" t="n">
        <f aca="false">dummy_variables!L207</f>
        <v>3.7</v>
      </c>
      <c r="H210" s="0" t="n">
        <f aca="false">dummy_variables!O207</f>
        <v>0</v>
      </c>
      <c r="I210" s="0" t="n">
        <f aca="false">dummy_variables!P207</f>
        <v>0</v>
      </c>
      <c r="J210" s="0" t="n">
        <f aca="false">dummy_variables!Q207</f>
        <v>0</v>
      </c>
      <c r="K210" s="0" t="n">
        <f aca="false">dummy_variables!R207</f>
        <v>0</v>
      </c>
      <c r="L210" s="0" t="n">
        <f aca="false">dummy_variables!S207</f>
        <v>1</v>
      </c>
      <c r="M210" s="0" t="n">
        <f aca="false">dummy_variables!T207</f>
        <v>0</v>
      </c>
      <c r="N210" s="0" t="n">
        <f aca="false">dummy_variables!M207</f>
        <v>795464.47</v>
      </c>
    </row>
    <row r="211" customFormat="false" ht="15" hidden="false" customHeight="false" outlineLevel="0" collapsed="false">
      <c r="A211" s="0" t="n">
        <f aca="false">dummy_variables!E208</f>
        <v>37983.35</v>
      </c>
      <c r="B211" s="0" t="n">
        <f aca="false">dummy_variables!F208</f>
        <v>9283</v>
      </c>
      <c r="C211" s="0" t="n">
        <f aca="false">dummy_variables!G208</f>
        <v>0.149</v>
      </c>
      <c r="D211" s="0" t="n">
        <f aca="false">dummy_variables!I208</f>
        <v>83.2</v>
      </c>
      <c r="E211" s="0" t="n">
        <f aca="false">dummy_variables!J208</f>
        <v>3.82</v>
      </c>
      <c r="F211" s="0" t="n">
        <f aca="false">dummy_variables!K208</f>
        <v>0</v>
      </c>
      <c r="G211" s="0" t="n">
        <f aca="false">dummy_variables!L208</f>
        <v>3.7</v>
      </c>
      <c r="H211" s="0" t="n">
        <f aca="false">dummy_variables!O208</f>
        <v>0</v>
      </c>
      <c r="I211" s="0" t="n">
        <f aca="false">dummy_variables!P208</f>
        <v>0</v>
      </c>
      <c r="J211" s="0" t="n">
        <f aca="false">dummy_variables!Q208</f>
        <v>0</v>
      </c>
      <c r="K211" s="0" t="n">
        <f aca="false">dummy_variables!R208</f>
        <v>0</v>
      </c>
      <c r="L211" s="0" t="n">
        <f aca="false">dummy_variables!S208</f>
        <v>1</v>
      </c>
      <c r="M211" s="0" t="n">
        <f aca="false">dummy_variables!T208</f>
        <v>0</v>
      </c>
      <c r="N211" s="0" t="n">
        <f aca="false">dummy_variables!M208</f>
        <v>671868.59</v>
      </c>
    </row>
    <row r="212" customFormat="false" ht="15" hidden="false" customHeight="false" outlineLevel="0" collapsed="false">
      <c r="A212" s="0" t="n">
        <f aca="false">dummy_variables!E209</f>
        <v>56413.83</v>
      </c>
      <c r="B212" s="0" t="n">
        <f aca="false">dummy_variables!F209</f>
        <v>8303</v>
      </c>
      <c r="C212" s="0" t="n">
        <f aca="false">dummy_variables!G209</f>
        <v>0.116</v>
      </c>
      <c r="D212" s="0" t="n">
        <f aca="false">dummy_variables!I209</f>
        <v>93.6</v>
      </c>
      <c r="E212" s="0" t="n">
        <f aca="false">dummy_variables!J209</f>
        <v>2.7</v>
      </c>
      <c r="F212" s="0" t="n">
        <f aca="false">dummy_variables!K209</f>
        <v>0</v>
      </c>
      <c r="G212" s="0" t="n">
        <f aca="false">dummy_variables!L209</f>
        <v>3.7</v>
      </c>
      <c r="H212" s="0" t="n">
        <f aca="false">dummy_variables!O209</f>
        <v>0</v>
      </c>
      <c r="I212" s="0" t="n">
        <f aca="false">dummy_variables!P209</f>
        <v>0</v>
      </c>
      <c r="J212" s="0" t="n">
        <f aca="false">dummy_variables!Q209</f>
        <v>0</v>
      </c>
      <c r="K212" s="0" t="n">
        <f aca="false">dummy_variables!R209</f>
        <v>0</v>
      </c>
      <c r="L212" s="0" t="n">
        <f aca="false">dummy_variables!S209</f>
        <v>1</v>
      </c>
      <c r="M212" s="0" t="n">
        <f aca="false">dummy_variables!T209</f>
        <v>0</v>
      </c>
      <c r="N212" s="0" t="n">
        <f aca="false">dummy_variables!M209</f>
        <v>675917.63</v>
      </c>
    </row>
    <row r="213" customFormat="false" ht="15" hidden="false" customHeight="false" outlineLevel="0" collapsed="false">
      <c r="A213" s="0" t="n">
        <f aca="false">dummy_variables!E210</f>
        <v>63457.19</v>
      </c>
      <c r="B213" s="0" t="n">
        <f aca="false">dummy_variables!F210</f>
        <v>10125</v>
      </c>
      <c r="C213" s="0" t="n">
        <f aca="false">dummy_variables!G210</f>
        <v>0.097</v>
      </c>
      <c r="D213" s="0" t="n">
        <f aca="false">dummy_variables!I210</f>
        <v>87</v>
      </c>
      <c r="E213" s="0" t="n">
        <f aca="false">dummy_variables!J210</f>
        <v>3.84</v>
      </c>
      <c r="F213" s="0" t="n">
        <f aca="false">dummy_variables!K210</f>
        <v>1</v>
      </c>
      <c r="G213" s="0" t="n">
        <f aca="false">dummy_variables!L210</f>
        <v>3.7</v>
      </c>
      <c r="H213" s="0" t="n">
        <f aca="false">dummy_variables!O210</f>
        <v>0</v>
      </c>
      <c r="I213" s="0" t="n">
        <f aca="false">dummy_variables!P210</f>
        <v>0</v>
      </c>
      <c r="J213" s="0" t="n">
        <f aca="false">dummy_variables!Q210</f>
        <v>0</v>
      </c>
      <c r="K213" s="0" t="n">
        <f aca="false">dummy_variables!R210</f>
        <v>0</v>
      </c>
      <c r="L213" s="0" t="n">
        <f aca="false">dummy_variables!S210</f>
        <v>0</v>
      </c>
      <c r="M213" s="0" t="n">
        <f aca="false">dummy_variables!T210</f>
        <v>0</v>
      </c>
      <c r="N213" s="0" t="n">
        <f aca="false">dummy_variables!M210</f>
        <v>810446.53</v>
      </c>
    </row>
    <row r="214" customFormat="false" ht="15" hidden="false" customHeight="false" outlineLevel="0" collapsed="false">
      <c r="A214" s="0" t="n">
        <f aca="false">dummy_variables!E211</f>
        <v>62949.7</v>
      </c>
      <c r="B214" s="0" t="n">
        <f aca="false">dummy_variables!F211</f>
        <v>9458</v>
      </c>
      <c r="C214" s="0" t="n">
        <f aca="false">dummy_variables!G211</f>
        <v>0.171</v>
      </c>
      <c r="D214" s="0" t="n">
        <f aca="false">dummy_variables!I211</f>
        <v>84.9</v>
      </c>
      <c r="E214" s="0" t="n">
        <f aca="false">dummy_variables!J211</f>
        <v>5.09</v>
      </c>
      <c r="F214" s="0" t="n">
        <f aca="false">dummy_variables!K211</f>
        <v>0</v>
      </c>
      <c r="G214" s="0" t="n">
        <f aca="false">dummy_variables!L211</f>
        <v>3.3</v>
      </c>
      <c r="H214" s="0" t="n">
        <f aca="false">dummy_variables!O211</f>
        <v>0</v>
      </c>
      <c r="I214" s="0" t="n">
        <f aca="false">dummy_variables!P211</f>
        <v>0</v>
      </c>
      <c r="J214" s="0" t="n">
        <f aca="false">dummy_variables!Q211</f>
        <v>0</v>
      </c>
      <c r="K214" s="0" t="n">
        <f aca="false">dummy_variables!R211</f>
        <v>0</v>
      </c>
      <c r="L214" s="0" t="n">
        <f aca="false">dummy_variables!S211</f>
        <v>0</v>
      </c>
      <c r="M214" s="0" t="n">
        <f aca="false">dummy_variables!T211</f>
        <v>0</v>
      </c>
      <c r="N214" s="0" t="n">
        <f aca="false">dummy_variables!M211</f>
        <v>691288.19</v>
      </c>
    </row>
    <row r="215" customFormat="false" ht="15" hidden="false" customHeight="false" outlineLevel="0" collapsed="false">
      <c r="A215" s="0" t="n">
        <f aca="false">dummy_variables!E212</f>
        <v>107970.19</v>
      </c>
      <c r="B215" s="0" t="n">
        <f aca="false">dummy_variables!F212</f>
        <v>12870</v>
      </c>
      <c r="C215" s="0" t="n">
        <f aca="false">dummy_variables!G212</f>
        <v>0.029</v>
      </c>
      <c r="D215" s="0" t="n">
        <f aca="false">dummy_variables!I212</f>
        <v>91.7</v>
      </c>
      <c r="E215" s="0" t="n">
        <f aca="false">dummy_variables!J212</f>
        <v>3.82</v>
      </c>
      <c r="F215" s="0" t="n">
        <f aca="false">dummy_variables!K212</f>
        <v>1</v>
      </c>
      <c r="G215" s="0" t="n">
        <f aca="false">dummy_variables!L212</f>
        <v>3.7</v>
      </c>
      <c r="H215" s="0" t="n">
        <f aca="false">dummy_variables!O212</f>
        <v>0</v>
      </c>
      <c r="I215" s="0" t="n">
        <f aca="false">dummy_variables!P212</f>
        <v>0</v>
      </c>
      <c r="J215" s="0" t="n">
        <f aca="false">dummy_variables!Q212</f>
        <v>0</v>
      </c>
      <c r="K215" s="0" t="n">
        <f aca="false">dummy_variables!R212</f>
        <v>0</v>
      </c>
      <c r="L215" s="0" t="n">
        <f aca="false">dummy_variables!S212</f>
        <v>0</v>
      </c>
      <c r="M215" s="0" t="n">
        <f aca="false">dummy_variables!T212</f>
        <v>0</v>
      </c>
      <c r="N215" s="0" t="n">
        <f aca="false">dummy_variables!M212</f>
        <v>946833.54</v>
      </c>
    </row>
    <row r="216" customFormat="false" ht="15" hidden="false" customHeight="false" outlineLevel="0" collapsed="false">
      <c r="A216" s="0" t="n">
        <f aca="false">dummy_variables!E213</f>
        <v>49405.75</v>
      </c>
      <c r="B216" s="0" t="n">
        <f aca="false">dummy_variables!F213</f>
        <v>9752</v>
      </c>
      <c r="C216" s="0" t="n">
        <f aca="false">dummy_variables!G213</f>
        <v>0.093</v>
      </c>
      <c r="D216" s="0" t="n">
        <f aca="false">dummy_variables!I213</f>
        <v>87</v>
      </c>
      <c r="E216" s="0" t="n">
        <f aca="false">dummy_variables!J213</f>
        <v>12.28</v>
      </c>
      <c r="F216" s="0" t="n">
        <f aca="false">dummy_variables!K213</f>
        <v>0</v>
      </c>
      <c r="G216" s="0" t="n">
        <f aca="false">dummy_variables!L213</f>
        <v>4.1</v>
      </c>
      <c r="H216" s="0" t="n">
        <f aca="false">dummy_variables!O213</f>
        <v>0</v>
      </c>
      <c r="I216" s="0" t="n">
        <f aca="false">dummy_variables!P213</f>
        <v>0</v>
      </c>
      <c r="J216" s="0" t="n">
        <f aca="false">dummy_variables!Q213</f>
        <v>0</v>
      </c>
      <c r="K216" s="0" t="n">
        <f aca="false">dummy_variables!R213</f>
        <v>0</v>
      </c>
      <c r="L216" s="0" t="n">
        <f aca="false">dummy_variables!S213</f>
        <v>0</v>
      </c>
      <c r="M216" s="0" t="n">
        <f aca="false">dummy_variables!T213</f>
        <v>0</v>
      </c>
      <c r="N216" s="0" t="n">
        <f aca="false">dummy_variables!M213</f>
        <v>761963.23</v>
      </c>
    </row>
    <row r="217" customFormat="false" ht="15" hidden="false" customHeight="false" outlineLevel="0" collapsed="false">
      <c r="A217" s="0" t="n">
        <f aca="false">dummy_variables!E214</f>
        <v>50887.46</v>
      </c>
      <c r="B217" s="0" t="n">
        <f aca="false">dummy_variables!F214</f>
        <v>9505</v>
      </c>
      <c r="C217" s="0" t="n">
        <f aca="false">dummy_variables!G214</f>
        <v>0.091</v>
      </c>
      <c r="D217" s="0" t="n">
        <f aca="false">dummy_variables!I214</f>
        <v>89.7</v>
      </c>
      <c r="E217" s="0" t="n">
        <f aca="false">dummy_variables!J214</f>
        <v>2.8</v>
      </c>
      <c r="F217" s="0" t="n">
        <f aca="false">dummy_variables!K214</f>
        <v>0</v>
      </c>
      <c r="G217" s="0" t="n">
        <f aca="false">dummy_variables!L214</f>
        <v>4.3</v>
      </c>
      <c r="H217" s="0" t="n">
        <f aca="false">dummy_variables!O214</f>
        <v>0</v>
      </c>
      <c r="I217" s="0" t="n">
        <f aca="false">dummy_variables!P214</f>
        <v>0</v>
      </c>
      <c r="J217" s="0" t="n">
        <f aca="false">dummy_variables!Q214</f>
        <v>1</v>
      </c>
      <c r="K217" s="0" t="n">
        <f aca="false">dummy_variables!R214</f>
        <v>0</v>
      </c>
      <c r="L217" s="0" t="n">
        <f aca="false">dummy_variables!S214</f>
        <v>0</v>
      </c>
      <c r="M217" s="0" t="n">
        <f aca="false">dummy_variables!T214</f>
        <v>1</v>
      </c>
      <c r="N217" s="0" t="n">
        <f aca="false">dummy_variables!M214</f>
        <v>812152.6</v>
      </c>
    </row>
    <row r="218" customFormat="false" ht="15" hidden="false" customHeight="false" outlineLevel="0" collapsed="false">
      <c r="A218" s="0" t="n">
        <f aca="false">dummy_variables!E215</f>
        <v>41819.45</v>
      </c>
      <c r="B218" s="0" t="n">
        <f aca="false">dummy_variables!F215</f>
        <v>9412</v>
      </c>
      <c r="C218" s="0" t="n">
        <f aca="false">dummy_variables!G215</f>
        <v>0.15</v>
      </c>
      <c r="D218" s="0" t="n">
        <f aca="false">dummy_variables!I215</f>
        <v>91</v>
      </c>
      <c r="E218" s="0" t="n">
        <f aca="false">dummy_variables!J215</f>
        <v>3.67</v>
      </c>
      <c r="F218" s="0" t="n">
        <f aca="false">dummy_variables!K215</f>
        <v>0</v>
      </c>
      <c r="G218" s="0" t="n">
        <f aca="false">dummy_variables!L215</f>
        <v>4.2</v>
      </c>
      <c r="H218" s="0" t="n">
        <f aca="false">dummy_variables!O215</f>
        <v>0</v>
      </c>
      <c r="I218" s="0" t="n">
        <f aca="false">dummy_variables!P215</f>
        <v>0</v>
      </c>
      <c r="J218" s="0" t="n">
        <f aca="false">dummy_variables!Q215</f>
        <v>1</v>
      </c>
      <c r="K218" s="0" t="n">
        <f aca="false">dummy_variables!R215</f>
        <v>0</v>
      </c>
      <c r="L218" s="0" t="n">
        <f aca="false">dummy_variables!S215</f>
        <v>0</v>
      </c>
      <c r="M218" s="0" t="n">
        <f aca="false">dummy_variables!T215</f>
        <v>1</v>
      </c>
      <c r="N218" s="0" t="n">
        <f aca="false">dummy_variables!M215</f>
        <v>804975.5</v>
      </c>
    </row>
    <row r="219" customFormat="false" ht="15" hidden="false" customHeight="false" outlineLevel="0" collapsed="false">
      <c r="A219" s="0" t="n">
        <f aca="false">dummy_variables!E216</f>
        <v>35296.54</v>
      </c>
      <c r="B219" s="0" t="n">
        <f aca="false">dummy_variables!F216</f>
        <v>9644</v>
      </c>
      <c r="C219" s="0" t="n">
        <f aca="false">dummy_variables!G216</f>
        <v>0</v>
      </c>
      <c r="D219" s="0" t="n">
        <f aca="false">dummy_variables!I216</f>
        <v>88</v>
      </c>
      <c r="E219" s="0" t="n">
        <f aca="false">dummy_variables!J216</f>
        <v>2.81</v>
      </c>
      <c r="F219" s="0" t="n">
        <f aca="false">dummy_variables!K216</f>
        <v>0</v>
      </c>
      <c r="G219" s="0" t="n">
        <f aca="false">dummy_variables!L216</f>
        <v>4.7</v>
      </c>
      <c r="H219" s="0" t="n">
        <f aca="false">dummy_variables!O216</f>
        <v>0</v>
      </c>
      <c r="I219" s="0" t="n">
        <f aca="false">dummy_variables!P216</f>
        <v>0</v>
      </c>
      <c r="J219" s="0" t="n">
        <f aca="false">dummy_variables!Q216</f>
        <v>1</v>
      </c>
      <c r="K219" s="0" t="n">
        <f aca="false">dummy_variables!R216</f>
        <v>0</v>
      </c>
      <c r="L219" s="0" t="n">
        <f aca="false">dummy_variables!S216</f>
        <v>0</v>
      </c>
      <c r="M219" s="0" t="n">
        <f aca="false">dummy_variables!T216</f>
        <v>1</v>
      </c>
      <c r="N219" s="0" t="n">
        <f aca="false">dummy_variables!M216</f>
        <v>752321.72</v>
      </c>
    </row>
    <row r="220" customFormat="false" ht="15" hidden="false" customHeight="false" outlineLevel="0" collapsed="false">
      <c r="A220" s="0" t="n">
        <f aca="false">dummy_variables!E217</f>
        <v>47391.09</v>
      </c>
      <c r="B220" s="0" t="n">
        <f aca="false">dummy_variables!F217</f>
        <v>11224</v>
      </c>
      <c r="C220" s="0" t="n">
        <f aca="false">dummy_variables!G217</f>
        <v>0.147</v>
      </c>
      <c r="D220" s="0" t="n">
        <f aca="false">dummy_variables!I217</f>
        <v>88.4</v>
      </c>
      <c r="E220" s="0" t="n">
        <f aca="false">dummy_variables!J217</f>
        <v>2.44</v>
      </c>
      <c r="F220" s="0" t="n">
        <f aca="false">dummy_variables!K217</f>
        <v>0</v>
      </c>
      <c r="G220" s="0" t="n">
        <f aca="false">dummy_variables!L217</f>
        <v>4.9</v>
      </c>
      <c r="H220" s="0" t="n">
        <f aca="false">dummy_variables!O217</f>
        <v>0</v>
      </c>
      <c r="I220" s="0" t="n">
        <f aca="false">dummy_variables!P217</f>
        <v>0</v>
      </c>
      <c r="J220" s="0" t="n">
        <f aca="false">dummy_variables!Q217</f>
        <v>1</v>
      </c>
      <c r="K220" s="0" t="n">
        <f aca="false">dummy_variables!R217</f>
        <v>0</v>
      </c>
      <c r="L220" s="0" t="n">
        <f aca="false">dummy_variables!S217</f>
        <v>0</v>
      </c>
      <c r="M220" s="0" t="n">
        <f aca="false">dummy_variables!T217</f>
        <v>1</v>
      </c>
      <c r="N220" s="0" t="n">
        <f aca="false">dummy_variables!M217</f>
        <v>836908.24</v>
      </c>
    </row>
    <row r="221" customFormat="false" ht="15" hidden="false" customHeight="false" outlineLevel="0" collapsed="false">
      <c r="A221" s="0" t="n">
        <f aca="false">dummy_variables!E218</f>
        <v>69180.54</v>
      </c>
      <c r="B221" s="0" t="n">
        <f aca="false">dummy_variables!F218</f>
        <v>5394</v>
      </c>
      <c r="C221" s="0" t="n">
        <f aca="false">dummy_variables!G218</f>
        <v>0.126</v>
      </c>
      <c r="D221" s="0" t="n">
        <f aca="false">dummy_variables!I218</f>
        <v>82.9</v>
      </c>
      <c r="E221" s="0" t="n">
        <f aca="false">dummy_variables!J218</f>
        <v>3.27</v>
      </c>
      <c r="F221" s="0" t="n">
        <f aca="false">dummy_variables!K218</f>
        <v>0</v>
      </c>
      <c r="G221" s="0" t="n">
        <f aca="false">dummy_variables!L218</f>
        <v>3.3</v>
      </c>
      <c r="H221" s="0" t="n">
        <f aca="false">dummy_variables!O218</f>
        <v>1</v>
      </c>
      <c r="I221" s="0" t="n">
        <f aca="false">dummy_variables!P218</f>
        <v>0</v>
      </c>
      <c r="J221" s="0" t="n">
        <f aca="false">dummy_variables!Q218</f>
        <v>0</v>
      </c>
      <c r="K221" s="0" t="n">
        <f aca="false">dummy_variables!R218</f>
        <v>1</v>
      </c>
      <c r="L221" s="0" t="n">
        <f aca="false">dummy_variables!S218</f>
        <v>0</v>
      </c>
      <c r="M221" s="0" t="n">
        <f aca="false">dummy_variables!T218</f>
        <v>0</v>
      </c>
      <c r="N221" s="0" t="n">
        <f aca="false">dummy_variables!M218</f>
        <v>674289.1</v>
      </c>
    </row>
    <row r="222" customFormat="false" ht="15" hidden="false" customHeight="false" outlineLevel="0" collapsed="false">
      <c r="A222" s="0" t="n">
        <f aca="false">dummy_variables!E219</f>
        <v>33987.33</v>
      </c>
      <c r="B222" s="0" t="n">
        <f aca="false">dummy_variables!F219</f>
        <v>5014</v>
      </c>
      <c r="C222" s="0" t="n">
        <f aca="false">dummy_variables!G219</f>
        <v>0.246</v>
      </c>
      <c r="D222" s="0" t="n">
        <f aca="false">dummy_variables!I219</f>
        <v>94.3</v>
      </c>
      <c r="E222" s="0" t="n">
        <f aca="false">dummy_variables!J219</f>
        <v>10.34</v>
      </c>
      <c r="F222" s="0" t="n">
        <f aca="false">dummy_variables!K219</f>
        <v>0</v>
      </c>
      <c r="G222" s="0" t="n">
        <f aca="false">dummy_variables!L219</f>
        <v>3.9</v>
      </c>
      <c r="H222" s="0" t="n">
        <f aca="false">dummy_variables!O219</f>
        <v>1</v>
      </c>
      <c r="I222" s="0" t="n">
        <f aca="false">dummy_variables!P219</f>
        <v>0</v>
      </c>
      <c r="J222" s="0" t="n">
        <f aca="false">dummy_variables!Q219</f>
        <v>0</v>
      </c>
      <c r="K222" s="0" t="n">
        <f aca="false">dummy_variables!R219</f>
        <v>1</v>
      </c>
      <c r="L222" s="0" t="n">
        <f aca="false">dummy_variables!S219</f>
        <v>0</v>
      </c>
      <c r="M222" s="0" t="n">
        <f aca="false">dummy_variables!T219</f>
        <v>0</v>
      </c>
      <c r="N222" s="0" t="n">
        <f aca="false">dummy_variables!M219</f>
        <v>622892.42</v>
      </c>
    </row>
    <row r="223" customFormat="false" ht="15" hidden="false" customHeight="false" outlineLevel="0" collapsed="false">
      <c r="A223" s="0" t="n">
        <f aca="false">dummy_variables!E220</f>
        <v>58785.33</v>
      </c>
      <c r="B223" s="0" t="n">
        <f aca="false">dummy_variables!F220</f>
        <v>4467</v>
      </c>
      <c r="C223" s="0" t="n">
        <f aca="false">dummy_variables!G220</f>
        <v>0.229</v>
      </c>
      <c r="D223" s="0" t="n">
        <f aca="false">dummy_variables!I220</f>
        <v>90.7</v>
      </c>
      <c r="E223" s="0" t="n">
        <f aca="false">dummy_variables!J220</f>
        <v>1.92</v>
      </c>
      <c r="F223" s="0" t="n">
        <f aca="false">dummy_variables!K220</f>
        <v>0</v>
      </c>
      <c r="G223" s="0" t="n">
        <f aca="false">dummy_variables!L220</f>
        <v>3.7</v>
      </c>
      <c r="H223" s="0" t="n">
        <f aca="false">dummy_variables!O220</f>
        <v>1</v>
      </c>
      <c r="I223" s="0" t="n">
        <f aca="false">dummy_variables!P220</f>
        <v>0</v>
      </c>
      <c r="J223" s="0" t="n">
        <f aca="false">dummy_variables!Q220</f>
        <v>0</v>
      </c>
      <c r="K223" s="0" t="n">
        <f aca="false">dummy_variables!R220</f>
        <v>1</v>
      </c>
      <c r="L223" s="0" t="n">
        <f aca="false">dummy_variables!S220</f>
        <v>0</v>
      </c>
      <c r="M223" s="0" t="n">
        <f aca="false">dummy_variables!T220</f>
        <v>0</v>
      </c>
      <c r="N223" s="0" t="n">
        <f aca="false">dummy_variables!M220</f>
        <v>673348.56</v>
      </c>
    </row>
    <row r="224" customFormat="false" ht="15" hidden="false" customHeight="false" outlineLevel="0" collapsed="false">
      <c r="A224" s="0" t="n">
        <f aca="false">dummy_variables!E221</f>
        <v>16451.85</v>
      </c>
      <c r="B224" s="0" t="n">
        <f aca="false">dummy_variables!F221</f>
        <v>4678</v>
      </c>
      <c r="C224" s="0" t="n">
        <f aca="false">dummy_variables!G221</f>
        <v>0.133</v>
      </c>
      <c r="D224" s="0" t="n">
        <f aca="false">dummy_variables!I221</f>
        <v>95.9</v>
      </c>
      <c r="E224" s="0" t="n">
        <f aca="false">dummy_variables!J221</f>
        <v>3.1</v>
      </c>
      <c r="F224" s="0" t="n">
        <f aca="false">dummy_variables!K221</f>
        <v>0</v>
      </c>
      <c r="G224" s="0" t="n">
        <f aca="false">dummy_variables!L221</f>
        <v>3.9</v>
      </c>
      <c r="H224" s="0" t="n">
        <f aca="false">dummy_variables!O221</f>
        <v>1</v>
      </c>
      <c r="I224" s="0" t="n">
        <f aca="false">dummy_variables!P221</f>
        <v>0</v>
      </c>
      <c r="J224" s="0" t="n">
        <f aca="false">dummy_variables!Q221</f>
        <v>0</v>
      </c>
      <c r="K224" s="0" t="n">
        <f aca="false">dummy_variables!R221</f>
        <v>1</v>
      </c>
      <c r="L224" s="0" t="n">
        <f aca="false">dummy_variables!S221</f>
        <v>0</v>
      </c>
      <c r="M224" s="0" t="n">
        <f aca="false">dummy_variables!T221</f>
        <v>0</v>
      </c>
      <c r="N224" s="0" t="n">
        <f aca="false">dummy_variables!M221</f>
        <v>606278.3</v>
      </c>
    </row>
    <row r="225" customFormat="false" ht="15" hidden="false" customHeight="false" outlineLevel="0" collapsed="false">
      <c r="A225" s="0" t="n">
        <f aca="false">dummy_variables!E222</f>
        <v>53367.73</v>
      </c>
      <c r="B225" s="0" t="n">
        <f aca="false">dummy_variables!F222</f>
        <v>7291</v>
      </c>
      <c r="C225" s="0" t="n">
        <f aca="false">dummy_variables!G222</f>
        <v>0.146</v>
      </c>
      <c r="D225" s="0" t="n">
        <f aca="false">dummy_variables!I222</f>
        <v>90.6</v>
      </c>
      <c r="E225" s="0" t="n">
        <f aca="false">dummy_variables!J222</f>
        <v>6.34</v>
      </c>
      <c r="F225" s="0" t="n">
        <f aca="false">dummy_variables!K222</f>
        <v>1</v>
      </c>
      <c r="G225" s="0" t="n">
        <f aca="false">dummy_variables!L222</f>
        <v>3.8</v>
      </c>
      <c r="H225" s="0" t="n">
        <f aca="false">dummy_variables!O222</f>
        <v>0</v>
      </c>
      <c r="I225" s="0" t="n">
        <f aca="false">dummy_variables!P222</f>
        <v>0</v>
      </c>
      <c r="J225" s="0" t="n">
        <f aca="false">dummy_variables!Q222</f>
        <v>0</v>
      </c>
      <c r="K225" s="0" t="n">
        <f aca="false">dummy_variables!R222</f>
        <v>0</v>
      </c>
      <c r="L225" s="0" t="n">
        <f aca="false">dummy_variables!S222</f>
        <v>0</v>
      </c>
      <c r="M225" s="0" t="n">
        <f aca="false">dummy_variables!T222</f>
        <v>0</v>
      </c>
      <c r="N225" s="0" t="n">
        <f aca="false">dummy_variables!M222</f>
        <v>712219.81</v>
      </c>
    </row>
    <row r="226" customFormat="false" ht="15" hidden="false" customHeight="false" outlineLevel="0" collapsed="false">
      <c r="A226" s="0" t="n">
        <f aca="false">dummy_variables!E223</f>
        <v>27194.64</v>
      </c>
      <c r="B226" s="0" t="n">
        <f aca="false">dummy_variables!F223</f>
        <v>7404</v>
      </c>
      <c r="C226" s="0" t="n">
        <f aca="false">dummy_variables!G223</f>
        <v>0.088</v>
      </c>
      <c r="D226" s="0" t="n">
        <f aca="false">dummy_variables!I223</f>
        <v>90.2</v>
      </c>
      <c r="E226" s="0" t="n">
        <f aca="false">dummy_variables!J223</f>
        <v>1.2</v>
      </c>
      <c r="F226" s="0" t="n">
        <f aca="false">dummy_variables!K223</f>
        <v>0</v>
      </c>
      <c r="G226" s="0" t="n">
        <f aca="false">dummy_variables!L223</f>
        <v>3.4</v>
      </c>
      <c r="H226" s="0" t="n">
        <f aca="false">dummy_variables!O223</f>
        <v>0</v>
      </c>
      <c r="I226" s="0" t="n">
        <f aca="false">dummy_variables!P223</f>
        <v>0</v>
      </c>
      <c r="J226" s="0" t="n">
        <f aca="false">dummy_variables!Q223</f>
        <v>0</v>
      </c>
      <c r="K226" s="0" t="n">
        <f aca="false">dummy_variables!R223</f>
        <v>0</v>
      </c>
      <c r="L226" s="0" t="n">
        <f aca="false">dummy_variables!S223</f>
        <v>0</v>
      </c>
      <c r="M226" s="0" t="n">
        <f aca="false">dummy_variables!T223</f>
        <v>0</v>
      </c>
      <c r="N226" s="0" t="n">
        <f aca="false">dummy_variables!M223</f>
        <v>672670.54</v>
      </c>
    </row>
    <row r="227" customFormat="false" ht="15" hidden="false" customHeight="false" outlineLevel="0" collapsed="false">
      <c r="A227" s="0" t="n">
        <f aca="false">dummy_variables!E224</f>
        <v>66962.74</v>
      </c>
      <c r="B227" s="0" t="n">
        <f aca="false">dummy_variables!F224</f>
        <v>7880</v>
      </c>
      <c r="C227" s="0" t="n">
        <f aca="false">dummy_variables!G224</f>
        <v>0.116</v>
      </c>
      <c r="D227" s="0" t="n">
        <f aca="false">dummy_variables!I224</f>
        <v>90.4</v>
      </c>
      <c r="E227" s="0" t="n">
        <f aca="false">dummy_variables!J224</f>
        <v>4.5</v>
      </c>
      <c r="F227" s="0" t="n">
        <f aca="false">dummy_variables!K224</f>
        <v>0</v>
      </c>
      <c r="G227" s="0" t="n">
        <f aca="false">dummy_variables!L224</f>
        <v>3.3</v>
      </c>
      <c r="H227" s="0" t="n">
        <f aca="false">dummy_variables!O224</f>
        <v>0</v>
      </c>
      <c r="I227" s="0" t="n">
        <f aca="false">dummy_variables!P224</f>
        <v>0</v>
      </c>
      <c r="J227" s="0" t="n">
        <f aca="false">dummy_variables!Q224</f>
        <v>0</v>
      </c>
      <c r="K227" s="0" t="n">
        <f aca="false">dummy_variables!R224</f>
        <v>0</v>
      </c>
      <c r="L227" s="0" t="n">
        <f aca="false">dummy_variables!S224</f>
        <v>0</v>
      </c>
      <c r="M227" s="0" t="n">
        <f aca="false">dummy_variables!T224</f>
        <v>0</v>
      </c>
      <c r="N227" s="0" t="n">
        <f aca="false">dummy_variables!M224</f>
        <v>732667.92</v>
      </c>
    </row>
    <row r="228" customFormat="false" ht="15" hidden="false" customHeight="false" outlineLevel="0" collapsed="false">
      <c r="A228" s="0" t="n">
        <f aca="false">dummy_variables!E225</f>
        <v>73540.99</v>
      </c>
      <c r="B228" s="0" t="n">
        <f aca="false">dummy_variables!F225</f>
        <v>8773</v>
      </c>
      <c r="C228" s="0" t="n">
        <f aca="false">dummy_variables!G225</f>
        <v>0.035</v>
      </c>
      <c r="D228" s="0" t="n">
        <f aca="false">dummy_variables!I225</f>
        <v>84.4</v>
      </c>
      <c r="E228" s="0" t="n">
        <f aca="false">dummy_variables!J225</f>
        <v>6.68</v>
      </c>
      <c r="F228" s="0" t="n">
        <f aca="false">dummy_variables!K225</f>
        <v>0</v>
      </c>
      <c r="G228" s="0" t="n">
        <f aca="false">dummy_variables!L225</f>
        <v>3.6</v>
      </c>
      <c r="H228" s="0" t="n">
        <f aca="false">dummy_variables!O225</f>
        <v>0</v>
      </c>
      <c r="I228" s="0" t="n">
        <f aca="false">dummy_variables!P225</f>
        <v>0</v>
      </c>
      <c r="J228" s="0" t="n">
        <f aca="false">dummy_variables!Q225</f>
        <v>0</v>
      </c>
      <c r="K228" s="0" t="n">
        <f aca="false">dummy_variables!R225</f>
        <v>0</v>
      </c>
      <c r="L228" s="0" t="n">
        <f aca="false">dummy_variables!S225</f>
        <v>0</v>
      </c>
      <c r="M228" s="0" t="n">
        <f aca="false">dummy_variables!T225</f>
        <v>0</v>
      </c>
      <c r="N228" s="0" t="n">
        <f aca="false">dummy_variables!M225</f>
        <v>723531.4</v>
      </c>
    </row>
    <row r="229" customFormat="false" ht="15" hidden="false" customHeight="false" outlineLevel="0" collapsed="false">
      <c r="A229" s="0" t="n">
        <f aca="false">dummy_variables!E226</f>
        <v>68212.29</v>
      </c>
      <c r="B229" s="0" t="n">
        <f aca="false">dummy_variables!F226</f>
        <v>4713</v>
      </c>
      <c r="C229" s="0" t="n">
        <f aca="false">dummy_variables!G226</f>
        <v>0.198</v>
      </c>
      <c r="D229" s="0" t="n">
        <f aca="false">dummy_variables!I226</f>
        <v>82.6</v>
      </c>
      <c r="E229" s="0" t="n">
        <f aca="false">dummy_variables!J226</f>
        <v>4.07</v>
      </c>
      <c r="F229" s="0" t="n">
        <f aca="false">dummy_variables!K226</f>
        <v>1</v>
      </c>
      <c r="G229" s="0" t="n">
        <f aca="false">dummy_variables!L226</f>
        <v>3</v>
      </c>
      <c r="H229" s="0" t="n">
        <f aca="false">dummy_variables!O226</f>
        <v>0</v>
      </c>
      <c r="I229" s="0" t="n">
        <f aca="false">dummy_variables!P226</f>
        <v>0</v>
      </c>
      <c r="J229" s="0" t="n">
        <f aca="false">dummy_variables!Q226</f>
        <v>0</v>
      </c>
      <c r="K229" s="0" t="n">
        <f aca="false">dummy_variables!R226</f>
        <v>0</v>
      </c>
      <c r="L229" s="0" t="n">
        <f aca="false">dummy_variables!S226</f>
        <v>1</v>
      </c>
      <c r="M229" s="0" t="n">
        <f aca="false">dummy_variables!T226</f>
        <v>0</v>
      </c>
      <c r="N229" s="0" t="n">
        <f aca="false">dummy_variables!M226</f>
        <v>641564.6</v>
      </c>
    </row>
    <row r="230" customFormat="false" ht="15" hidden="false" customHeight="false" outlineLevel="0" collapsed="false">
      <c r="A230" s="0" t="n">
        <f aca="false">dummy_variables!E227</f>
        <v>57225.98</v>
      </c>
      <c r="B230" s="0" t="n">
        <f aca="false">dummy_variables!F227</f>
        <v>2842</v>
      </c>
      <c r="C230" s="0" t="n">
        <f aca="false">dummy_variables!G227</f>
        <v>0.112</v>
      </c>
      <c r="D230" s="0" t="n">
        <f aca="false">dummy_variables!I227</f>
        <v>79.5</v>
      </c>
      <c r="E230" s="0" t="n">
        <f aca="false">dummy_variables!J227</f>
        <v>5.45</v>
      </c>
      <c r="F230" s="0" t="n">
        <f aca="false">dummy_variables!K227</f>
        <v>0</v>
      </c>
      <c r="G230" s="0" t="n">
        <f aca="false">dummy_variables!L227</f>
        <v>3.4</v>
      </c>
      <c r="H230" s="0" t="n">
        <f aca="false">dummy_variables!O227</f>
        <v>0</v>
      </c>
      <c r="I230" s="0" t="n">
        <f aca="false">dummy_variables!P227</f>
        <v>0</v>
      </c>
      <c r="J230" s="0" t="n">
        <f aca="false">dummy_variables!Q227</f>
        <v>0</v>
      </c>
      <c r="K230" s="0" t="n">
        <f aca="false">dummy_variables!R227</f>
        <v>0</v>
      </c>
      <c r="L230" s="0" t="n">
        <f aca="false">dummy_variables!S227</f>
        <v>1</v>
      </c>
      <c r="M230" s="0" t="n">
        <f aca="false">dummy_variables!T227</f>
        <v>0</v>
      </c>
      <c r="N230" s="0" t="n">
        <f aca="false">dummy_variables!M227</f>
        <v>536545.49</v>
      </c>
    </row>
    <row r="231" customFormat="false" ht="15" hidden="false" customHeight="false" outlineLevel="0" collapsed="false">
      <c r="A231" s="0" t="n">
        <f aca="false">dummy_variables!E228</f>
        <v>42932.02</v>
      </c>
      <c r="B231" s="0" t="n">
        <f aca="false">dummy_variables!F228</f>
        <v>3872</v>
      </c>
      <c r="C231" s="0" t="n">
        <f aca="false">dummy_variables!G228</f>
        <v>0.171</v>
      </c>
      <c r="D231" s="0" t="n">
        <f aca="false">dummy_variables!I228</f>
        <v>83.2</v>
      </c>
      <c r="E231" s="0" t="n">
        <f aca="false">dummy_variables!J228</f>
        <v>15.58</v>
      </c>
      <c r="F231" s="0" t="n">
        <f aca="false">dummy_variables!K228</f>
        <v>0</v>
      </c>
      <c r="G231" s="0" t="n">
        <f aca="false">dummy_variables!L228</f>
        <v>3.3</v>
      </c>
      <c r="H231" s="0" t="n">
        <f aca="false">dummy_variables!O228</f>
        <v>0</v>
      </c>
      <c r="I231" s="0" t="n">
        <f aca="false">dummy_variables!P228</f>
        <v>0</v>
      </c>
      <c r="J231" s="0" t="n">
        <f aca="false">dummy_variables!Q228</f>
        <v>0</v>
      </c>
      <c r="K231" s="0" t="n">
        <f aca="false">dummy_variables!R228</f>
        <v>0</v>
      </c>
      <c r="L231" s="0" t="n">
        <f aca="false">dummy_variables!S228</f>
        <v>1</v>
      </c>
      <c r="M231" s="0" t="n">
        <f aca="false">dummy_variables!T228</f>
        <v>0</v>
      </c>
      <c r="N231" s="0" t="n">
        <f aca="false">dummy_variables!M228</f>
        <v>527681.56</v>
      </c>
    </row>
    <row r="232" customFormat="false" ht="15" hidden="false" customHeight="false" outlineLevel="0" collapsed="false">
      <c r="A232" s="0" t="n">
        <f aca="false">dummy_variables!E229</f>
        <v>39341.45</v>
      </c>
      <c r="B232" s="0" t="n">
        <f aca="false">dummy_variables!F229</f>
        <v>1375</v>
      </c>
      <c r="C232" s="0" t="n">
        <f aca="false">dummy_variables!G229</f>
        <v>0.093</v>
      </c>
      <c r="D232" s="0" t="n">
        <f aca="false">dummy_variables!I229</f>
        <v>95</v>
      </c>
      <c r="E232" s="0" t="n">
        <f aca="false">dummy_variables!J229</f>
        <v>5.32</v>
      </c>
      <c r="F232" s="0" t="n">
        <f aca="false">dummy_variables!K229</f>
        <v>0</v>
      </c>
      <c r="G232" s="0" t="n">
        <f aca="false">dummy_variables!L229</f>
        <v>3.9</v>
      </c>
      <c r="H232" s="0" t="n">
        <f aca="false">dummy_variables!O229</f>
        <v>0</v>
      </c>
      <c r="I232" s="0" t="n">
        <f aca="false">dummy_variables!P229</f>
        <v>0</v>
      </c>
      <c r="J232" s="0" t="n">
        <f aca="false">dummy_variables!Q229</f>
        <v>0</v>
      </c>
      <c r="K232" s="0" t="n">
        <f aca="false">dummy_variables!R229</f>
        <v>0</v>
      </c>
      <c r="L232" s="0" t="n">
        <f aca="false">dummy_variables!S229</f>
        <v>1</v>
      </c>
      <c r="M232" s="0" t="n">
        <f aca="false">dummy_variables!T229</f>
        <v>0</v>
      </c>
      <c r="N232" s="0" t="n">
        <f aca="false">dummy_variables!M229</f>
        <v>529598.94</v>
      </c>
    </row>
    <row r="233" customFormat="false" ht="15" hidden="false" customHeight="false" outlineLevel="0" collapsed="false">
      <c r="A233" s="0" t="n">
        <f aca="false">dummy_variables!E230</f>
        <v>37324.23</v>
      </c>
      <c r="B233" s="0" t="n">
        <f aca="false">dummy_variables!F230</f>
        <v>5957</v>
      </c>
      <c r="C233" s="0" t="n">
        <f aca="false">dummy_variables!G230</f>
        <v>0.071</v>
      </c>
      <c r="D233" s="0" t="n">
        <f aca="false">dummy_variables!I230</f>
        <v>85.9</v>
      </c>
      <c r="E233" s="0" t="n">
        <f aca="false">dummy_variables!J230</f>
        <v>0.37</v>
      </c>
      <c r="F233" s="0" t="n">
        <f aca="false">dummy_variables!K230</f>
        <v>0</v>
      </c>
      <c r="G233" s="0" t="n">
        <f aca="false">dummy_variables!L230</f>
        <v>3.8</v>
      </c>
      <c r="H233" s="0" t="n">
        <f aca="false">dummy_variables!O230</f>
        <v>0</v>
      </c>
      <c r="I233" s="0" t="n">
        <f aca="false">dummy_variables!P230</f>
        <v>0</v>
      </c>
      <c r="J233" s="0" t="n">
        <f aca="false">dummy_variables!Q230</f>
        <v>0</v>
      </c>
      <c r="K233" s="0" t="n">
        <f aca="false">dummy_variables!R230</f>
        <v>0</v>
      </c>
      <c r="L233" s="0" t="n">
        <f aca="false">dummy_variables!S230</f>
        <v>0</v>
      </c>
      <c r="M233" s="0" t="n">
        <f aca="false">dummy_variables!T230</f>
        <v>0</v>
      </c>
      <c r="N233" s="0" t="n">
        <f aca="false">dummy_variables!M230</f>
        <v>570963.31</v>
      </c>
    </row>
    <row r="234" customFormat="false" ht="15" hidden="false" customHeight="false" outlineLevel="0" collapsed="false">
      <c r="A234" s="0" t="n">
        <f aca="false">dummy_variables!E231</f>
        <v>113736</v>
      </c>
      <c r="B234" s="0" t="n">
        <f aca="false">dummy_variables!F231</f>
        <v>8961</v>
      </c>
      <c r="C234" s="0" t="n">
        <f aca="false">dummy_variables!G231</f>
        <v>0.202</v>
      </c>
      <c r="D234" s="0" t="n">
        <f aca="false">dummy_variables!I231</f>
        <v>86.2</v>
      </c>
      <c r="E234" s="0" t="n">
        <f aca="false">dummy_variables!J231</f>
        <v>21.63</v>
      </c>
      <c r="F234" s="0" t="n">
        <f aca="false">dummy_variables!K231</f>
        <v>0</v>
      </c>
      <c r="G234" s="0" t="n">
        <f aca="false">dummy_variables!L231</f>
        <v>4</v>
      </c>
      <c r="H234" s="0" t="n">
        <f aca="false">dummy_variables!O231</f>
        <v>0</v>
      </c>
      <c r="I234" s="0" t="n">
        <f aca="false">dummy_variables!P231</f>
        <v>0</v>
      </c>
      <c r="J234" s="0" t="n">
        <f aca="false">dummy_variables!Q231</f>
        <v>0</v>
      </c>
      <c r="K234" s="0" t="n">
        <f aca="false">dummy_variables!R231</f>
        <v>0</v>
      </c>
      <c r="L234" s="0" t="n">
        <f aca="false">dummy_variables!S231</f>
        <v>0</v>
      </c>
      <c r="M234" s="0" t="n">
        <f aca="false">dummy_variables!T231</f>
        <v>0</v>
      </c>
      <c r="N234" s="0" t="n">
        <f aca="false">dummy_variables!M231</f>
        <v>870937.4</v>
      </c>
    </row>
    <row r="235" customFormat="false" ht="15" hidden="false" customHeight="false" outlineLevel="0" collapsed="false">
      <c r="A235" s="0" t="n">
        <f aca="false">dummy_variables!E232</f>
        <v>33173.95</v>
      </c>
      <c r="B235" s="0" t="n">
        <f aca="false">dummy_variables!F232</f>
        <v>6545</v>
      </c>
      <c r="C235" s="0" t="n">
        <f aca="false">dummy_variables!G232</f>
        <v>0.169</v>
      </c>
      <c r="D235" s="0" t="n">
        <f aca="false">dummy_variables!I232</f>
        <v>84.4</v>
      </c>
      <c r="E235" s="0" t="n">
        <f aca="false">dummy_variables!J232</f>
        <v>2.48</v>
      </c>
      <c r="F235" s="0" t="n">
        <f aca="false">dummy_variables!K232</f>
        <v>0</v>
      </c>
      <c r="G235" s="0" t="n">
        <f aca="false">dummy_variables!L232</f>
        <v>3.9</v>
      </c>
      <c r="H235" s="0" t="n">
        <f aca="false">dummy_variables!O232</f>
        <v>0</v>
      </c>
      <c r="I235" s="0" t="n">
        <f aca="false">dummy_variables!P232</f>
        <v>0</v>
      </c>
      <c r="J235" s="0" t="n">
        <f aca="false">dummy_variables!Q232</f>
        <v>0</v>
      </c>
      <c r="K235" s="0" t="n">
        <f aca="false">dummy_variables!R232</f>
        <v>0</v>
      </c>
      <c r="L235" s="0" t="n">
        <f aca="false">dummy_variables!S232</f>
        <v>0</v>
      </c>
      <c r="M235" s="0" t="n">
        <f aca="false">dummy_variables!T232</f>
        <v>0</v>
      </c>
      <c r="N235" s="0" t="n">
        <f aca="false">dummy_variables!M232</f>
        <v>596969.27</v>
      </c>
    </row>
    <row r="236" customFormat="false" ht="15" hidden="false" customHeight="false" outlineLevel="0" collapsed="false">
      <c r="A236" s="0" t="n">
        <f aca="false">dummy_variables!E233</f>
        <v>25818.08</v>
      </c>
      <c r="B236" s="0" t="n">
        <f aca="false">dummy_variables!F233</f>
        <v>5457</v>
      </c>
      <c r="C236" s="0" t="n">
        <f aca="false">dummy_variables!G233</f>
        <v>0</v>
      </c>
      <c r="D236" s="0" t="n">
        <f aca="false">dummy_variables!I233</f>
        <v>95.4</v>
      </c>
      <c r="E236" s="0" t="n">
        <f aca="false">dummy_variables!J233</f>
        <v>3.365</v>
      </c>
      <c r="F236" s="0" t="n">
        <f aca="false">dummy_variables!K233</f>
        <v>0</v>
      </c>
      <c r="G236" s="0" t="n">
        <f aca="false">dummy_variables!L233</f>
        <v>3.7</v>
      </c>
      <c r="H236" s="0" t="n">
        <f aca="false">dummy_variables!O233</f>
        <v>0</v>
      </c>
      <c r="I236" s="0" t="n">
        <f aca="false">dummy_variables!P233</f>
        <v>0</v>
      </c>
      <c r="J236" s="0" t="n">
        <f aca="false">dummy_variables!Q233</f>
        <v>0</v>
      </c>
      <c r="K236" s="0" t="n">
        <f aca="false">dummy_variables!R233</f>
        <v>0</v>
      </c>
      <c r="L236" s="0" t="n">
        <f aca="false">dummy_variables!S233</f>
        <v>0</v>
      </c>
      <c r="M236" s="0" t="n">
        <f aca="false">dummy_variables!T233</f>
        <v>0</v>
      </c>
      <c r="N236" s="0" t="n">
        <f aca="false">dummy_variables!M233</f>
        <v>647512.85</v>
      </c>
    </row>
    <row r="237" customFormat="false" ht="15" hidden="false" customHeight="false" outlineLevel="0" collapsed="false">
      <c r="A237" s="0" t="n">
        <f aca="false">dummy_variables!E234</f>
        <v>47241.92</v>
      </c>
      <c r="B237" s="0" t="n">
        <f aca="false">dummy_variables!F234</f>
        <v>4264</v>
      </c>
      <c r="C237" s="0" t="n">
        <f aca="false">dummy_variables!G234</f>
        <v>0.069</v>
      </c>
      <c r="D237" s="0" t="n">
        <f aca="false">dummy_variables!I234</f>
        <v>95.3</v>
      </c>
      <c r="E237" s="0" t="n">
        <f aca="false">dummy_variables!J234</f>
        <v>0.85</v>
      </c>
      <c r="F237" s="0" t="n">
        <f aca="false">dummy_variables!K234</f>
        <v>0</v>
      </c>
      <c r="G237" s="0" t="n">
        <f aca="false">dummy_variables!L234</f>
        <v>4.3</v>
      </c>
      <c r="H237" s="0" t="n">
        <f aca="false">dummy_variables!O234</f>
        <v>0</v>
      </c>
      <c r="I237" s="0" t="n">
        <f aca="false">dummy_variables!P234</f>
        <v>0</v>
      </c>
      <c r="J237" s="0" t="n">
        <f aca="false">dummy_variables!Q234</f>
        <v>1</v>
      </c>
      <c r="K237" s="0" t="n">
        <f aca="false">dummy_variables!R234</f>
        <v>0</v>
      </c>
      <c r="L237" s="0" t="n">
        <f aca="false">dummy_variables!S234</f>
        <v>0</v>
      </c>
      <c r="M237" s="0" t="n">
        <f aca="false">dummy_variables!T234</f>
        <v>1</v>
      </c>
      <c r="N237" s="0" t="n">
        <f aca="false">dummy_variables!M234</f>
        <v>658072.14</v>
      </c>
    </row>
    <row r="238" customFormat="false" ht="15" hidden="false" customHeight="false" outlineLevel="0" collapsed="false">
      <c r="A238" s="0" t="n">
        <f aca="false">dummy_variables!E235</f>
        <v>61650.79</v>
      </c>
      <c r="B238" s="0" t="n">
        <f aca="false">dummy_variables!F235</f>
        <v>5321</v>
      </c>
      <c r="C238" s="0" t="n">
        <f aca="false">dummy_variables!G235</f>
        <v>0.126</v>
      </c>
      <c r="D238" s="0" t="n">
        <f aca="false">dummy_variables!I235</f>
        <v>89.2</v>
      </c>
      <c r="E238" s="0" t="n">
        <f aca="false">dummy_variables!J235</f>
        <v>2.13</v>
      </c>
      <c r="F238" s="0" t="n">
        <f aca="false">dummy_variables!K235</f>
        <v>0</v>
      </c>
      <c r="G238" s="0" t="n">
        <f aca="false">dummy_variables!L235</f>
        <v>4</v>
      </c>
      <c r="H238" s="0" t="n">
        <f aca="false">dummy_variables!O235</f>
        <v>0</v>
      </c>
      <c r="I238" s="0" t="n">
        <f aca="false">dummy_variables!P235</f>
        <v>0</v>
      </c>
      <c r="J238" s="0" t="n">
        <f aca="false">dummy_variables!Q235</f>
        <v>1</v>
      </c>
      <c r="K238" s="0" t="n">
        <f aca="false">dummy_variables!R235</f>
        <v>0</v>
      </c>
      <c r="L238" s="0" t="n">
        <f aca="false">dummy_variables!S235</f>
        <v>0</v>
      </c>
      <c r="M238" s="0" t="n">
        <f aca="false">dummy_variables!T235</f>
        <v>1</v>
      </c>
      <c r="N238" s="0" t="n">
        <f aca="false">dummy_variables!M235</f>
        <v>723305.11</v>
      </c>
    </row>
    <row r="239" customFormat="false" ht="15" hidden="false" customHeight="false" outlineLevel="0" collapsed="false">
      <c r="A239" s="0" t="n">
        <f aca="false">dummy_variables!E236</f>
        <v>62582.71</v>
      </c>
      <c r="B239" s="0" t="n">
        <f aca="false">dummy_variables!F236</f>
        <v>5479</v>
      </c>
      <c r="C239" s="0" t="n">
        <f aca="false">dummy_variables!G236</f>
        <v>0.048</v>
      </c>
      <c r="D239" s="0" t="n">
        <f aca="false">dummy_variables!I236</f>
        <v>81.2</v>
      </c>
      <c r="E239" s="0" t="n">
        <f aca="false">dummy_variables!J236</f>
        <v>1.46</v>
      </c>
      <c r="F239" s="0" t="n">
        <f aca="false">dummy_variables!K236</f>
        <v>0</v>
      </c>
      <c r="G239" s="0" t="n">
        <f aca="false">dummy_variables!L236</f>
        <v>4.5</v>
      </c>
      <c r="H239" s="0" t="n">
        <f aca="false">dummy_variables!O236</f>
        <v>0</v>
      </c>
      <c r="I239" s="0" t="n">
        <f aca="false">dummy_variables!P236</f>
        <v>0</v>
      </c>
      <c r="J239" s="0" t="n">
        <f aca="false">dummy_variables!Q236</f>
        <v>1</v>
      </c>
      <c r="K239" s="0" t="n">
        <f aca="false">dummy_variables!R236</f>
        <v>0</v>
      </c>
      <c r="L239" s="0" t="n">
        <f aca="false">dummy_variables!S236</f>
        <v>0</v>
      </c>
      <c r="M239" s="0" t="n">
        <f aca="false">dummy_variables!T236</f>
        <v>1</v>
      </c>
      <c r="N239" s="0" t="n">
        <f aca="false">dummy_variables!M236</f>
        <v>640666.53</v>
      </c>
    </row>
    <row r="240" customFormat="false" ht="15" hidden="false" customHeight="false" outlineLevel="0" collapsed="false">
      <c r="A240" s="0" t="n">
        <f aca="false">dummy_variables!E237</f>
        <v>47944.14</v>
      </c>
      <c r="B240" s="0" t="n">
        <f aca="false">dummy_variables!F237</f>
        <v>6169</v>
      </c>
      <c r="C240" s="0" t="n">
        <f aca="false">dummy_variables!G237</f>
        <v>0.119</v>
      </c>
      <c r="D240" s="0" t="n">
        <f aca="false">dummy_variables!I237</f>
        <v>92.2</v>
      </c>
      <c r="E240" s="0" t="n">
        <f aca="false">dummy_variables!J237</f>
        <v>3.02</v>
      </c>
      <c r="F240" s="0" t="n">
        <f aca="false">dummy_variables!K237</f>
        <v>0</v>
      </c>
      <c r="G240" s="0" t="n">
        <f aca="false">dummy_variables!L237</f>
        <v>4.1</v>
      </c>
      <c r="H240" s="0" t="n">
        <f aca="false">dummy_variables!O237</f>
        <v>0</v>
      </c>
      <c r="I240" s="0" t="n">
        <f aca="false">dummy_variables!P237</f>
        <v>0</v>
      </c>
      <c r="J240" s="0" t="n">
        <f aca="false">dummy_variables!Q237</f>
        <v>1</v>
      </c>
      <c r="K240" s="0" t="n">
        <f aca="false">dummy_variables!R237</f>
        <v>0</v>
      </c>
      <c r="L240" s="0" t="n">
        <f aca="false">dummy_variables!S237</f>
        <v>0</v>
      </c>
      <c r="M240" s="0" t="n">
        <f aca="false">dummy_variables!T237</f>
        <v>1</v>
      </c>
      <c r="N240" s="0" t="n">
        <f aca="false">dummy_variables!M237</f>
        <v>670629.48</v>
      </c>
    </row>
    <row r="241" customFormat="false" ht="15" hidden="false" customHeight="false" outlineLevel="0" collapsed="false">
      <c r="A241" s="0" t="n">
        <f aca="false">dummy_variables!E238</f>
        <v>46495.4</v>
      </c>
      <c r="B241" s="0" t="n">
        <f aca="false">dummy_variables!F238</f>
        <v>9908</v>
      </c>
      <c r="C241" s="0" t="n">
        <f aca="false">dummy_variables!G238</f>
        <v>0.121</v>
      </c>
      <c r="D241" s="0" t="n">
        <f aca="false">dummy_variables!I238</f>
        <v>89.4</v>
      </c>
      <c r="E241" s="0" t="n">
        <f aca="false">dummy_variables!J238</f>
        <v>3.22</v>
      </c>
      <c r="F241" s="0" t="n">
        <f aca="false">dummy_variables!K238</f>
        <v>0</v>
      </c>
      <c r="G241" s="0" t="n">
        <f aca="false">dummy_variables!L238</f>
        <v>3.7</v>
      </c>
      <c r="H241" s="0" t="n">
        <f aca="false">dummy_variables!O238</f>
        <v>0</v>
      </c>
      <c r="I241" s="0" t="n">
        <f aca="false">dummy_variables!P238</f>
        <v>0</v>
      </c>
      <c r="J241" s="0" t="n">
        <f aca="false">dummy_variables!Q238</f>
        <v>1</v>
      </c>
      <c r="K241" s="0" t="n">
        <f aca="false">dummy_variables!R238</f>
        <v>0</v>
      </c>
      <c r="L241" s="0" t="n">
        <f aca="false">dummy_variables!S238</f>
        <v>1</v>
      </c>
      <c r="M241" s="0" t="n">
        <f aca="false">dummy_variables!T238</f>
        <v>0</v>
      </c>
      <c r="N241" s="0" t="n">
        <f aca="false">dummy_variables!M238</f>
        <v>721079.35</v>
      </c>
    </row>
    <row r="242" customFormat="false" ht="15" hidden="false" customHeight="false" outlineLevel="0" collapsed="false">
      <c r="A242" s="0" t="n">
        <f aca="false">dummy_variables!E239</f>
        <v>72961.95</v>
      </c>
      <c r="B242" s="0" t="n">
        <f aca="false">dummy_variables!F239</f>
        <v>9996</v>
      </c>
      <c r="C242" s="0" t="n">
        <f aca="false">dummy_variables!G239</f>
        <v>0.106</v>
      </c>
      <c r="D242" s="0" t="n">
        <f aca="false">dummy_variables!I239</f>
        <v>89.1</v>
      </c>
      <c r="E242" s="0" t="n">
        <f aca="false">dummy_variables!J239</f>
        <v>15.66</v>
      </c>
      <c r="F242" s="0" t="n">
        <f aca="false">dummy_variables!K239</f>
        <v>0</v>
      </c>
      <c r="G242" s="0" t="n">
        <f aca="false">dummy_variables!L239</f>
        <v>3.4</v>
      </c>
      <c r="H242" s="0" t="n">
        <f aca="false">dummy_variables!O239</f>
        <v>0</v>
      </c>
      <c r="I242" s="0" t="n">
        <f aca="false">dummy_variables!P239</f>
        <v>0</v>
      </c>
      <c r="J242" s="0" t="n">
        <f aca="false">dummy_variables!Q239</f>
        <v>1</v>
      </c>
      <c r="K242" s="0" t="n">
        <f aca="false">dummy_variables!R239</f>
        <v>0</v>
      </c>
      <c r="L242" s="0" t="n">
        <f aca="false">dummy_variables!S239</f>
        <v>1</v>
      </c>
      <c r="M242" s="0" t="n">
        <f aca="false">dummy_variables!T239</f>
        <v>0</v>
      </c>
      <c r="N242" s="0" t="n">
        <f aca="false">dummy_variables!M239</f>
        <v>810355.02</v>
      </c>
    </row>
    <row r="243" customFormat="false" ht="15" hidden="false" customHeight="false" outlineLevel="0" collapsed="false">
      <c r="A243" s="0" t="n">
        <f aca="false">dummy_variables!E240</f>
        <v>59060.05</v>
      </c>
      <c r="B243" s="0" t="n">
        <f aca="false">dummy_variables!F240</f>
        <v>9702</v>
      </c>
      <c r="C243" s="0" t="n">
        <f aca="false">dummy_variables!G240</f>
        <v>0.201</v>
      </c>
      <c r="D243" s="0" t="n">
        <f aca="false">dummy_variables!I240</f>
        <v>80.9</v>
      </c>
      <c r="E243" s="0" t="n">
        <f aca="false">dummy_variables!J240</f>
        <v>6.96</v>
      </c>
      <c r="F243" s="0" t="n">
        <f aca="false">dummy_variables!K240</f>
        <v>0</v>
      </c>
      <c r="G243" s="0" t="n">
        <f aca="false">dummy_variables!L240</f>
        <v>3.2</v>
      </c>
      <c r="H243" s="0" t="n">
        <f aca="false">dummy_variables!O240</f>
        <v>0</v>
      </c>
      <c r="I243" s="0" t="n">
        <f aca="false">dummy_variables!P240</f>
        <v>0</v>
      </c>
      <c r="J243" s="0" t="n">
        <f aca="false">dummy_variables!Q240</f>
        <v>1</v>
      </c>
      <c r="K243" s="0" t="n">
        <f aca="false">dummy_variables!R240</f>
        <v>0</v>
      </c>
      <c r="L243" s="0" t="n">
        <f aca="false">dummy_variables!S240</f>
        <v>1</v>
      </c>
      <c r="M243" s="0" t="n">
        <f aca="false">dummy_variables!T240</f>
        <v>0</v>
      </c>
      <c r="N243" s="0" t="n">
        <f aca="false">dummy_variables!M240</f>
        <v>761919.25</v>
      </c>
    </row>
    <row r="244" customFormat="false" ht="15" hidden="false" customHeight="false" outlineLevel="0" collapsed="false">
      <c r="A244" s="0" t="n">
        <f aca="false">dummy_variables!E241</f>
        <v>26248.1</v>
      </c>
      <c r="B244" s="0" t="n">
        <f aca="false">dummy_variables!F241</f>
        <v>9314</v>
      </c>
      <c r="C244" s="0" t="n">
        <f aca="false">dummy_variables!G241</f>
        <v>0.186</v>
      </c>
      <c r="D244" s="0" t="n">
        <f aca="false">dummy_variables!I241</f>
        <v>83.7</v>
      </c>
      <c r="E244" s="0" t="n">
        <f aca="false">dummy_variables!J241</f>
        <v>4.62</v>
      </c>
      <c r="F244" s="0" t="n">
        <f aca="false">dummy_variables!K241</f>
        <v>0</v>
      </c>
      <c r="G244" s="0" t="n">
        <f aca="false">dummy_variables!L241</f>
        <v>3.3</v>
      </c>
      <c r="H244" s="0" t="n">
        <f aca="false">dummy_variables!O241</f>
        <v>0</v>
      </c>
      <c r="I244" s="0" t="n">
        <f aca="false">dummy_variables!P241</f>
        <v>0</v>
      </c>
      <c r="J244" s="0" t="n">
        <f aca="false">dummy_variables!Q241</f>
        <v>1</v>
      </c>
      <c r="K244" s="0" t="n">
        <f aca="false">dummy_variables!R241</f>
        <v>0</v>
      </c>
      <c r="L244" s="0" t="n">
        <f aca="false">dummy_variables!S241</f>
        <v>1</v>
      </c>
      <c r="M244" s="0" t="n">
        <f aca="false">dummy_variables!T241</f>
        <v>0</v>
      </c>
      <c r="N244" s="0" t="n">
        <f aca="false">dummy_variables!M241</f>
        <v>737070.18</v>
      </c>
    </row>
    <row r="245" customFormat="false" ht="15" hidden="false" customHeight="false" outlineLevel="0" collapsed="false">
      <c r="A245" s="0" t="n">
        <f aca="false">dummy_variables!E242</f>
        <v>69900.12</v>
      </c>
      <c r="B245" s="0" t="n">
        <f aca="false">dummy_variables!F242</f>
        <v>8055</v>
      </c>
      <c r="C245" s="0" t="n">
        <f aca="false">dummy_variables!G242</f>
        <v>0.281</v>
      </c>
      <c r="D245" s="0" t="n">
        <f aca="false">dummy_variables!I242</f>
        <v>85.6</v>
      </c>
      <c r="E245" s="0" t="n">
        <f aca="false">dummy_variables!J242</f>
        <v>10.68</v>
      </c>
      <c r="F245" s="0" t="n">
        <f aca="false">dummy_variables!K242</f>
        <v>1</v>
      </c>
      <c r="G245" s="0" t="n">
        <f aca="false">dummy_variables!L242</f>
        <v>2.9</v>
      </c>
      <c r="H245" s="0" t="n">
        <f aca="false">dummy_variables!O242</f>
        <v>0</v>
      </c>
      <c r="I245" s="0" t="n">
        <f aca="false">dummy_variables!P242</f>
        <v>1</v>
      </c>
      <c r="J245" s="0" t="n">
        <f aca="false">dummy_variables!Q242</f>
        <v>0</v>
      </c>
      <c r="K245" s="0" t="n">
        <f aca="false">dummy_variables!R242</f>
        <v>1</v>
      </c>
      <c r="L245" s="0" t="n">
        <f aca="false">dummy_variables!S242</f>
        <v>0</v>
      </c>
      <c r="M245" s="0" t="n">
        <f aca="false">dummy_variables!T242</f>
        <v>0</v>
      </c>
      <c r="N245" s="0" t="n">
        <f aca="false">dummy_variables!M242</f>
        <v>776992.93</v>
      </c>
    </row>
    <row r="246" customFormat="false" ht="15" hidden="false" customHeight="false" outlineLevel="0" collapsed="false">
      <c r="A246" s="0" t="n">
        <f aca="false">dummy_variables!E243</f>
        <v>51781.6</v>
      </c>
      <c r="B246" s="0" t="n">
        <f aca="false">dummy_variables!F243</f>
        <v>5648</v>
      </c>
      <c r="C246" s="0" t="n">
        <f aca="false">dummy_variables!G243</f>
        <v>0.059</v>
      </c>
      <c r="D246" s="0" t="n">
        <f aca="false">dummy_variables!I243</f>
        <v>85.5</v>
      </c>
      <c r="E246" s="0" t="n">
        <f aca="false">dummy_variables!J243</f>
        <v>4.04</v>
      </c>
      <c r="F246" s="0" t="n">
        <f aca="false">dummy_variables!K243</f>
        <v>0</v>
      </c>
      <c r="G246" s="0" t="n">
        <f aca="false">dummy_variables!L243</f>
        <v>3.7</v>
      </c>
      <c r="H246" s="0" t="n">
        <f aca="false">dummy_variables!O243</f>
        <v>0</v>
      </c>
      <c r="I246" s="0" t="n">
        <f aca="false">dummy_variables!P243</f>
        <v>1</v>
      </c>
      <c r="J246" s="0" t="n">
        <f aca="false">dummy_variables!Q243</f>
        <v>0</v>
      </c>
      <c r="K246" s="0" t="n">
        <f aca="false">dummy_variables!R243</f>
        <v>1</v>
      </c>
      <c r="L246" s="0" t="n">
        <f aca="false">dummy_variables!S243</f>
        <v>0</v>
      </c>
      <c r="M246" s="0" t="n">
        <f aca="false">dummy_variables!T243</f>
        <v>0</v>
      </c>
      <c r="N246" s="0" t="n">
        <f aca="false">dummy_variables!M243</f>
        <v>676337.41</v>
      </c>
    </row>
    <row r="247" customFormat="false" ht="15" hidden="false" customHeight="false" outlineLevel="0" collapsed="false">
      <c r="A247" s="0" t="n">
        <f aca="false">dummy_variables!E244</f>
        <v>70799.64</v>
      </c>
      <c r="B247" s="0" t="n">
        <f aca="false">dummy_variables!F244</f>
        <v>10076</v>
      </c>
      <c r="C247" s="0" t="n">
        <f aca="false">dummy_variables!G244</f>
        <v>0.152</v>
      </c>
      <c r="D247" s="0" t="n">
        <f aca="false">dummy_variables!I244</f>
        <v>84.8</v>
      </c>
      <c r="E247" s="0" t="n">
        <f aca="false">dummy_variables!J244</f>
        <v>1.87</v>
      </c>
      <c r="F247" s="0" t="n">
        <f aca="false">dummy_variables!K244</f>
        <v>0</v>
      </c>
      <c r="G247" s="0" t="n">
        <f aca="false">dummy_variables!L244</f>
        <v>3.5</v>
      </c>
      <c r="H247" s="0" t="n">
        <f aca="false">dummy_variables!O244</f>
        <v>0</v>
      </c>
      <c r="I247" s="0" t="n">
        <f aca="false">dummy_variables!P244</f>
        <v>1</v>
      </c>
      <c r="J247" s="0" t="n">
        <f aca="false">dummy_variables!Q244</f>
        <v>0</v>
      </c>
      <c r="K247" s="0" t="n">
        <f aca="false">dummy_variables!R244</f>
        <v>1</v>
      </c>
      <c r="L247" s="0" t="n">
        <f aca="false">dummy_variables!S244</f>
        <v>0</v>
      </c>
      <c r="M247" s="0" t="n">
        <f aca="false">dummy_variables!T244</f>
        <v>0</v>
      </c>
      <c r="N247" s="0" t="n">
        <f aca="false">dummy_variables!M244</f>
        <v>828219.67</v>
      </c>
    </row>
    <row r="248" customFormat="false" ht="15" hidden="false" customHeight="false" outlineLevel="0" collapsed="false">
      <c r="A248" s="0" t="n">
        <f aca="false">dummy_variables!E245</f>
        <v>53546.34</v>
      </c>
      <c r="B248" s="0" t="n">
        <f aca="false">dummy_variables!F245</f>
        <v>8004</v>
      </c>
      <c r="C248" s="0" t="n">
        <f aca="false">dummy_variables!G245</f>
        <v>0</v>
      </c>
      <c r="D248" s="0" t="n">
        <f aca="false">dummy_variables!I245</f>
        <v>95.2</v>
      </c>
      <c r="E248" s="0" t="n">
        <f aca="false">dummy_variables!J245</f>
        <v>2.83</v>
      </c>
      <c r="F248" s="0" t="n">
        <f aca="false">dummy_variables!K245</f>
        <v>0</v>
      </c>
      <c r="G248" s="0" t="n">
        <f aca="false">dummy_variables!L245</f>
        <v>3</v>
      </c>
      <c r="H248" s="0" t="n">
        <f aca="false">dummy_variables!O245</f>
        <v>0</v>
      </c>
      <c r="I248" s="0" t="n">
        <f aca="false">dummy_variables!P245</f>
        <v>1</v>
      </c>
      <c r="J248" s="0" t="n">
        <f aca="false">dummy_variables!Q245</f>
        <v>0</v>
      </c>
      <c r="K248" s="0" t="n">
        <f aca="false">dummy_variables!R245</f>
        <v>1</v>
      </c>
      <c r="L248" s="0" t="n">
        <f aca="false">dummy_variables!S245</f>
        <v>0</v>
      </c>
      <c r="M248" s="0" t="n">
        <f aca="false">dummy_variables!T245</f>
        <v>0</v>
      </c>
      <c r="N248" s="0" t="n">
        <f aca="false">dummy_variables!M245</f>
        <v>763159.92</v>
      </c>
    </row>
    <row r="249" customFormat="false" ht="15" hidden="false" customHeight="false" outlineLevel="0" collapsed="false">
      <c r="A249" s="0" t="n">
        <f aca="false">dummy_variables!E246</f>
        <v>76942.2</v>
      </c>
      <c r="B249" s="0" t="n">
        <f aca="false">dummy_variables!F246</f>
        <v>8934</v>
      </c>
      <c r="C249" s="0" t="n">
        <f aca="false">dummy_variables!G246</f>
        <v>0.084</v>
      </c>
      <c r="D249" s="0" t="n">
        <f aca="false">dummy_variables!I246</f>
        <v>91</v>
      </c>
      <c r="E249" s="0" t="n">
        <f aca="false">dummy_variables!J246</f>
        <v>0.95</v>
      </c>
      <c r="F249" s="0" t="n">
        <f aca="false">dummy_variables!K246</f>
        <v>0</v>
      </c>
      <c r="G249" s="0" t="n">
        <f aca="false">dummy_variables!L246</f>
        <v>3.2</v>
      </c>
      <c r="H249" s="0" t="n">
        <f aca="false">dummy_variables!O246</f>
        <v>0</v>
      </c>
      <c r="I249" s="0" t="n">
        <f aca="false">dummy_variables!P246</f>
        <v>0</v>
      </c>
      <c r="J249" s="0" t="n">
        <f aca="false">dummy_variables!Q246</f>
        <v>0</v>
      </c>
      <c r="K249" s="0" t="n">
        <f aca="false">dummy_variables!R246</f>
        <v>0</v>
      </c>
      <c r="L249" s="0" t="n">
        <f aca="false">dummy_variables!S246</f>
        <v>0</v>
      </c>
      <c r="M249" s="0" t="n">
        <f aca="false">dummy_variables!T246</f>
        <v>0</v>
      </c>
      <c r="N249" s="0" t="n">
        <f aca="false">dummy_variables!M246</f>
        <v>802001.68</v>
      </c>
    </row>
    <row r="250" customFormat="false" ht="15" hidden="false" customHeight="false" outlineLevel="0" collapsed="false">
      <c r="A250" s="0" t="n">
        <f aca="false">dummy_variables!E247</f>
        <v>48060.78</v>
      </c>
      <c r="B250" s="0" t="n">
        <f aca="false">dummy_variables!F247</f>
        <v>8733</v>
      </c>
      <c r="C250" s="0" t="n">
        <f aca="false">dummy_variables!G247</f>
        <v>0</v>
      </c>
      <c r="D250" s="0" t="n">
        <f aca="false">dummy_variables!I247</f>
        <v>89.9</v>
      </c>
      <c r="E250" s="0" t="n">
        <f aca="false">dummy_variables!J247</f>
        <v>0.8</v>
      </c>
      <c r="F250" s="0" t="n">
        <f aca="false">dummy_variables!K247</f>
        <v>0</v>
      </c>
      <c r="G250" s="0" t="n">
        <f aca="false">dummy_variables!L247</f>
        <v>3.4</v>
      </c>
      <c r="H250" s="0" t="n">
        <f aca="false">dummy_variables!O247</f>
        <v>0</v>
      </c>
      <c r="I250" s="0" t="n">
        <f aca="false">dummy_variables!P247</f>
        <v>0</v>
      </c>
      <c r="J250" s="0" t="n">
        <f aca="false">dummy_variables!Q247</f>
        <v>0</v>
      </c>
      <c r="K250" s="0" t="n">
        <f aca="false">dummy_variables!R247</f>
        <v>0</v>
      </c>
      <c r="L250" s="0" t="n">
        <f aca="false">dummy_variables!S247</f>
        <v>0</v>
      </c>
      <c r="M250" s="0" t="n">
        <f aca="false">dummy_variables!T247</f>
        <v>0</v>
      </c>
      <c r="N250" s="0" t="n">
        <f aca="false">dummy_variables!M247</f>
        <v>750471.34</v>
      </c>
    </row>
    <row r="251" customFormat="false" ht="15" hidden="false" customHeight="false" outlineLevel="0" collapsed="false">
      <c r="A251" s="0" t="n">
        <f aca="false">dummy_variables!E248</f>
        <v>57390.04</v>
      </c>
      <c r="B251" s="0" t="n">
        <f aca="false">dummy_variables!F248</f>
        <v>7374</v>
      </c>
      <c r="C251" s="0" t="n">
        <f aca="false">dummy_variables!G248</f>
        <v>0.21</v>
      </c>
      <c r="D251" s="0" t="n">
        <f aca="false">dummy_variables!I248</f>
        <v>91.8</v>
      </c>
      <c r="E251" s="0" t="n">
        <f aca="false">dummy_variables!J248</f>
        <v>0.2</v>
      </c>
      <c r="F251" s="0" t="n">
        <f aca="false">dummy_variables!K248</f>
        <v>0</v>
      </c>
      <c r="G251" s="0" t="n">
        <f aca="false">dummy_variables!L248</f>
        <v>3.1</v>
      </c>
      <c r="H251" s="0" t="n">
        <f aca="false">dummy_variables!O248</f>
        <v>0</v>
      </c>
      <c r="I251" s="0" t="n">
        <f aca="false">dummy_variables!P248</f>
        <v>0</v>
      </c>
      <c r="J251" s="0" t="n">
        <f aca="false">dummy_variables!Q248</f>
        <v>0</v>
      </c>
      <c r="K251" s="0" t="n">
        <f aca="false">dummy_variables!R248</f>
        <v>0</v>
      </c>
      <c r="L251" s="0" t="n">
        <f aca="false">dummy_variables!S248</f>
        <v>0</v>
      </c>
      <c r="M251" s="0" t="n">
        <f aca="false">dummy_variables!T248</f>
        <v>0</v>
      </c>
      <c r="N251" s="0" t="n">
        <f aca="false">dummy_variables!M248</f>
        <v>679230.86</v>
      </c>
    </row>
    <row r="252" customFormat="false" ht="15" hidden="false" customHeight="false" outlineLevel="0" collapsed="false">
      <c r="A252" s="0" t="n">
        <f aca="false">dummy_variables!E249</f>
        <v>21536.18</v>
      </c>
      <c r="B252" s="0" t="n">
        <f aca="false">dummy_variables!F249</f>
        <v>8119</v>
      </c>
      <c r="C252" s="0" t="n">
        <f aca="false">dummy_variables!G249</f>
        <v>0.227</v>
      </c>
      <c r="D252" s="0" t="n">
        <f aca="false">dummy_variables!I249</f>
        <v>90.4</v>
      </c>
      <c r="E252" s="0" t="n">
        <f aca="false">dummy_variables!J249</f>
        <v>1.7</v>
      </c>
      <c r="F252" s="0" t="n">
        <f aca="false">dummy_variables!K249</f>
        <v>0</v>
      </c>
      <c r="G252" s="0" t="n">
        <f aca="false">dummy_variables!L249</f>
        <v>3.3</v>
      </c>
      <c r="H252" s="0" t="n">
        <f aca="false">dummy_variables!O249</f>
        <v>0</v>
      </c>
      <c r="I252" s="0" t="n">
        <f aca="false">dummy_variables!P249</f>
        <v>0</v>
      </c>
      <c r="J252" s="0" t="n">
        <f aca="false">dummy_variables!Q249</f>
        <v>0</v>
      </c>
      <c r="K252" s="0" t="n">
        <f aca="false">dummy_variables!R249</f>
        <v>0</v>
      </c>
      <c r="L252" s="0" t="n">
        <f aca="false">dummy_variables!S249</f>
        <v>0</v>
      </c>
      <c r="M252" s="0" t="n">
        <f aca="false">dummy_variables!T249</f>
        <v>0</v>
      </c>
      <c r="N252" s="0" t="n">
        <f aca="false">dummy_variables!M249</f>
        <v>679888.74</v>
      </c>
    </row>
    <row r="253" customFormat="false" ht="15" hidden="false" customHeight="false" outlineLevel="0" collapsed="false">
      <c r="A253" s="0" t="n">
        <f aca="false">dummy_variables!E250</f>
        <v>40923.67</v>
      </c>
      <c r="B253" s="0" t="n">
        <f aca="false">dummy_variables!F250</f>
        <v>3875</v>
      </c>
      <c r="C253" s="0" t="n">
        <f aca="false">dummy_variables!G250</f>
        <v>0.15</v>
      </c>
      <c r="D253" s="0" t="n">
        <f aca="false">dummy_variables!I250</f>
        <v>96.1</v>
      </c>
      <c r="E253" s="0" t="n">
        <f aca="false">dummy_variables!J250</f>
        <v>3.365</v>
      </c>
      <c r="F253" s="0" t="n">
        <f aca="false">dummy_variables!K250</f>
        <v>0</v>
      </c>
      <c r="G253" s="0" t="n">
        <f aca="false">dummy_variables!L250</f>
        <v>3.8</v>
      </c>
      <c r="H253" s="0" t="n">
        <f aca="false">dummy_variables!O250</f>
        <v>1</v>
      </c>
      <c r="I253" s="0" t="n">
        <f aca="false">dummy_variables!P250</f>
        <v>0</v>
      </c>
      <c r="J253" s="0" t="n">
        <f aca="false">dummy_variables!Q250</f>
        <v>0</v>
      </c>
      <c r="K253" s="0" t="n">
        <f aca="false">dummy_variables!R250</f>
        <v>0</v>
      </c>
      <c r="L253" s="0" t="n">
        <f aca="false">dummy_variables!S250</f>
        <v>0</v>
      </c>
      <c r="M253" s="0" t="n">
        <f aca="false">dummy_variables!T250</f>
        <v>0</v>
      </c>
      <c r="N253" s="0" t="n">
        <f aca="false">dummy_variables!M250</f>
        <v>606783.67</v>
      </c>
    </row>
    <row r="254" customFormat="false" ht="15" hidden="false" customHeight="false" outlineLevel="0" collapsed="false">
      <c r="A254" s="0" t="n">
        <f aca="false">dummy_variables!E251</f>
        <v>72932.55</v>
      </c>
      <c r="B254" s="0" t="n">
        <f aca="false">dummy_variables!F251</f>
        <v>5765</v>
      </c>
      <c r="C254" s="0" t="n">
        <f aca="false">dummy_variables!G251</f>
        <v>0.026</v>
      </c>
      <c r="D254" s="0" t="n">
        <f aca="false">dummy_variables!I251</f>
        <v>81.8</v>
      </c>
      <c r="E254" s="0" t="n">
        <f aca="false">dummy_variables!J251</f>
        <v>5.1</v>
      </c>
      <c r="F254" s="0" t="n">
        <f aca="false">dummy_variables!K251</f>
        <v>0</v>
      </c>
      <c r="G254" s="0" t="n">
        <f aca="false">dummy_variables!L251</f>
        <v>3.6</v>
      </c>
      <c r="H254" s="0" t="n">
        <f aca="false">dummy_variables!O251</f>
        <v>1</v>
      </c>
      <c r="I254" s="0" t="n">
        <f aca="false">dummy_variables!P251</f>
        <v>0</v>
      </c>
      <c r="J254" s="0" t="n">
        <f aca="false">dummy_variables!Q251</f>
        <v>0</v>
      </c>
      <c r="K254" s="0" t="n">
        <f aca="false">dummy_variables!R251</f>
        <v>0</v>
      </c>
      <c r="L254" s="0" t="n">
        <f aca="false">dummy_variables!S251</f>
        <v>0</v>
      </c>
      <c r="M254" s="0" t="n">
        <f aca="false">dummy_variables!T251</f>
        <v>0</v>
      </c>
      <c r="N254" s="0" t="n">
        <f aca="false">dummy_variables!M251</f>
        <v>642751.42</v>
      </c>
    </row>
    <row r="255" customFormat="false" ht="15" hidden="false" customHeight="false" outlineLevel="0" collapsed="false">
      <c r="A255" s="0" t="n">
        <f aca="false">dummy_variables!E252</f>
        <v>38361.93</v>
      </c>
      <c r="B255" s="0" t="n">
        <f aca="false">dummy_variables!F252</f>
        <v>6322</v>
      </c>
      <c r="C255" s="0" t="n">
        <f aca="false">dummy_variables!G252</f>
        <v>0.273</v>
      </c>
      <c r="D255" s="0" t="n">
        <f aca="false">dummy_variables!I252</f>
        <v>88.4</v>
      </c>
      <c r="E255" s="0" t="n">
        <f aca="false">dummy_variables!J252</f>
        <v>0.83</v>
      </c>
      <c r="F255" s="0" t="n">
        <f aca="false">dummy_variables!K252</f>
        <v>0</v>
      </c>
      <c r="G255" s="0" t="n">
        <f aca="false">dummy_variables!L252</f>
        <v>4</v>
      </c>
      <c r="H255" s="0" t="n">
        <f aca="false">dummy_variables!O252</f>
        <v>1</v>
      </c>
      <c r="I255" s="0" t="n">
        <f aca="false">dummy_variables!P252</f>
        <v>0</v>
      </c>
      <c r="J255" s="0" t="n">
        <f aca="false">dummy_variables!Q252</f>
        <v>0</v>
      </c>
      <c r="K255" s="0" t="n">
        <f aca="false">dummy_variables!R252</f>
        <v>0</v>
      </c>
      <c r="L255" s="0" t="n">
        <f aca="false">dummy_variables!S252</f>
        <v>0</v>
      </c>
      <c r="M255" s="0" t="n">
        <f aca="false">dummy_variables!T252</f>
        <v>0</v>
      </c>
      <c r="N255" s="0" t="n">
        <f aca="false">dummy_variables!M252</f>
        <v>647953.78</v>
      </c>
    </row>
    <row r="256" customFormat="false" ht="15" hidden="false" customHeight="false" outlineLevel="0" collapsed="false">
      <c r="A256" s="0" t="n">
        <f aca="false">dummy_variables!E253</f>
        <v>97480.94</v>
      </c>
      <c r="B256" s="0" t="n">
        <f aca="false">dummy_variables!F253</f>
        <v>6840</v>
      </c>
      <c r="C256" s="0" t="n">
        <f aca="false">dummy_variables!G253</f>
        <v>0.087</v>
      </c>
      <c r="D256" s="0" t="n">
        <f aca="false">dummy_variables!I253</f>
        <v>79.2</v>
      </c>
      <c r="E256" s="0" t="n">
        <f aca="false">dummy_variables!J253</f>
        <v>1.14</v>
      </c>
      <c r="F256" s="0" t="n">
        <f aca="false">dummy_variables!K253</f>
        <v>0</v>
      </c>
      <c r="G256" s="0" t="n">
        <f aca="false">dummy_variables!L253</f>
        <v>4</v>
      </c>
      <c r="H256" s="0" t="n">
        <f aca="false">dummy_variables!O253</f>
        <v>1</v>
      </c>
      <c r="I256" s="0" t="n">
        <f aca="false">dummy_variables!P253</f>
        <v>0</v>
      </c>
      <c r="J256" s="0" t="n">
        <f aca="false">dummy_variables!Q253</f>
        <v>0</v>
      </c>
      <c r="K256" s="0" t="n">
        <f aca="false">dummy_variables!R253</f>
        <v>0</v>
      </c>
      <c r="L256" s="0" t="n">
        <f aca="false">dummy_variables!S253</f>
        <v>0</v>
      </c>
      <c r="M256" s="0" t="n">
        <f aca="false">dummy_variables!T253</f>
        <v>0</v>
      </c>
      <c r="N256" s="0" t="n">
        <f aca="false">dummy_variables!M253</f>
        <v>729440.45</v>
      </c>
    </row>
    <row r="257" customFormat="false" ht="15" hidden="false" customHeight="false" outlineLevel="0" collapsed="false">
      <c r="A257" s="0" t="n">
        <f aca="false">dummy_variables!E254</f>
        <v>81801.8</v>
      </c>
      <c r="B257" s="0" t="n">
        <f aca="false">dummy_variables!F254</f>
        <v>6782</v>
      </c>
      <c r="C257" s="0" t="n">
        <f aca="false">dummy_variables!G254</f>
        <v>0.05</v>
      </c>
      <c r="D257" s="0" t="n">
        <f aca="false">dummy_variables!I254</f>
        <v>99</v>
      </c>
      <c r="E257" s="0" t="n">
        <f aca="false">dummy_variables!J254</f>
        <v>9.54</v>
      </c>
      <c r="F257" s="0" t="n">
        <f aca="false">dummy_variables!K254</f>
        <v>0</v>
      </c>
      <c r="G257" s="0" t="n">
        <f aca="false">dummy_variables!L254</f>
        <v>3.7</v>
      </c>
      <c r="H257" s="0" t="n">
        <f aca="false">dummy_variables!O254</f>
        <v>0</v>
      </c>
      <c r="I257" s="0" t="n">
        <f aca="false">dummy_variables!P254</f>
        <v>1</v>
      </c>
      <c r="J257" s="0" t="n">
        <f aca="false">dummy_variables!Q254</f>
        <v>0</v>
      </c>
      <c r="K257" s="0" t="n">
        <f aca="false">dummy_variables!R254</f>
        <v>1</v>
      </c>
      <c r="L257" s="0" t="n">
        <f aca="false">dummy_variables!S254</f>
        <v>0</v>
      </c>
      <c r="M257" s="0" t="n">
        <f aca="false">dummy_variables!T254</f>
        <v>0</v>
      </c>
      <c r="N257" s="0" t="n">
        <f aca="false">dummy_variables!M254</f>
        <v>764949</v>
      </c>
    </row>
    <row r="258" customFormat="false" ht="15" hidden="false" customHeight="false" outlineLevel="0" collapsed="false">
      <c r="A258" s="0" t="n">
        <f aca="false">dummy_variables!E255</f>
        <v>63582.11</v>
      </c>
      <c r="B258" s="0" t="n">
        <f aca="false">dummy_variables!F255</f>
        <v>6856</v>
      </c>
      <c r="C258" s="0" t="n">
        <f aca="false">dummy_variables!G255</f>
        <v>0.074</v>
      </c>
      <c r="D258" s="0" t="n">
        <f aca="false">dummy_variables!I255</f>
        <v>89.5</v>
      </c>
      <c r="E258" s="0" t="n">
        <f aca="false">dummy_variables!J255</f>
        <v>5.48</v>
      </c>
      <c r="F258" s="0" t="n">
        <f aca="false">dummy_variables!K255</f>
        <v>0</v>
      </c>
      <c r="G258" s="0" t="n">
        <f aca="false">dummy_variables!L255</f>
        <v>3.2</v>
      </c>
      <c r="H258" s="0" t="n">
        <f aca="false">dummy_variables!O255</f>
        <v>0</v>
      </c>
      <c r="I258" s="0" t="n">
        <f aca="false">dummy_variables!P255</f>
        <v>1</v>
      </c>
      <c r="J258" s="0" t="n">
        <f aca="false">dummy_variables!Q255</f>
        <v>0</v>
      </c>
      <c r="K258" s="0" t="n">
        <f aca="false">dummy_variables!R255</f>
        <v>1</v>
      </c>
      <c r="L258" s="0" t="n">
        <f aca="false">dummy_variables!S255</f>
        <v>0</v>
      </c>
      <c r="M258" s="0" t="n">
        <f aca="false">dummy_variables!T255</f>
        <v>0</v>
      </c>
      <c r="N258" s="0" t="n">
        <f aca="false">dummy_variables!M255</f>
        <v>799046.94</v>
      </c>
    </row>
    <row r="259" customFormat="false" ht="15" hidden="false" customHeight="false" outlineLevel="0" collapsed="false">
      <c r="A259" s="0" t="n">
        <f aca="false">dummy_variables!E256</f>
        <v>75412.74</v>
      </c>
      <c r="B259" s="0" t="n">
        <f aca="false">dummy_variables!F256</f>
        <v>5641</v>
      </c>
      <c r="C259" s="0" t="n">
        <f aca="false">dummy_variables!G256</f>
        <v>0.059</v>
      </c>
      <c r="D259" s="0" t="n">
        <f aca="false">dummy_variables!I256</f>
        <v>87.9</v>
      </c>
      <c r="E259" s="0" t="n">
        <f aca="false">dummy_variables!J256</f>
        <v>0.84</v>
      </c>
      <c r="F259" s="0" t="n">
        <f aca="false">dummy_variables!K256</f>
        <v>0</v>
      </c>
      <c r="G259" s="0" t="n">
        <f aca="false">dummy_variables!L256</f>
        <v>3.6</v>
      </c>
      <c r="H259" s="0" t="n">
        <f aca="false">dummy_variables!O256</f>
        <v>0</v>
      </c>
      <c r="I259" s="0" t="n">
        <f aca="false">dummy_variables!P256</f>
        <v>1</v>
      </c>
      <c r="J259" s="0" t="n">
        <f aca="false">dummy_variables!Q256</f>
        <v>0</v>
      </c>
      <c r="K259" s="0" t="n">
        <f aca="false">dummy_variables!R256</f>
        <v>1</v>
      </c>
      <c r="L259" s="0" t="n">
        <f aca="false">dummy_variables!S256</f>
        <v>0</v>
      </c>
      <c r="M259" s="0" t="n">
        <f aca="false">dummy_variables!T256</f>
        <v>0</v>
      </c>
      <c r="N259" s="0" t="n">
        <f aca="false">dummy_variables!M256</f>
        <v>720079.54</v>
      </c>
    </row>
    <row r="260" customFormat="false" ht="15" hidden="false" customHeight="false" outlineLevel="0" collapsed="false">
      <c r="A260" s="0" t="n">
        <f aca="false">dummy_variables!E257</f>
        <v>36290.08</v>
      </c>
      <c r="B260" s="0" t="n">
        <f aca="false">dummy_variables!F257</f>
        <v>5787</v>
      </c>
      <c r="C260" s="0" t="n">
        <f aca="false">dummy_variables!G257</f>
        <v>0</v>
      </c>
      <c r="D260" s="0" t="n">
        <f aca="false">dummy_variables!I257</f>
        <v>88.3</v>
      </c>
      <c r="E260" s="0" t="n">
        <f aca="false">dummy_variables!J257</f>
        <v>4.19</v>
      </c>
      <c r="F260" s="0" t="n">
        <f aca="false">dummy_variables!K257</f>
        <v>0</v>
      </c>
      <c r="G260" s="0" t="n">
        <f aca="false">dummy_variables!L257</f>
        <v>4.1</v>
      </c>
      <c r="H260" s="0" t="n">
        <f aca="false">dummy_variables!O257</f>
        <v>0</v>
      </c>
      <c r="I260" s="0" t="n">
        <f aca="false">dummy_variables!P257</f>
        <v>1</v>
      </c>
      <c r="J260" s="0" t="n">
        <f aca="false">dummy_variables!Q257</f>
        <v>0</v>
      </c>
      <c r="K260" s="0" t="n">
        <f aca="false">dummy_variables!R257</f>
        <v>1</v>
      </c>
      <c r="L260" s="0" t="n">
        <f aca="false">dummy_variables!S257</f>
        <v>0</v>
      </c>
      <c r="M260" s="0" t="n">
        <f aca="false">dummy_variables!T257</f>
        <v>0</v>
      </c>
      <c r="N260" s="0" t="n">
        <f aca="false">dummy_variables!M257</f>
        <v>612390.14</v>
      </c>
    </row>
    <row r="261" customFormat="false" ht="15" hidden="false" customHeight="false" outlineLevel="0" collapsed="false">
      <c r="A261" s="0" t="n">
        <f aca="false">dummy_variables!E258</f>
        <v>65272.58</v>
      </c>
      <c r="B261" s="0" t="n">
        <f aca="false">dummy_variables!F258</f>
        <v>8165</v>
      </c>
      <c r="C261" s="0" t="n">
        <f aca="false">dummy_variables!G258</f>
        <v>0.051</v>
      </c>
      <c r="D261" s="0" t="n">
        <f aca="false">dummy_variables!I258</f>
        <v>87.8</v>
      </c>
      <c r="E261" s="0" t="n">
        <f aca="false">dummy_variables!J258</f>
        <v>1.26</v>
      </c>
      <c r="F261" s="0" t="n">
        <f aca="false">dummy_variables!K258</f>
        <v>1</v>
      </c>
      <c r="G261" s="0" t="n">
        <f aca="false">dummy_variables!L258</f>
        <v>4.3</v>
      </c>
      <c r="H261" s="0" t="n">
        <f aca="false">dummy_variables!O258</f>
        <v>0</v>
      </c>
      <c r="I261" s="0" t="n">
        <f aca="false">dummy_variables!P258</f>
        <v>1</v>
      </c>
      <c r="J261" s="0" t="n">
        <f aca="false">dummy_variables!Q258</f>
        <v>0</v>
      </c>
      <c r="K261" s="0" t="n">
        <f aca="false">dummy_variables!R258</f>
        <v>0</v>
      </c>
      <c r="L261" s="0" t="n">
        <f aca="false">dummy_variables!S258</f>
        <v>1</v>
      </c>
      <c r="M261" s="0" t="n">
        <f aca="false">dummy_variables!T258</f>
        <v>0</v>
      </c>
      <c r="N261" s="0" t="n">
        <f aca="false">dummy_variables!M258</f>
        <v>840108.12</v>
      </c>
    </row>
    <row r="262" customFormat="false" ht="15" hidden="false" customHeight="false" outlineLevel="0" collapsed="false">
      <c r="A262" s="0" t="n">
        <f aca="false">dummy_variables!E259</f>
        <v>28670.43</v>
      </c>
      <c r="B262" s="0" t="n">
        <f aca="false">dummy_variables!F259</f>
        <v>7574</v>
      </c>
      <c r="C262" s="0" t="n">
        <f aca="false">dummy_variables!G259</f>
        <v>0.114</v>
      </c>
      <c r="D262" s="0" t="n">
        <f aca="false">dummy_variables!I259</f>
        <v>82.7</v>
      </c>
      <c r="E262" s="0" t="n">
        <f aca="false">dummy_variables!J259</f>
        <v>2.74</v>
      </c>
      <c r="F262" s="0" t="n">
        <f aca="false">dummy_variables!K259</f>
        <v>0</v>
      </c>
      <c r="G262" s="0" t="n">
        <f aca="false">dummy_variables!L259</f>
        <v>4.6</v>
      </c>
      <c r="H262" s="0" t="n">
        <f aca="false">dummy_variables!O259</f>
        <v>0</v>
      </c>
      <c r="I262" s="0" t="n">
        <f aca="false">dummy_variables!P259</f>
        <v>1</v>
      </c>
      <c r="J262" s="0" t="n">
        <f aca="false">dummy_variables!Q259</f>
        <v>0</v>
      </c>
      <c r="K262" s="0" t="n">
        <f aca="false">dummy_variables!R259</f>
        <v>0</v>
      </c>
      <c r="L262" s="0" t="n">
        <f aca="false">dummy_variables!S259</f>
        <v>1</v>
      </c>
      <c r="M262" s="0" t="n">
        <f aca="false">dummy_variables!T259</f>
        <v>0</v>
      </c>
      <c r="N262" s="0" t="n">
        <f aca="false">dummy_variables!M259</f>
        <v>697888.09</v>
      </c>
    </row>
    <row r="263" customFormat="false" ht="15" hidden="false" customHeight="false" outlineLevel="0" collapsed="false">
      <c r="A263" s="0" t="n">
        <f aca="false">dummy_variables!E260</f>
        <v>44189.34</v>
      </c>
      <c r="B263" s="0" t="n">
        <f aca="false">dummy_variables!F260</f>
        <v>8634</v>
      </c>
      <c r="C263" s="0" t="n">
        <f aca="false">dummy_variables!G260</f>
        <v>0.143</v>
      </c>
      <c r="D263" s="0" t="n">
        <f aca="false">dummy_variables!I260</f>
        <v>87.5</v>
      </c>
      <c r="E263" s="0" t="n">
        <f aca="false">dummy_variables!J260</f>
        <v>3.69</v>
      </c>
      <c r="F263" s="0" t="n">
        <f aca="false">dummy_variables!K260</f>
        <v>0</v>
      </c>
      <c r="G263" s="0" t="n">
        <f aca="false">dummy_variables!L260</f>
        <v>4.4</v>
      </c>
      <c r="H263" s="0" t="n">
        <f aca="false">dummy_variables!O260</f>
        <v>0</v>
      </c>
      <c r="I263" s="0" t="n">
        <f aca="false">dummy_variables!P260</f>
        <v>1</v>
      </c>
      <c r="J263" s="0" t="n">
        <f aca="false">dummy_variables!Q260</f>
        <v>0</v>
      </c>
      <c r="K263" s="0" t="n">
        <f aca="false">dummy_variables!R260</f>
        <v>0</v>
      </c>
      <c r="L263" s="0" t="n">
        <f aca="false">dummy_variables!S260</f>
        <v>1</v>
      </c>
      <c r="M263" s="0" t="n">
        <f aca="false">dummy_variables!T260</f>
        <v>0</v>
      </c>
      <c r="N263" s="0" t="n">
        <f aca="false">dummy_variables!M260</f>
        <v>746115.59</v>
      </c>
    </row>
    <row r="264" customFormat="false" ht="15" hidden="false" customHeight="false" outlineLevel="0" collapsed="false">
      <c r="A264" s="0" t="n">
        <f aca="false">dummy_variables!E261</f>
        <v>38397.82</v>
      </c>
      <c r="B264" s="0" t="n">
        <f aca="false">dummy_variables!F261</f>
        <v>7836</v>
      </c>
      <c r="C264" s="0" t="n">
        <f aca="false">dummy_variables!G261</f>
        <v>0.007</v>
      </c>
      <c r="D264" s="0" t="n">
        <f aca="false">dummy_variables!I261</f>
        <v>92.2</v>
      </c>
      <c r="E264" s="0" t="n">
        <f aca="false">dummy_variables!J261</f>
        <v>1.82</v>
      </c>
      <c r="F264" s="0" t="n">
        <f aca="false">dummy_variables!K261</f>
        <v>0</v>
      </c>
      <c r="G264" s="0" t="n">
        <f aca="false">dummy_variables!L261</f>
        <v>3.6</v>
      </c>
      <c r="H264" s="0" t="n">
        <f aca="false">dummy_variables!O261</f>
        <v>0</v>
      </c>
      <c r="I264" s="0" t="n">
        <f aca="false">dummy_variables!P261</f>
        <v>1</v>
      </c>
      <c r="J264" s="0" t="n">
        <f aca="false">dummy_variables!Q261</f>
        <v>0</v>
      </c>
      <c r="K264" s="0" t="n">
        <f aca="false">dummy_variables!R261</f>
        <v>0</v>
      </c>
      <c r="L264" s="0" t="n">
        <f aca="false">dummy_variables!S261</f>
        <v>1</v>
      </c>
      <c r="M264" s="0" t="n">
        <f aca="false">dummy_variables!T261</f>
        <v>0</v>
      </c>
      <c r="N264" s="0" t="n">
        <f aca="false">dummy_variables!M261</f>
        <v>776110.32</v>
      </c>
    </row>
    <row r="265" customFormat="false" ht="15" hidden="false" customHeight="false" outlineLevel="0" collapsed="false">
      <c r="A265" s="0" t="n">
        <f aca="false">dummy_variables!E262</f>
        <v>14519.37</v>
      </c>
      <c r="B265" s="0" t="n">
        <f aca="false">dummy_variables!F262</f>
        <v>3047</v>
      </c>
      <c r="C265" s="0" t="n">
        <f aca="false">dummy_variables!G262</f>
        <v>0.135</v>
      </c>
      <c r="D265" s="0" t="n">
        <f aca="false">dummy_variables!I262</f>
        <v>90.3</v>
      </c>
      <c r="E265" s="0" t="n">
        <f aca="false">dummy_variables!J262</f>
        <v>6.62</v>
      </c>
      <c r="F265" s="0" t="n">
        <f aca="false">dummy_variables!K262</f>
        <v>0</v>
      </c>
      <c r="G265" s="0" t="n">
        <f aca="false">dummy_variables!L262</f>
        <v>4.2</v>
      </c>
      <c r="H265" s="0" t="n">
        <f aca="false">dummy_variables!O262</f>
        <v>0</v>
      </c>
      <c r="I265" s="0" t="n">
        <f aca="false">dummy_variables!P262</f>
        <v>0</v>
      </c>
      <c r="J265" s="0" t="n">
        <f aca="false">dummy_variables!Q262</f>
        <v>1</v>
      </c>
      <c r="K265" s="0" t="n">
        <f aca="false">dummy_variables!R262</f>
        <v>0</v>
      </c>
      <c r="L265" s="0" t="n">
        <f aca="false">dummy_variables!S262</f>
        <v>0</v>
      </c>
      <c r="M265" s="0" t="n">
        <f aca="false">dummy_variables!T262</f>
        <v>0</v>
      </c>
      <c r="N265" s="0" t="n">
        <f aca="false">dummy_variables!M262</f>
        <v>528852.62</v>
      </c>
    </row>
    <row r="266" customFormat="false" ht="15" hidden="false" customHeight="false" outlineLevel="0" collapsed="false">
      <c r="A266" s="0" t="n">
        <f aca="false">dummy_variables!E263</f>
        <v>43288.2</v>
      </c>
      <c r="B266" s="0" t="n">
        <f aca="false">dummy_variables!F263</f>
        <v>4783</v>
      </c>
      <c r="C266" s="0" t="n">
        <f aca="false">dummy_variables!G263</f>
        <v>0.169</v>
      </c>
      <c r="D266" s="0" t="n">
        <f aca="false">dummy_variables!I263</f>
        <v>87.3</v>
      </c>
      <c r="E266" s="0" t="n">
        <f aca="false">dummy_variables!J263</f>
        <v>3.365</v>
      </c>
      <c r="F266" s="0" t="n">
        <f aca="false">dummy_variables!K263</f>
        <v>0</v>
      </c>
      <c r="G266" s="0" t="n">
        <f aca="false">dummy_variables!L263</f>
        <v>4.2</v>
      </c>
      <c r="H266" s="0" t="n">
        <f aca="false">dummy_variables!O263</f>
        <v>0</v>
      </c>
      <c r="I266" s="0" t="n">
        <f aca="false">dummy_variables!P263</f>
        <v>0</v>
      </c>
      <c r="J266" s="0" t="n">
        <f aca="false">dummy_variables!Q263</f>
        <v>1</v>
      </c>
      <c r="K266" s="0" t="n">
        <f aca="false">dummy_variables!R263</f>
        <v>0</v>
      </c>
      <c r="L266" s="0" t="n">
        <f aca="false">dummy_variables!S263</f>
        <v>0</v>
      </c>
      <c r="M266" s="0" t="n">
        <f aca="false">dummy_variables!T263</f>
        <v>0</v>
      </c>
      <c r="N266" s="0" t="n">
        <f aca="false">dummy_variables!M263</f>
        <v>605751.33</v>
      </c>
    </row>
    <row r="267" customFormat="false" ht="15" hidden="false" customHeight="false" outlineLevel="0" collapsed="false">
      <c r="A267" s="0" t="n">
        <f aca="false">dummy_variables!E264</f>
        <v>51450.55</v>
      </c>
      <c r="B267" s="0" t="n">
        <f aca="false">dummy_variables!F264</f>
        <v>4902</v>
      </c>
      <c r="C267" s="0" t="n">
        <f aca="false">dummy_variables!G264</f>
        <v>0.086</v>
      </c>
      <c r="D267" s="0" t="n">
        <f aca="false">dummy_variables!I264</f>
        <v>83.7</v>
      </c>
      <c r="E267" s="0" t="n">
        <f aca="false">dummy_variables!J264</f>
        <v>6.92</v>
      </c>
      <c r="F267" s="0" t="n">
        <f aca="false">dummy_variables!K264</f>
        <v>1</v>
      </c>
      <c r="G267" s="0" t="n">
        <f aca="false">dummy_variables!L264</f>
        <v>4.2</v>
      </c>
      <c r="H267" s="0" t="n">
        <f aca="false">dummy_variables!O264</f>
        <v>0</v>
      </c>
      <c r="I267" s="0" t="n">
        <f aca="false">dummy_variables!P264</f>
        <v>0</v>
      </c>
      <c r="J267" s="0" t="n">
        <f aca="false">dummy_variables!Q264</f>
        <v>1</v>
      </c>
      <c r="K267" s="0" t="n">
        <f aca="false">dummy_variables!R264</f>
        <v>0</v>
      </c>
      <c r="L267" s="0" t="n">
        <f aca="false">dummy_variables!S264</f>
        <v>0</v>
      </c>
      <c r="M267" s="0" t="n">
        <f aca="false">dummy_variables!T264</f>
        <v>0</v>
      </c>
      <c r="N267" s="0" t="n">
        <f aca="false">dummy_variables!M264</f>
        <v>677640.65</v>
      </c>
    </row>
    <row r="268" customFormat="false" ht="15" hidden="false" customHeight="false" outlineLevel="0" collapsed="false">
      <c r="A268" s="0" t="n">
        <f aca="false">dummy_variables!E265</f>
        <v>58688.26</v>
      </c>
      <c r="B268" s="0" t="n">
        <f aca="false">dummy_variables!F265</f>
        <v>4022</v>
      </c>
      <c r="C268" s="0" t="n">
        <f aca="false">dummy_variables!G265</f>
        <v>0.217</v>
      </c>
      <c r="D268" s="0" t="n">
        <f aca="false">dummy_variables!I265</f>
        <v>93.8</v>
      </c>
      <c r="E268" s="0" t="n">
        <f aca="false">dummy_variables!J265</f>
        <v>11.78</v>
      </c>
      <c r="F268" s="0" t="n">
        <f aca="false">dummy_variables!K265</f>
        <v>0</v>
      </c>
      <c r="G268" s="0" t="n">
        <f aca="false">dummy_variables!L265</f>
        <v>3.7</v>
      </c>
      <c r="H268" s="0" t="n">
        <f aca="false">dummy_variables!O265</f>
        <v>0</v>
      </c>
      <c r="I268" s="0" t="n">
        <f aca="false">dummy_variables!P265</f>
        <v>0</v>
      </c>
      <c r="J268" s="0" t="n">
        <f aca="false">dummy_variables!Q265</f>
        <v>1</v>
      </c>
      <c r="K268" s="0" t="n">
        <f aca="false">dummy_variables!R265</f>
        <v>0</v>
      </c>
      <c r="L268" s="0" t="n">
        <f aca="false">dummy_variables!S265</f>
        <v>0</v>
      </c>
      <c r="M268" s="0" t="n">
        <f aca="false">dummy_variables!T265</f>
        <v>0</v>
      </c>
      <c r="N268" s="0" t="n">
        <f aca="false">dummy_variables!M265</f>
        <v>636613.23</v>
      </c>
    </row>
    <row r="269" customFormat="false" ht="15" hidden="false" customHeight="false" outlineLevel="0" collapsed="false">
      <c r="A269" s="0" t="n">
        <f aca="false">dummy_variables!E266</f>
        <v>58981.91</v>
      </c>
      <c r="B269" s="0" t="n">
        <f aca="false">dummy_variables!F266</f>
        <v>7324</v>
      </c>
      <c r="C269" s="0" t="n">
        <f aca="false">dummy_variables!G266</f>
        <v>0.094</v>
      </c>
      <c r="D269" s="0" t="n">
        <f aca="false">dummy_variables!I266</f>
        <v>95.8</v>
      </c>
      <c r="E269" s="0" t="n">
        <f aca="false">dummy_variables!J266</f>
        <v>0.5</v>
      </c>
      <c r="F269" s="0" t="n">
        <f aca="false">dummy_variables!K266</f>
        <v>0</v>
      </c>
      <c r="G269" s="0" t="n">
        <f aca="false">dummy_variables!L266</f>
        <v>3.5</v>
      </c>
      <c r="H269" s="0" t="n">
        <f aca="false">dummy_variables!O266</f>
        <v>0</v>
      </c>
      <c r="I269" s="0" t="n">
        <f aca="false">dummy_variables!P266</f>
        <v>0</v>
      </c>
      <c r="J269" s="0" t="n">
        <f aca="false">dummy_variables!Q266</f>
        <v>0</v>
      </c>
      <c r="K269" s="0" t="n">
        <f aca="false">dummy_variables!R266</f>
        <v>0</v>
      </c>
      <c r="L269" s="0" t="n">
        <f aca="false">dummy_variables!S266</f>
        <v>0</v>
      </c>
      <c r="M269" s="0" t="n">
        <f aca="false">dummy_variables!T266</f>
        <v>0</v>
      </c>
      <c r="N269" s="0" t="n">
        <f aca="false">dummy_variables!M266</f>
        <v>708985.19</v>
      </c>
    </row>
    <row r="270" customFormat="false" ht="15" hidden="false" customHeight="false" outlineLevel="0" collapsed="false">
      <c r="A270" s="0" t="n">
        <f aca="false">dummy_variables!E267</f>
        <v>73454.54</v>
      </c>
      <c r="B270" s="0" t="n">
        <f aca="false">dummy_variables!F267</f>
        <v>8129</v>
      </c>
      <c r="C270" s="0" t="n">
        <f aca="false">dummy_variables!G267</f>
        <v>0.211</v>
      </c>
      <c r="D270" s="0" t="n">
        <f aca="false">dummy_variables!I267</f>
        <v>85.2</v>
      </c>
      <c r="E270" s="0" t="n">
        <f aca="false">dummy_variables!J267</f>
        <v>0.88</v>
      </c>
      <c r="F270" s="0" t="n">
        <f aca="false">dummy_variables!K267</f>
        <v>0</v>
      </c>
      <c r="G270" s="0" t="n">
        <f aca="false">dummy_variables!L267</f>
        <v>3.7</v>
      </c>
      <c r="H270" s="0" t="n">
        <f aca="false">dummy_variables!O267</f>
        <v>0</v>
      </c>
      <c r="I270" s="0" t="n">
        <f aca="false">dummy_variables!P267</f>
        <v>0</v>
      </c>
      <c r="J270" s="0" t="n">
        <f aca="false">dummy_variables!Q267</f>
        <v>0</v>
      </c>
      <c r="K270" s="0" t="n">
        <f aca="false">dummy_variables!R267</f>
        <v>0</v>
      </c>
      <c r="L270" s="0" t="n">
        <f aca="false">dummy_variables!S267</f>
        <v>0</v>
      </c>
      <c r="M270" s="0" t="n">
        <f aca="false">dummy_variables!T267</f>
        <v>0</v>
      </c>
      <c r="N270" s="0" t="n">
        <f aca="false">dummy_variables!M267</f>
        <v>767792.94</v>
      </c>
    </row>
    <row r="271" customFormat="false" ht="15" hidden="false" customHeight="false" outlineLevel="0" collapsed="false">
      <c r="A271" s="0" t="n">
        <f aca="false">dummy_variables!E268</f>
        <v>56602.39</v>
      </c>
      <c r="B271" s="0" t="n">
        <f aca="false">dummy_variables!F268</f>
        <v>7969</v>
      </c>
      <c r="C271" s="0" t="n">
        <f aca="false">dummy_variables!G268</f>
        <v>0.17</v>
      </c>
      <c r="D271" s="0" t="n">
        <f aca="false">dummy_variables!I268</f>
        <v>88.3</v>
      </c>
      <c r="E271" s="0" t="n">
        <f aca="false">dummy_variables!J268</f>
        <v>2.25</v>
      </c>
      <c r="F271" s="0" t="n">
        <f aca="false">dummy_variables!K268</f>
        <v>0</v>
      </c>
      <c r="G271" s="0" t="n">
        <f aca="false">dummy_variables!L268</f>
        <v>3.7</v>
      </c>
      <c r="H271" s="0" t="n">
        <f aca="false">dummy_variables!O268</f>
        <v>0</v>
      </c>
      <c r="I271" s="0" t="n">
        <f aca="false">dummy_variables!P268</f>
        <v>0</v>
      </c>
      <c r="J271" s="0" t="n">
        <f aca="false">dummy_variables!Q268</f>
        <v>0</v>
      </c>
      <c r="K271" s="0" t="n">
        <f aca="false">dummy_variables!R268</f>
        <v>0</v>
      </c>
      <c r="L271" s="0" t="n">
        <f aca="false">dummy_variables!S268</f>
        <v>0</v>
      </c>
      <c r="M271" s="0" t="n">
        <f aca="false">dummy_variables!T268</f>
        <v>0</v>
      </c>
      <c r="N271" s="0" t="n">
        <f aca="false">dummy_variables!M268</f>
        <v>745580.51</v>
      </c>
    </row>
    <row r="272" customFormat="false" ht="15" hidden="false" customHeight="false" outlineLevel="0" collapsed="false">
      <c r="A272" s="0" t="n">
        <f aca="false">dummy_variables!E269</f>
        <v>67722.29</v>
      </c>
      <c r="B272" s="0" t="n">
        <f aca="false">dummy_variables!F269</f>
        <v>7240</v>
      </c>
      <c r="C272" s="0" t="n">
        <f aca="false">dummy_variables!G269</f>
        <v>0.026</v>
      </c>
      <c r="D272" s="0" t="n">
        <f aca="false">dummy_variables!I269</f>
        <v>92.9</v>
      </c>
      <c r="E272" s="0" t="n">
        <f aca="false">dummy_variables!J269</f>
        <v>0.29</v>
      </c>
      <c r="F272" s="0" t="n">
        <f aca="false">dummy_variables!K269</f>
        <v>0</v>
      </c>
      <c r="G272" s="0" t="n">
        <f aca="false">dummy_variables!L269</f>
        <v>3.5</v>
      </c>
      <c r="H272" s="0" t="n">
        <f aca="false">dummy_variables!O269</f>
        <v>0</v>
      </c>
      <c r="I272" s="0" t="n">
        <f aca="false">dummy_variables!P269</f>
        <v>0</v>
      </c>
      <c r="J272" s="0" t="n">
        <f aca="false">dummy_variables!Q269</f>
        <v>0</v>
      </c>
      <c r="K272" s="0" t="n">
        <f aca="false">dummy_variables!R269</f>
        <v>0</v>
      </c>
      <c r="L272" s="0" t="n">
        <f aca="false">dummy_variables!S269</f>
        <v>0</v>
      </c>
      <c r="M272" s="0" t="n">
        <f aca="false">dummy_variables!T269</f>
        <v>0</v>
      </c>
      <c r="N272" s="0" t="n">
        <f aca="false">dummy_variables!M269</f>
        <v>762328.31</v>
      </c>
    </row>
    <row r="273" customFormat="false" ht="15" hidden="false" customHeight="false" outlineLevel="0" collapsed="false">
      <c r="A273" s="0" t="n">
        <f aca="false">dummy_variables!E270</f>
        <v>48752.92</v>
      </c>
      <c r="B273" s="0" t="n">
        <f aca="false">dummy_variables!F270</f>
        <v>8052</v>
      </c>
      <c r="C273" s="0" t="n">
        <f aca="false">dummy_variables!G270</f>
        <v>0.106</v>
      </c>
      <c r="D273" s="0" t="n">
        <f aca="false">dummy_variables!I270</f>
        <v>94.9</v>
      </c>
      <c r="E273" s="0" t="n">
        <f aca="false">dummy_variables!J270</f>
        <v>0.65</v>
      </c>
      <c r="F273" s="0" t="n">
        <f aca="false">dummy_variables!K270</f>
        <v>0</v>
      </c>
      <c r="G273" s="0" t="n">
        <f aca="false">dummy_variables!L270</f>
        <v>3.6</v>
      </c>
      <c r="H273" s="0" t="n">
        <f aca="false">dummy_variables!O270</f>
        <v>0</v>
      </c>
      <c r="I273" s="0" t="n">
        <f aca="false">dummy_variables!P270</f>
        <v>0</v>
      </c>
      <c r="J273" s="0" t="n">
        <f aca="false">dummy_variables!Q270</f>
        <v>0</v>
      </c>
      <c r="K273" s="0" t="n">
        <f aca="false">dummy_variables!R270</f>
        <v>0</v>
      </c>
      <c r="L273" s="0" t="n">
        <f aca="false">dummy_variables!S270</f>
        <v>1</v>
      </c>
      <c r="M273" s="0" t="n">
        <f aca="false">dummy_variables!T270</f>
        <v>0</v>
      </c>
      <c r="N273" s="0" t="n">
        <f aca="false">dummy_variables!M270</f>
        <v>660633.99</v>
      </c>
    </row>
    <row r="274" customFormat="false" ht="15" hidden="false" customHeight="false" outlineLevel="0" collapsed="false">
      <c r="A274" s="0" t="n">
        <f aca="false">dummy_variables!E271</f>
        <v>23914.97</v>
      </c>
      <c r="B274" s="0" t="n">
        <f aca="false">dummy_variables!F271</f>
        <v>8018</v>
      </c>
      <c r="C274" s="0" t="n">
        <f aca="false">dummy_variables!G271</f>
        <v>0.139</v>
      </c>
      <c r="D274" s="0" t="n">
        <f aca="false">dummy_variables!I271</f>
        <v>89</v>
      </c>
      <c r="E274" s="0" t="n">
        <f aca="false">dummy_variables!J271</f>
        <v>0.2</v>
      </c>
      <c r="F274" s="0" t="n">
        <f aca="false">dummy_variables!K271</f>
        <v>0</v>
      </c>
      <c r="G274" s="0" t="n">
        <f aca="false">dummy_variables!L271</f>
        <v>3.5</v>
      </c>
      <c r="H274" s="0" t="n">
        <f aca="false">dummy_variables!O271</f>
        <v>0</v>
      </c>
      <c r="I274" s="0" t="n">
        <f aca="false">dummy_variables!P271</f>
        <v>0</v>
      </c>
      <c r="J274" s="0" t="n">
        <f aca="false">dummy_variables!Q271</f>
        <v>0</v>
      </c>
      <c r="K274" s="0" t="n">
        <f aca="false">dummy_variables!R271</f>
        <v>0</v>
      </c>
      <c r="L274" s="0" t="n">
        <f aca="false">dummy_variables!S271</f>
        <v>1</v>
      </c>
      <c r="M274" s="0" t="n">
        <f aca="false">dummy_variables!T271</f>
        <v>0</v>
      </c>
      <c r="N274" s="0" t="n">
        <f aca="false">dummy_variables!M271</f>
        <v>739374.56</v>
      </c>
    </row>
    <row r="275" customFormat="false" ht="15" hidden="false" customHeight="false" outlineLevel="0" collapsed="false">
      <c r="A275" s="0" t="n">
        <f aca="false">dummy_variables!E272</f>
        <v>61995.3</v>
      </c>
      <c r="B275" s="0" t="n">
        <f aca="false">dummy_variables!F272</f>
        <v>10192</v>
      </c>
      <c r="C275" s="0" t="n">
        <f aca="false">dummy_variables!G272</f>
        <v>0.198</v>
      </c>
      <c r="D275" s="0" t="n">
        <f aca="false">dummy_variables!I272</f>
        <v>87.6</v>
      </c>
      <c r="E275" s="0" t="n">
        <f aca="false">dummy_variables!J272</f>
        <v>3.63</v>
      </c>
      <c r="F275" s="0" t="n">
        <f aca="false">dummy_variables!K272</f>
        <v>1</v>
      </c>
      <c r="G275" s="0" t="n">
        <f aca="false">dummy_variables!L272</f>
        <v>3.8</v>
      </c>
      <c r="H275" s="0" t="n">
        <f aca="false">dummy_variables!O272</f>
        <v>0</v>
      </c>
      <c r="I275" s="0" t="n">
        <f aca="false">dummy_variables!P272</f>
        <v>0</v>
      </c>
      <c r="J275" s="0" t="n">
        <f aca="false">dummy_variables!Q272</f>
        <v>0</v>
      </c>
      <c r="K275" s="0" t="n">
        <f aca="false">dummy_variables!R272</f>
        <v>0</v>
      </c>
      <c r="L275" s="0" t="n">
        <f aca="false">dummy_variables!S272</f>
        <v>1</v>
      </c>
      <c r="M275" s="0" t="n">
        <f aca="false">dummy_variables!T272</f>
        <v>0</v>
      </c>
      <c r="N275" s="0" t="n">
        <f aca="false">dummy_variables!M272</f>
        <v>799756.46</v>
      </c>
    </row>
    <row r="276" customFormat="false" ht="15" hidden="false" customHeight="false" outlineLevel="0" collapsed="false">
      <c r="A276" s="0" t="n">
        <f aca="false">dummy_variables!E273</f>
        <v>29344.93</v>
      </c>
      <c r="B276" s="0" t="n">
        <f aca="false">dummy_variables!F273</f>
        <v>7446</v>
      </c>
      <c r="C276" s="0" t="n">
        <f aca="false">dummy_variables!G273</f>
        <v>0.111</v>
      </c>
      <c r="D276" s="0" t="n">
        <f aca="false">dummy_variables!I273</f>
        <v>86.2</v>
      </c>
      <c r="E276" s="0" t="n">
        <f aca="false">dummy_variables!J273</f>
        <v>0.2</v>
      </c>
      <c r="F276" s="0" t="n">
        <f aca="false">dummy_variables!K273</f>
        <v>0</v>
      </c>
      <c r="G276" s="0" t="n">
        <f aca="false">dummy_variables!L273</f>
        <v>3.2</v>
      </c>
      <c r="H276" s="0" t="n">
        <f aca="false">dummy_variables!O273</f>
        <v>0</v>
      </c>
      <c r="I276" s="0" t="n">
        <f aca="false">dummy_variables!P273</f>
        <v>0</v>
      </c>
      <c r="J276" s="0" t="n">
        <f aca="false">dummy_variables!Q273</f>
        <v>0</v>
      </c>
      <c r="K276" s="0" t="n">
        <f aca="false">dummy_variables!R273</f>
        <v>0</v>
      </c>
      <c r="L276" s="0" t="n">
        <f aca="false">dummy_variables!S273</f>
        <v>1</v>
      </c>
      <c r="M276" s="0" t="n">
        <f aca="false">dummy_variables!T273</f>
        <v>0</v>
      </c>
      <c r="N276" s="0" t="n">
        <f aca="false">dummy_variables!M273</f>
        <v>593343</v>
      </c>
    </row>
    <row r="277" customFormat="false" ht="15" hidden="false" customHeight="false" outlineLevel="0" collapsed="false">
      <c r="A277" s="0" t="n">
        <f aca="false">dummy_variables!E274</f>
        <v>50532.17</v>
      </c>
      <c r="B277" s="0" t="n">
        <f aca="false">dummy_variables!F274</f>
        <v>5689</v>
      </c>
      <c r="C277" s="0" t="n">
        <f aca="false">dummy_variables!G274</f>
        <v>0.052</v>
      </c>
      <c r="D277" s="0" t="n">
        <f aca="false">dummy_variables!I274</f>
        <v>85.6</v>
      </c>
      <c r="E277" s="0" t="n">
        <f aca="false">dummy_variables!J274</f>
        <v>6.23</v>
      </c>
      <c r="F277" s="0" t="n">
        <f aca="false">dummy_variables!K274</f>
        <v>0</v>
      </c>
      <c r="G277" s="0" t="n">
        <f aca="false">dummy_variables!L274</f>
        <v>3.3</v>
      </c>
      <c r="H277" s="0" t="n">
        <f aca="false">dummy_variables!O274</f>
        <v>0</v>
      </c>
      <c r="I277" s="0" t="n">
        <f aca="false">dummy_variables!P274</f>
        <v>0</v>
      </c>
      <c r="J277" s="0" t="n">
        <f aca="false">dummy_variables!Q274</f>
        <v>1</v>
      </c>
      <c r="K277" s="0" t="n">
        <f aca="false">dummy_variables!R274</f>
        <v>0</v>
      </c>
      <c r="L277" s="0" t="n">
        <f aca="false">dummy_variables!S274</f>
        <v>0</v>
      </c>
      <c r="M277" s="0" t="n">
        <f aca="false">dummy_variables!T274</f>
        <v>0</v>
      </c>
      <c r="N277" s="0" t="n">
        <f aca="false">dummy_variables!M274</f>
        <v>645039.97</v>
      </c>
    </row>
    <row r="278" customFormat="false" ht="15" hidden="false" customHeight="false" outlineLevel="0" collapsed="false">
      <c r="A278" s="0" t="n">
        <f aca="false">dummy_variables!E275</f>
        <v>17562.57</v>
      </c>
      <c r="B278" s="0" t="n">
        <f aca="false">dummy_variables!F275</f>
        <v>3326</v>
      </c>
      <c r="C278" s="0" t="n">
        <f aca="false">dummy_variables!G275</f>
        <v>0.153</v>
      </c>
      <c r="D278" s="0" t="n">
        <f aca="false">dummy_variables!I275</f>
        <v>88.1</v>
      </c>
      <c r="E278" s="0" t="n">
        <f aca="false">dummy_variables!J275</f>
        <v>1.04</v>
      </c>
      <c r="F278" s="0" t="n">
        <f aca="false">dummy_variables!K275</f>
        <v>0</v>
      </c>
      <c r="G278" s="0" t="n">
        <f aca="false">dummy_variables!L275</f>
        <v>3.1</v>
      </c>
      <c r="H278" s="0" t="n">
        <f aca="false">dummy_variables!O275</f>
        <v>0</v>
      </c>
      <c r="I278" s="0" t="n">
        <f aca="false">dummy_variables!P275</f>
        <v>0</v>
      </c>
      <c r="J278" s="0" t="n">
        <f aca="false">dummy_variables!Q275</f>
        <v>1</v>
      </c>
      <c r="K278" s="0" t="n">
        <f aca="false">dummy_variables!R275</f>
        <v>0</v>
      </c>
      <c r="L278" s="0" t="n">
        <f aca="false">dummy_variables!S275</f>
        <v>0</v>
      </c>
      <c r="M278" s="0" t="n">
        <f aca="false">dummy_variables!T275</f>
        <v>0</v>
      </c>
      <c r="N278" s="0" t="n">
        <f aca="false">dummy_variables!M275</f>
        <v>561597.33</v>
      </c>
    </row>
    <row r="279" customFormat="false" ht="15" hidden="false" customHeight="false" outlineLevel="0" collapsed="false">
      <c r="A279" s="0" t="n">
        <f aca="false">dummy_variables!E276</f>
        <v>47648.71</v>
      </c>
      <c r="B279" s="0" t="n">
        <f aca="false">dummy_variables!F276</f>
        <v>5767</v>
      </c>
      <c r="C279" s="0" t="n">
        <f aca="false">dummy_variables!G276</f>
        <v>0.141</v>
      </c>
      <c r="D279" s="0" t="n">
        <f aca="false">dummy_variables!I276</f>
        <v>89.8</v>
      </c>
      <c r="E279" s="0" t="n">
        <f aca="false">dummy_variables!J276</f>
        <v>1.76</v>
      </c>
      <c r="F279" s="0" t="n">
        <f aca="false">dummy_variables!K276</f>
        <v>0</v>
      </c>
      <c r="G279" s="0" t="n">
        <f aca="false">dummy_variables!L276</f>
        <v>3.1</v>
      </c>
      <c r="H279" s="0" t="n">
        <f aca="false">dummy_variables!O276</f>
        <v>0</v>
      </c>
      <c r="I279" s="0" t="n">
        <f aca="false">dummy_variables!P276</f>
        <v>0</v>
      </c>
      <c r="J279" s="0" t="n">
        <f aca="false">dummy_variables!Q276</f>
        <v>1</v>
      </c>
      <c r="K279" s="0" t="n">
        <f aca="false">dummy_variables!R276</f>
        <v>0</v>
      </c>
      <c r="L279" s="0" t="n">
        <f aca="false">dummy_variables!S276</f>
        <v>0</v>
      </c>
      <c r="M279" s="0" t="n">
        <f aca="false">dummy_variables!T276</f>
        <v>0</v>
      </c>
      <c r="N279" s="0" t="n">
        <f aca="false">dummy_variables!M276</f>
        <v>635837.74</v>
      </c>
    </row>
    <row r="280" customFormat="false" ht="15" hidden="false" customHeight="false" outlineLevel="0" collapsed="false">
      <c r="A280" s="0" t="n">
        <f aca="false">dummy_variables!E277</f>
        <v>38297.58</v>
      </c>
      <c r="B280" s="0" t="n">
        <f aca="false">dummy_variables!F277</f>
        <v>5893</v>
      </c>
      <c r="C280" s="0" t="n">
        <f aca="false">dummy_variables!G277</f>
        <v>0.247</v>
      </c>
      <c r="D280" s="0" t="n">
        <f aca="false">dummy_variables!I277</f>
        <v>77.6</v>
      </c>
      <c r="E280" s="0" t="n">
        <f aca="false">dummy_variables!J277</f>
        <v>2.86</v>
      </c>
      <c r="F280" s="0" t="n">
        <f aca="false">dummy_variables!K277</f>
        <v>0</v>
      </c>
      <c r="G280" s="0" t="n">
        <f aca="false">dummy_variables!L277</f>
        <v>3</v>
      </c>
      <c r="H280" s="0" t="n">
        <f aca="false">dummy_variables!O277</f>
        <v>0</v>
      </c>
      <c r="I280" s="0" t="n">
        <f aca="false">dummy_variables!P277</f>
        <v>0</v>
      </c>
      <c r="J280" s="0" t="n">
        <f aca="false">dummy_variables!Q277</f>
        <v>1</v>
      </c>
      <c r="K280" s="0" t="n">
        <f aca="false">dummy_variables!R277</f>
        <v>0</v>
      </c>
      <c r="L280" s="0" t="n">
        <f aca="false">dummy_variables!S277</f>
        <v>0</v>
      </c>
      <c r="M280" s="0" t="n">
        <f aca="false">dummy_variables!T277</f>
        <v>0</v>
      </c>
      <c r="N280" s="0" t="n">
        <f aca="false">dummy_variables!M277</f>
        <v>686737.87</v>
      </c>
    </row>
    <row r="281" customFormat="false" ht="15" hidden="false" customHeight="false" outlineLevel="0" collapsed="false">
      <c r="A281" s="0" t="n">
        <f aca="false">dummy_variables!E278</f>
        <v>61784.11</v>
      </c>
      <c r="B281" s="0" t="n">
        <f aca="false">dummy_variables!F278</f>
        <v>8564</v>
      </c>
      <c r="C281" s="0" t="n">
        <f aca="false">dummy_variables!G278</f>
        <v>0.13</v>
      </c>
      <c r="D281" s="0" t="n">
        <f aca="false">dummy_variables!I278</f>
        <v>87.4</v>
      </c>
      <c r="E281" s="0" t="n">
        <f aca="false">dummy_variables!J278</f>
        <v>18.14</v>
      </c>
      <c r="F281" s="0" t="n">
        <f aca="false">dummy_variables!K278</f>
        <v>1</v>
      </c>
      <c r="G281" s="0" t="n">
        <f aca="false">dummy_variables!L278</f>
        <v>3.4</v>
      </c>
      <c r="H281" s="0" t="n">
        <f aca="false">dummy_variables!O278</f>
        <v>0</v>
      </c>
      <c r="I281" s="0" t="n">
        <f aca="false">dummy_variables!P278</f>
        <v>1</v>
      </c>
      <c r="J281" s="0" t="n">
        <f aca="false">dummy_variables!Q278</f>
        <v>0</v>
      </c>
      <c r="K281" s="0" t="n">
        <f aca="false">dummy_variables!R278</f>
        <v>0</v>
      </c>
      <c r="L281" s="0" t="n">
        <f aca="false">dummy_variables!S278</f>
        <v>0</v>
      </c>
      <c r="M281" s="0" t="n">
        <f aca="false">dummy_variables!T278</f>
        <v>1</v>
      </c>
      <c r="N281" s="0" t="n">
        <f aca="false">dummy_variables!M278</f>
        <v>673076.34</v>
      </c>
    </row>
    <row r="282" customFormat="false" ht="15" hidden="false" customHeight="false" outlineLevel="0" collapsed="false">
      <c r="A282" s="0" t="n">
        <f aca="false">dummy_variables!E279</f>
        <v>36832.33</v>
      </c>
      <c r="B282" s="0" t="n">
        <f aca="false">dummy_variables!F279</f>
        <v>8001</v>
      </c>
      <c r="C282" s="0" t="n">
        <f aca="false">dummy_variables!G279</f>
        <v>0</v>
      </c>
      <c r="D282" s="0" t="n">
        <f aca="false">dummy_variables!I279</f>
        <v>88.7</v>
      </c>
      <c r="E282" s="0" t="n">
        <f aca="false">dummy_variables!J279</f>
        <v>3.39</v>
      </c>
      <c r="F282" s="0" t="n">
        <f aca="false">dummy_variables!K279</f>
        <v>0</v>
      </c>
      <c r="G282" s="0" t="n">
        <f aca="false">dummy_variables!L279</f>
        <v>4</v>
      </c>
      <c r="H282" s="0" t="n">
        <f aca="false">dummy_variables!O279</f>
        <v>0</v>
      </c>
      <c r="I282" s="0" t="n">
        <f aca="false">dummy_variables!P279</f>
        <v>1</v>
      </c>
      <c r="J282" s="0" t="n">
        <f aca="false">dummy_variables!Q279</f>
        <v>0</v>
      </c>
      <c r="K282" s="0" t="n">
        <f aca="false">dummy_variables!R279</f>
        <v>0</v>
      </c>
      <c r="L282" s="0" t="n">
        <f aca="false">dummy_variables!S279</f>
        <v>0</v>
      </c>
      <c r="M282" s="0" t="n">
        <f aca="false">dummy_variables!T279</f>
        <v>1</v>
      </c>
      <c r="N282" s="0" t="n">
        <f aca="false">dummy_variables!M279</f>
        <v>738548.42</v>
      </c>
    </row>
    <row r="283" customFormat="false" ht="15" hidden="false" customHeight="false" outlineLevel="0" collapsed="false">
      <c r="A283" s="0" t="n">
        <f aca="false">dummy_variables!E280</f>
        <v>48609.41</v>
      </c>
      <c r="B283" s="0" t="n">
        <f aca="false">dummy_variables!F280</f>
        <v>9324</v>
      </c>
      <c r="C283" s="0" t="n">
        <f aca="false">dummy_variables!G280</f>
        <v>0.213</v>
      </c>
      <c r="D283" s="0" t="n">
        <f aca="false">dummy_variables!I280</f>
        <v>86.5</v>
      </c>
      <c r="E283" s="0" t="n">
        <f aca="false">dummy_variables!J280</f>
        <v>1.44</v>
      </c>
      <c r="F283" s="0" t="n">
        <f aca="false">dummy_variables!K280</f>
        <v>0</v>
      </c>
      <c r="G283" s="0" t="n">
        <f aca="false">dummy_variables!L280</f>
        <v>3.9</v>
      </c>
      <c r="H283" s="0" t="n">
        <f aca="false">dummy_variables!O280</f>
        <v>0</v>
      </c>
      <c r="I283" s="0" t="n">
        <f aca="false">dummy_variables!P280</f>
        <v>1</v>
      </c>
      <c r="J283" s="0" t="n">
        <f aca="false">dummy_variables!Q280</f>
        <v>0</v>
      </c>
      <c r="K283" s="0" t="n">
        <f aca="false">dummy_variables!R280</f>
        <v>0</v>
      </c>
      <c r="L283" s="0" t="n">
        <f aca="false">dummy_variables!S280</f>
        <v>0</v>
      </c>
      <c r="M283" s="0" t="n">
        <f aca="false">dummy_variables!T280</f>
        <v>1</v>
      </c>
      <c r="N283" s="0" t="n">
        <f aca="false">dummy_variables!M280</f>
        <v>756619.77</v>
      </c>
    </row>
    <row r="284" customFormat="false" ht="15" hidden="false" customHeight="false" outlineLevel="0" collapsed="false">
      <c r="A284" s="0" t="n">
        <f aca="false">dummy_variables!E281</f>
        <v>70284.06</v>
      </c>
      <c r="B284" s="0" t="n">
        <f aca="false">dummy_variables!F281</f>
        <v>9109</v>
      </c>
      <c r="C284" s="0" t="n">
        <f aca="false">dummy_variables!G281</f>
        <v>0.004</v>
      </c>
      <c r="D284" s="0" t="n">
        <f aca="false">dummy_variables!I281</f>
        <v>87</v>
      </c>
      <c r="E284" s="0" t="n">
        <f aca="false">dummy_variables!J281</f>
        <v>3.65</v>
      </c>
      <c r="F284" s="0" t="n">
        <f aca="false">dummy_variables!K281</f>
        <v>0</v>
      </c>
      <c r="G284" s="0" t="n">
        <f aca="false">dummy_variables!L281</f>
        <v>3.7</v>
      </c>
      <c r="H284" s="0" t="n">
        <f aca="false">dummy_variables!O281</f>
        <v>0</v>
      </c>
      <c r="I284" s="0" t="n">
        <f aca="false">dummy_variables!P281</f>
        <v>1</v>
      </c>
      <c r="J284" s="0" t="n">
        <f aca="false">dummy_variables!Q281</f>
        <v>0</v>
      </c>
      <c r="K284" s="0" t="n">
        <f aca="false">dummy_variables!R281</f>
        <v>0</v>
      </c>
      <c r="L284" s="0" t="n">
        <f aca="false">dummy_variables!S281</f>
        <v>0</v>
      </c>
      <c r="M284" s="0" t="n">
        <f aca="false">dummy_variables!T281</f>
        <v>1</v>
      </c>
      <c r="N284" s="0" t="n">
        <f aca="false">dummy_variables!M281</f>
        <v>761122.42</v>
      </c>
    </row>
    <row r="285" customFormat="false" ht="15" hidden="false" customHeight="false" outlineLevel="0" collapsed="false">
      <c r="A285" s="0" t="n">
        <f aca="false">dummy_variables!E282</f>
        <v>45940.39</v>
      </c>
      <c r="B285" s="0" t="n">
        <f aca="false">dummy_variables!F282</f>
        <v>4022</v>
      </c>
      <c r="C285" s="0" t="n">
        <f aca="false">dummy_variables!G282</f>
        <v>0.069</v>
      </c>
      <c r="D285" s="0" t="n">
        <f aca="false">dummy_variables!I282</f>
        <v>83</v>
      </c>
      <c r="E285" s="0" t="n">
        <f aca="false">dummy_variables!J282</f>
        <v>1.23</v>
      </c>
      <c r="F285" s="0" t="n">
        <f aca="false">dummy_variables!K282</f>
        <v>1</v>
      </c>
      <c r="G285" s="0" t="n">
        <f aca="false">dummy_variables!L282</f>
        <v>3.8</v>
      </c>
      <c r="H285" s="0" t="n">
        <f aca="false">dummy_variables!O282</f>
        <v>0</v>
      </c>
      <c r="I285" s="0" t="n">
        <f aca="false">dummy_variables!P282</f>
        <v>1</v>
      </c>
      <c r="J285" s="0" t="n">
        <f aca="false">dummy_variables!Q282</f>
        <v>0</v>
      </c>
      <c r="K285" s="0" t="n">
        <f aca="false">dummy_variables!R282</f>
        <v>0</v>
      </c>
      <c r="L285" s="0" t="n">
        <f aca="false">dummy_variables!S282</f>
        <v>0</v>
      </c>
      <c r="M285" s="0" t="n">
        <f aca="false">dummy_variables!T282</f>
        <v>0</v>
      </c>
      <c r="N285" s="0" t="n">
        <f aca="false">dummy_variables!M282</f>
        <v>524899.57</v>
      </c>
    </row>
    <row r="286" customFormat="false" ht="15" hidden="false" customHeight="false" outlineLevel="0" collapsed="false">
      <c r="A286" s="0" t="n">
        <f aca="false">dummy_variables!E283</f>
        <v>34771.26</v>
      </c>
      <c r="B286" s="0" t="n">
        <f aca="false">dummy_variables!F283</f>
        <v>4355</v>
      </c>
      <c r="C286" s="0" t="n">
        <f aca="false">dummy_variables!G283</f>
        <v>0.051</v>
      </c>
      <c r="D286" s="0" t="n">
        <f aca="false">dummy_variables!I283</f>
        <v>87.9</v>
      </c>
      <c r="E286" s="0" t="n">
        <f aca="false">dummy_variables!J283</f>
        <v>3.09</v>
      </c>
      <c r="F286" s="0" t="n">
        <f aca="false">dummy_variables!K283</f>
        <v>0</v>
      </c>
      <c r="G286" s="0" t="n">
        <f aca="false">dummy_variables!L283</f>
        <v>4</v>
      </c>
      <c r="H286" s="0" t="n">
        <f aca="false">dummy_variables!O283</f>
        <v>0</v>
      </c>
      <c r="I286" s="0" t="n">
        <f aca="false">dummy_variables!P283</f>
        <v>1</v>
      </c>
      <c r="J286" s="0" t="n">
        <f aca="false">dummy_variables!Q283</f>
        <v>0</v>
      </c>
      <c r="K286" s="0" t="n">
        <f aca="false">dummy_variables!R283</f>
        <v>0</v>
      </c>
      <c r="L286" s="0" t="n">
        <f aca="false">dummy_variables!S283</f>
        <v>0</v>
      </c>
      <c r="M286" s="0" t="n">
        <f aca="false">dummy_variables!T283</f>
        <v>0</v>
      </c>
      <c r="N286" s="0" t="n">
        <f aca="false">dummy_variables!M283</f>
        <v>555557.77</v>
      </c>
    </row>
    <row r="287" customFormat="false" ht="15" hidden="false" customHeight="false" outlineLevel="0" collapsed="false">
      <c r="A287" s="0" t="n">
        <f aca="false">dummy_variables!E284</f>
        <v>66104.19</v>
      </c>
      <c r="B287" s="0" t="n">
        <f aca="false">dummy_variables!F284</f>
        <v>5745</v>
      </c>
      <c r="C287" s="0" t="n">
        <f aca="false">dummy_variables!G284</f>
        <v>0.07</v>
      </c>
      <c r="D287" s="0" t="n">
        <f aca="false">dummy_variables!I284</f>
        <v>95.8</v>
      </c>
      <c r="E287" s="0" t="n">
        <f aca="false">dummy_variables!J284</f>
        <v>3.15</v>
      </c>
      <c r="F287" s="0" t="n">
        <f aca="false">dummy_variables!K284</f>
        <v>0</v>
      </c>
      <c r="G287" s="0" t="n">
        <f aca="false">dummy_variables!L284</f>
        <v>4</v>
      </c>
      <c r="H287" s="0" t="n">
        <f aca="false">dummy_variables!O284</f>
        <v>0</v>
      </c>
      <c r="I287" s="0" t="n">
        <f aca="false">dummy_variables!P284</f>
        <v>1</v>
      </c>
      <c r="J287" s="0" t="n">
        <f aca="false">dummy_variables!Q284</f>
        <v>0</v>
      </c>
      <c r="K287" s="0" t="n">
        <f aca="false">dummy_variables!R284</f>
        <v>0</v>
      </c>
      <c r="L287" s="0" t="n">
        <f aca="false">dummy_variables!S284</f>
        <v>0</v>
      </c>
      <c r="M287" s="0" t="n">
        <f aca="false">dummy_variables!T284</f>
        <v>0</v>
      </c>
      <c r="N287" s="0" t="n">
        <f aca="false">dummy_variables!M284</f>
        <v>714083.68</v>
      </c>
    </row>
    <row r="288" customFormat="false" ht="15" hidden="false" customHeight="false" outlineLevel="0" collapsed="false">
      <c r="A288" s="0" t="n">
        <f aca="false">dummy_variables!E285</f>
        <v>18599.21</v>
      </c>
      <c r="B288" s="0" t="n">
        <f aca="false">dummy_variables!F285</f>
        <v>3027</v>
      </c>
      <c r="C288" s="0" t="n">
        <f aca="false">dummy_variables!G285</f>
        <v>0.122</v>
      </c>
      <c r="D288" s="0" t="n">
        <f aca="false">dummy_variables!I285</f>
        <v>80.9</v>
      </c>
      <c r="E288" s="0" t="n">
        <f aca="false">dummy_variables!J285</f>
        <v>6.44</v>
      </c>
      <c r="F288" s="0" t="n">
        <f aca="false">dummy_variables!K285</f>
        <v>0</v>
      </c>
      <c r="G288" s="0" t="n">
        <f aca="false">dummy_variables!L285</f>
        <v>4.2</v>
      </c>
      <c r="H288" s="0" t="n">
        <f aca="false">dummy_variables!O285</f>
        <v>0</v>
      </c>
      <c r="I288" s="0" t="n">
        <f aca="false">dummy_variables!P285</f>
        <v>1</v>
      </c>
      <c r="J288" s="0" t="n">
        <f aca="false">dummy_variables!Q285</f>
        <v>0</v>
      </c>
      <c r="K288" s="0" t="n">
        <f aca="false">dummy_variables!R285</f>
        <v>0</v>
      </c>
      <c r="L288" s="0" t="n">
        <f aca="false">dummy_variables!S285</f>
        <v>0</v>
      </c>
      <c r="M288" s="0" t="n">
        <f aca="false">dummy_variables!T285</f>
        <v>0</v>
      </c>
      <c r="N288" s="0" t="n">
        <f aca="false">dummy_variables!M285</f>
        <v>497439.82</v>
      </c>
    </row>
    <row r="289" customFormat="false" ht="15" hidden="false" customHeight="false" outlineLevel="0" collapsed="false">
      <c r="A289" s="0" t="n">
        <f aca="false">dummy_variables!E286</f>
        <v>60183.06</v>
      </c>
      <c r="B289" s="0" t="n">
        <f aca="false">dummy_variables!F286</f>
        <v>5562</v>
      </c>
      <c r="C289" s="0" t="n">
        <f aca="false">dummy_variables!G286</f>
        <v>0.009</v>
      </c>
      <c r="D289" s="0" t="n">
        <f aca="false">dummy_variables!I286</f>
        <v>86.3</v>
      </c>
      <c r="E289" s="0" t="n">
        <f aca="false">dummy_variables!J286</f>
        <v>0.2</v>
      </c>
      <c r="F289" s="0" t="n">
        <f aca="false">dummy_variables!K286</f>
        <v>1</v>
      </c>
      <c r="G289" s="0" t="n">
        <f aca="false">dummy_variables!L286</f>
        <v>4.5</v>
      </c>
      <c r="H289" s="0" t="n">
        <f aca="false">dummy_variables!O286</f>
        <v>0</v>
      </c>
      <c r="I289" s="0" t="n">
        <f aca="false">dummy_variables!P286</f>
        <v>0</v>
      </c>
      <c r="J289" s="0" t="n">
        <f aca="false">dummy_variables!Q286</f>
        <v>1</v>
      </c>
      <c r="K289" s="0" t="n">
        <f aca="false">dummy_variables!R286</f>
        <v>0</v>
      </c>
      <c r="L289" s="0" t="n">
        <f aca="false">dummy_variables!S286</f>
        <v>0</v>
      </c>
      <c r="M289" s="0" t="n">
        <f aca="false">dummy_variables!T286</f>
        <v>1</v>
      </c>
      <c r="N289" s="0" t="n">
        <f aca="false">dummy_variables!M286</f>
        <v>636775.66</v>
      </c>
    </row>
    <row r="290" customFormat="false" ht="15" hidden="false" customHeight="false" outlineLevel="0" collapsed="false">
      <c r="A290" s="0" t="n">
        <f aca="false">dummy_variables!E287</f>
        <v>74539.14</v>
      </c>
      <c r="B290" s="0" t="n">
        <f aca="false">dummy_variables!F287</f>
        <v>4487</v>
      </c>
      <c r="C290" s="0" t="n">
        <f aca="false">dummy_variables!G287</f>
        <v>0.14</v>
      </c>
      <c r="D290" s="0" t="n">
        <f aca="false">dummy_variables!I287</f>
        <v>90.4</v>
      </c>
      <c r="E290" s="0" t="n">
        <f aca="false">dummy_variables!J287</f>
        <v>0.59</v>
      </c>
      <c r="F290" s="0" t="n">
        <f aca="false">dummy_variables!K287</f>
        <v>0</v>
      </c>
      <c r="G290" s="0" t="n">
        <f aca="false">dummy_variables!L287</f>
        <v>4.5</v>
      </c>
      <c r="H290" s="0" t="n">
        <f aca="false">dummy_variables!O287</f>
        <v>0</v>
      </c>
      <c r="I290" s="0" t="n">
        <f aca="false">dummy_variables!P287</f>
        <v>0</v>
      </c>
      <c r="J290" s="0" t="n">
        <f aca="false">dummy_variables!Q287</f>
        <v>1</v>
      </c>
      <c r="K290" s="0" t="n">
        <f aca="false">dummy_variables!R287</f>
        <v>0</v>
      </c>
      <c r="L290" s="0" t="n">
        <f aca="false">dummy_variables!S287</f>
        <v>0</v>
      </c>
      <c r="M290" s="0" t="n">
        <f aca="false">dummy_variables!T287</f>
        <v>1</v>
      </c>
      <c r="N290" s="0" t="n">
        <f aca="false">dummy_variables!M287</f>
        <v>633009.53</v>
      </c>
    </row>
    <row r="291" customFormat="false" ht="15" hidden="false" customHeight="false" outlineLevel="0" collapsed="false">
      <c r="A291" s="0" t="n">
        <f aca="false">dummy_variables!E288</f>
        <v>55371.97</v>
      </c>
      <c r="B291" s="0" t="n">
        <f aca="false">dummy_variables!F288</f>
        <v>4162</v>
      </c>
      <c r="C291" s="0" t="n">
        <f aca="false">dummy_variables!G288</f>
        <v>0.183</v>
      </c>
      <c r="D291" s="0" t="n">
        <f aca="false">dummy_variables!I288</f>
        <v>92</v>
      </c>
      <c r="E291" s="0" t="n">
        <f aca="false">dummy_variables!J288</f>
        <v>0.2</v>
      </c>
      <c r="F291" s="0" t="n">
        <f aca="false">dummy_variables!K288</f>
        <v>1</v>
      </c>
      <c r="G291" s="0" t="n">
        <f aca="false">dummy_variables!L288</f>
        <v>4.2</v>
      </c>
      <c r="H291" s="0" t="n">
        <f aca="false">dummy_variables!O288</f>
        <v>0</v>
      </c>
      <c r="I291" s="0" t="n">
        <f aca="false">dummy_variables!P288</f>
        <v>0</v>
      </c>
      <c r="J291" s="0" t="n">
        <f aca="false">dummy_variables!Q288</f>
        <v>1</v>
      </c>
      <c r="K291" s="0" t="n">
        <f aca="false">dummy_variables!R288</f>
        <v>0</v>
      </c>
      <c r="L291" s="0" t="n">
        <f aca="false">dummy_variables!S288</f>
        <v>0</v>
      </c>
      <c r="M291" s="0" t="n">
        <f aca="false">dummy_variables!T288</f>
        <v>1</v>
      </c>
      <c r="N291" s="0" t="n">
        <f aca="false">dummy_variables!M288</f>
        <v>609949</v>
      </c>
    </row>
    <row r="292" customFormat="false" ht="15" hidden="false" customHeight="false" outlineLevel="0" collapsed="false">
      <c r="A292" s="0" t="n">
        <f aca="false">dummy_variables!E289</f>
        <v>40928.69</v>
      </c>
      <c r="B292" s="0" t="n">
        <f aca="false">dummy_variables!F289</f>
        <v>4094</v>
      </c>
      <c r="C292" s="0" t="n">
        <f aca="false">dummy_variables!G289</f>
        <v>0.174</v>
      </c>
      <c r="D292" s="0" t="n">
        <f aca="false">dummy_variables!I289</f>
        <v>82.4</v>
      </c>
      <c r="E292" s="0" t="n">
        <f aca="false">dummy_variables!J289</f>
        <v>1.36</v>
      </c>
      <c r="F292" s="0" t="n">
        <f aca="false">dummy_variables!K289</f>
        <v>0</v>
      </c>
      <c r="G292" s="0" t="n">
        <f aca="false">dummy_variables!L289</f>
        <v>4.8</v>
      </c>
      <c r="H292" s="0" t="n">
        <f aca="false">dummy_variables!O289</f>
        <v>0</v>
      </c>
      <c r="I292" s="0" t="n">
        <f aca="false">dummy_variables!P289</f>
        <v>0</v>
      </c>
      <c r="J292" s="0" t="n">
        <f aca="false">dummy_variables!Q289</f>
        <v>1</v>
      </c>
      <c r="K292" s="0" t="n">
        <f aca="false">dummy_variables!R289</f>
        <v>0</v>
      </c>
      <c r="L292" s="0" t="n">
        <f aca="false">dummy_variables!S289</f>
        <v>0</v>
      </c>
      <c r="M292" s="0" t="n">
        <f aca="false">dummy_variables!T289</f>
        <v>1</v>
      </c>
      <c r="N292" s="0" t="n">
        <f aca="false">dummy_variables!M289</f>
        <v>548103.7</v>
      </c>
    </row>
    <row r="293" customFormat="false" ht="15" hidden="false" customHeight="false" outlineLevel="0" collapsed="false">
      <c r="A293" s="0" t="n">
        <f aca="false">dummy_variables!E290</f>
        <v>70012.41</v>
      </c>
      <c r="B293" s="0" t="n">
        <f aca="false">dummy_variables!F290</f>
        <v>8484</v>
      </c>
      <c r="C293" s="0" t="n">
        <f aca="false">dummy_variables!G290</f>
        <v>0.273</v>
      </c>
      <c r="D293" s="0" t="n">
        <f aca="false">dummy_variables!I290</f>
        <v>72.9</v>
      </c>
      <c r="E293" s="0" t="n">
        <f aca="false">dummy_variables!J290</f>
        <v>3.34</v>
      </c>
      <c r="F293" s="0" t="n">
        <f aca="false">dummy_variables!K290</f>
        <v>0</v>
      </c>
      <c r="G293" s="0" t="n">
        <f aca="false">dummy_variables!L290</f>
        <v>3.7</v>
      </c>
      <c r="H293" s="0" t="n">
        <f aca="false">dummy_variables!O290</f>
        <v>0</v>
      </c>
      <c r="I293" s="0" t="n">
        <f aca="false">dummy_variables!P290</f>
        <v>0</v>
      </c>
      <c r="J293" s="0" t="n">
        <f aca="false">dummy_variables!Q290</f>
        <v>0</v>
      </c>
      <c r="K293" s="0" t="n">
        <f aca="false">dummy_variables!R290</f>
        <v>0</v>
      </c>
      <c r="L293" s="0" t="n">
        <f aca="false">dummy_variables!S290</f>
        <v>0</v>
      </c>
      <c r="M293" s="0" t="n">
        <f aca="false">dummy_variables!T290</f>
        <v>1</v>
      </c>
      <c r="N293" s="0" t="n">
        <f aca="false">dummy_variables!M290</f>
        <v>729424.42</v>
      </c>
    </row>
    <row r="294" customFormat="false" ht="15" hidden="false" customHeight="false" outlineLevel="0" collapsed="false">
      <c r="A294" s="0" t="n">
        <f aca="false">dummy_variables!E291</f>
        <v>68909.26</v>
      </c>
      <c r="B294" s="0" t="n">
        <f aca="false">dummy_variables!F291</f>
        <v>7794</v>
      </c>
      <c r="C294" s="0" t="n">
        <f aca="false">dummy_variables!G291</f>
        <v>0.284</v>
      </c>
      <c r="D294" s="0" t="n">
        <f aca="false">dummy_variables!I291</f>
        <v>89</v>
      </c>
      <c r="E294" s="0" t="n">
        <f aca="false">dummy_variables!J291</f>
        <v>0.33</v>
      </c>
      <c r="F294" s="0" t="n">
        <f aca="false">dummy_variables!K291</f>
        <v>0</v>
      </c>
      <c r="G294" s="0" t="n">
        <f aca="false">dummy_variables!L291</f>
        <v>4</v>
      </c>
      <c r="H294" s="0" t="n">
        <f aca="false">dummy_variables!O291</f>
        <v>0</v>
      </c>
      <c r="I294" s="0" t="n">
        <f aca="false">dummy_variables!P291</f>
        <v>0</v>
      </c>
      <c r="J294" s="0" t="n">
        <f aca="false">dummy_variables!Q291</f>
        <v>0</v>
      </c>
      <c r="K294" s="0" t="n">
        <f aca="false">dummy_variables!R291</f>
        <v>0</v>
      </c>
      <c r="L294" s="0" t="n">
        <f aca="false">dummy_variables!S291</f>
        <v>0</v>
      </c>
      <c r="M294" s="0" t="n">
        <f aca="false">dummy_variables!T291</f>
        <v>1</v>
      </c>
      <c r="N294" s="0" t="n">
        <f aca="false">dummy_variables!M291</f>
        <v>696261.49</v>
      </c>
    </row>
    <row r="295" customFormat="false" ht="15" hidden="false" customHeight="false" outlineLevel="0" collapsed="false">
      <c r="A295" s="0" t="n">
        <f aca="false">dummy_variables!E292</f>
        <v>56737.3</v>
      </c>
      <c r="B295" s="0" t="n">
        <f aca="false">dummy_variables!F292</f>
        <v>8300</v>
      </c>
      <c r="C295" s="0" t="n">
        <f aca="false">dummy_variables!G292</f>
        <v>0.032</v>
      </c>
      <c r="D295" s="0" t="n">
        <f aca="false">dummy_variables!I292</f>
        <v>83.2</v>
      </c>
      <c r="E295" s="0" t="n">
        <f aca="false">dummy_variables!J292</f>
        <v>3.44</v>
      </c>
      <c r="F295" s="0" t="n">
        <f aca="false">dummy_variables!K292</f>
        <v>1</v>
      </c>
      <c r="G295" s="0" t="n">
        <f aca="false">dummy_variables!L292</f>
        <v>4.3</v>
      </c>
      <c r="H295" s="0" t="n">
        <f aca="false">dummy_variables!O292</f>
        <v>0</v>
      </c>
      <c r="I295" s="0" t="n">
        <f aca="false">dummy_variables!P292</f>
        <v>0</v>
      </c>
      <c r="J295" s="0" t="n">
        <f aca="false">dummy_variables!Q292</f>
        <v>0</v>
      </c>
      <c r="K295" s="0" t="n">
        <f aca="false">dummy_variables!R292</f>
        <v>0</v>
      </c>
      <c r="L295" s="0" t="n">
        <f aca="false">dummy_variables!S292</f>
        <v>0</v>
      </c>
      <c r="M295" s="0" t="n">
        <f aca="false">dummy_variables!T292</f>
        <v>1</v>
      </c>
      <c r="N295" s="0" t="n">
        <f aca="false">dummy_variables!M292</f>
        <v>813316.71</v>
      </c>
    </row>
    <row r="296" customFormat="false" ht="15" hidden="false" customHeight="false" outlineLevel="0" collapsed="false">
      <c r="A296" s="0" t="n">
        <f aca="false">dummy_variables!E293</f>
        <v>54080.91</v>
      </c>
      <c r="B296" s="0" t="n">
        <f aca="false">dummy_variables!F293</f>
        <v>7083</v>
      </c>
      <c r="C296" s="0" t="n">
        <f aca="false">dummy_variables!G293</f>
        <v>0</v>
      </c>
      <c r="D296" s="0" t="n">
        <f aca="false">dummy_variables!I293</f>
        <v>97</v>
      </c>
      <c r="E296" s="0" t="n">
        <f aca="false">dummy_variables!J293</f>
        <v>5.33</v>
      </c>
      <c r="F296" s="0" t="n">
        <f aca="false">dummy_variables!K293</f>
        <v>0</v>
      </c>
      <c r="G296" s="0" t="n">
        <f aca="false">dummy_variables!L293</f>
        <v>4.1</v>
      </c>
      <c r="H296" s="0" t="n">
        <f aca="false">dummy_variables!O293</f>
        <v>0</v>
      </c>
      <c r="I296" s="0" t="n">
        <f aca="false">dummy_variables!P293</f>
        <v>0</v>
      </c>
      <c r="J296" s="0" t="n">
        <f aca="false">dummy_variables!Q293</f>
        <v>0</v>
      </c>
      <c r="K296" s="0" t="n">
        <f aca="false">dummy_variables!R293</f>
        <v>0</v>
      </c>
      <c r="L296" s="0" t="n">
        <f aca="false">dummy_variables!S293</f>
        <v>0</v>
      </c>
      <c r="M296" s="0" t="n">
        <f aca="false">dummy_variables!T293</f>
        <v>1</v>
      </c>
      <c r="N296" s="0" t="n">
        <f aca="false">dummy_variables!M293</f>
        <v>702068.92</v>
      </c>
    </row>
    <row r="297" customFormat="false" ht="15" hidden="false" customHeight="false" outlineLevel="0" collapsed="false">
      <c r="A297" s="0" t="n">
        <f aca="false">dummy_variables!E294</f>
        <v>51996.32</v>
      </c>
      <c r="B297" s="0" t="n">
        <f aca="false">dummy_variables!F294</f>
        <v>3834</v>
      </c>
      <c r="C297" s="0" t="n">
        <f aca="false">dummy_variables!G294</f>
        <v>0.096</v>
      </c>
      <c r="D297" s="0" t="n">
        <f aca="false">dummy_variables!I294</f>
        <v>86.7</v>
      </c>
      <c r="E297" s="0" t="n">
        <f aca="false">dummy_variables!J294</f>
        <v>6.04</v>
      </c>
      <c r="F297" s="0" t="n">
        <f aca="false">dummy_variables!K294</f>
        <v>0</v>
      </c>
      <c r="G297" s="0" t="n">
        <f aca="false">dummy_variables!L294</f>
        <v>4.5</v>
      </c>
      <c r="H297" s="0" t="n">
        <f aca="false">dummy_variables!O294</f>
        <v>0</v>
      </c>
      <c r="I297" s="0" t="n">
        <f aca="false">dummy_variables!P294</f>
        <v>0</v>
      </c>
      <c r="J297" s="0" t="n">
        <f aca="false">dummy_variables!Q294</f>
        <v>1</v>
      </c>
      <c r="K297" s="0" t="n">
        <f aca="false">dummy_variables!R294</f>
        <v>0</v>
      </c>
      <c r="L297" s="0" t="n">
        <f aca="false">dummy_variables!S294</f>
        <v>0</v>
      </c>
      <c r="M297" s="0" t="n">
        <f aca="false">dummy_variables!T294</f>
        <v>0</v>
      </c>
      <c r="N297" s="0" t="n">
        <f aca="false">dummy_variables!M294</f>
        <v>546223.7</v>
      </c>
    </row>
    <row r="298" customFormat="false" ht="15" hidden="false" customHeight="false" outlineLevel="0" collapsed="false">
      <c r="A298" s="0" t="n">
        <f aca="false">dummy_variables!E295</f>
        <v>40102.88</v>
      </c>
      <c r="B298" s="0" t="n">
        <f aca="false">dummy_variables!F295</f>
        <v>2358</v>
      </c>
      <c r="C298" s="0" t="n">
        <f aca="false">dummy_variables!G295</f>
        <v>0.119</v>
      </c>
      <c r="D298" s="0" t="n">
        <f aca="false">dummy_variables!I295</f>
        <v>88.7</v>
      </c>
      <c r="E298" s="0" t="n">
        <f aca="false">dummy_variables!J295</f>
        <v>1.6</v>
      </c>
      <c r="F298" s="0" t="n">
        <f aca="false">dummy_variables!K295</f>
        <v>0</v>
      </c>
      <c r="G298" s="0" t="n">
        <f aca="false">dummy_variables!L295</f>
        <v>4.2</v>
      </c>
      <c r="H298" s="0" t="n">
        <f aca="false">dummy_variables!O295</f>
        <v>0</v>
      </c>
      <c r="I298" s="0" t="n">
        <f aca="false">dummy_variables!P295</f>
        <v>0</v>
      </c>
      <c r="J298" s="0" t="n">
        <f aca="false">dummy_variables!Q295</f>
        <v>1</v>
      </c>
      <c r="K298" s="0" t="n">
        <f aca="false">dummy_variables!R295</f>
        <v>0</v>
      </c>
      <c r="L298" s="0" t="n">
        <f aca="false">dummy_variables!S295</f>
        <v>0</v>
      </c>
      <c r="M298" s="0" t="n">
        <f aca="false">dummy_variables!T295</f>
        <v>0</v>
      </c>
      <c r="N298" s="0" t="n">
        <f aca="false">dummy_variables!M295</f>
        <v>533121.26</v>
      </c>
    </row>
    <row r="299" customFormat="false" ht="15" hidden="false" customHeight="false" outlineLevel="0" collapsed="false">
      <c r="A299" s="0" t="n">
        <f aca="false">dummy_variables!E296</f>
        <v>59825.51</v>
      </c>
      <c r="B299" s="0" t="n">
        <f aca="false">dummy_variables!F296</f>
        <v>1231</v>
      </c>
      <c r="C299" s="0" t="n">
        <f aca="false">dummy_variables!G296</f>
        <v>0.214</v>
      </c>
      <c r="D299" s="0" t="n">
        <f aca="false">dummy_variables!I296</f>
        <v>84.8</v>
      </c>
      <c r="E299" s="0" t="n">
        <f aca="false">dummy_variables!J296</f>
        <v>8.96</v>
      </c>
      <c r="F299" s="0" t="n">
        <f aca="false">dummy_variables!K296</f>
        <v>0</v>
      </c>
      <c r="G299" s="0" t="n">
        <f aca="false">dummy_variables!L296</f>
        <v>4.7</v>
      </c>
      <c r="H299" s="0" t="n">
        <f aca="false">dummy_variables!O296</f>
        <v>0</v>
      </c>
      <c r="I299" s="0" t="n">
        <f aca="false">dummy_variables!P296</f>
        <v>0</v>
      </c>
      <c r="J299" s="0" t="n">
        <f aca="false">dummy_variables!Q296</f>
        <v>1</v>
      </c>
      <c r="K299" s="0" t="n">
        <f aca="false">dummy_variables!R296</f>
        <v>0</v>
      </c>
      <c r="L299" s="0" t="n">
        <f aca="false">dummy_variables!S296</f>
        <v>0</v>
      </c>
      <c r="M299" s="0" t="n">
        <f aca="false">dummy_variables!T296</f>
        <v>0</v>
      </c>
      <c r="N299" s="0" t="n">
        <f aca="false">dummy_variables!M296</f>
        <v>498970.32</v>
      </c>
    </row>
    <row r="300" customFormat="false" ht="15" hidden="false" customHeight="false" outlineLevel="0" collapsed="false">
      <c r="A300" s="0" t="n">
        <f aca="false">dummy_variables!E297</f>
        <v>27398.28</v>
      </c>
      <c r="B300" s="0" t="n">
        <f aca="false">dummy_variables!F297</f>
        <v>1723</v>
      </c>
      <c r="C300" s="0" t="n">
        <f aca="false">dummy_variables!G297</f>
        <v>0.171</v>
      </c>
      <c r="D300" s="0" t="n">
        <f aca="false">dummy_variables!I297</f>
        <v>81</v>
      </c>
      <c r="E300" s="0" t="n">
        <f aca="false">dummy_variables!J297</f>
        <v>0.74</v>
      </c>
      <c r="F300" s="0" t="n">
        <f aca="false">dummy_variables!K297</f>
        <v>0</v>
      </c>
      <c r="G300" s="0" t="n">
        <f aca="false">dummy_variables!L297</f>
        <v>4.6</v>
      </c>
      <c r="H300" s="0" t="n">
        <f aca="false">dummy_variables!O297</f>
        <v>0</v>
      </c>
      <c r="I300" s="0" t="n">
        <f aca="false">dummy_variables!P297</f>
        <v>0</v>
      </c>
      <c r="J300" s="0" t="n">
        <f aca="false">dummy_variables!Q297</f>
        <v>1</v>
      </c>
      <c r="K300" s="0" t="n">
        <f aca="false">dummy_variables!R297</f>
        <v>0</v>
      </c>
      <c r="L300" s="0" t="n">
        <f aca="false">dummy_variables!S297</f>
        <v>0</v>
      </c>
      <c r="M300" s="0" t="n">
        <f aca="false">dummy_variables!T297</f>
        <v>0</v>
      </c>
      <c r="N300" s="0" t="n">
        <f aca="false">dummy_variables!M297</f>
        <v>487738.26</v>
      </c>
    </row>
    <row r="301" customFormat="false" ht="15" hidden="false" customHeight="false" outlineLevel="0" collapsed="false">
      <c r="A301" s="0" t="n">
        <f aca="false">dummy_variables!E298</f>
        <v>55599.56</v>
      </c>
      <c r="B301" s="0" t="n">
        <f aca="false">dummy_variables!F298</f>
        <v>5896</v>
      </c>
      <c r="C301" s="0" t="n">
        <f aca="false">dummy_variables!G298</f>
        <v>0.036</v>
      </c>
      <c r="D301" s="0" t="n">
        <f aca="false">dummy_variables!I298</f>
        <v>93.1</v>
      </c>
      <c r="E301" s="0" t="n">
        <f aca="false">dummy_variables!J298</f>
        <v>6.13</v>
      </c>
      <c r="F301" s="0" t="n">
        <f aca="false">dummy_variables!K298</f>
        <v>0</v>
      </c>
      <c r="G301" s="0" t="n">
        <f aca="false">dummy_variables!L298</f>
        <v>3.3</v>
      </c>
      <c r="H301" s="0" t="n">
        <f aca="false">dummy_variables!O298</f>
        <v>0</v>
      </c>
      <c r="I301" s="0" t="n">
        <f aca="false">dummy_variables!P298</f>
        <v>0</v>
      </c>
      <c r="J301" s="0" t="n">
        <f aca="false">dummy_variables!Q298</f>
        <v>1</v>
      </c>
      <c r="K301" s="0" t="n">
        <f aca="false">dummy_variables!R298</f>
        <v>0</v>
      </c>
      <c r="L301" s="0" t="n">
        <f aca="false">dummy_variables!S298</f>
        <v>0</v>
      </c>
      <c r="M301" s="0" t="n">
        <f aca="false">dummy_variables!T298</f>
        <v>0</v>
      </c>
      <c r="N301" s="0" t="n">
        <f aca="false">dummy_variables!M298</f>
        <v>668459.37</v>
      </c>
    </row>
    <row r="302" customFormat="false" ht="15" hidden="false" customHeight="false" outlineLevel="0" collapsed="false">
      <c r="A302" s="0" t="n">
        <f aca="false">dummy_variables!E299</f>
        <v>55477.61</v>
      </c>
      <c r="B302" s="0" t="n">
        <f aca="false">dummy_variables!F299</f>
        <v>5903</v>
      </c>
      <c r="C302" s="0" t="n">
        <f aca="false">dummy_variables!G299</f>
        <v>0.102</v>
      </c>
      <c r="D302" s="0" t="n">
        <f aca="false">dummy_variables!I299</f>
        <v>96.2</v>
      </c>
      <c r="E302" s="0" t="n">
        <f aca="false">dummy_variables!J299</f>
        <v>1.41</v>
      </c>
      <c r="F302" s="0" t="n">
        <f aca="false">dummy_variables!K299</f>
        <v>0</v>
      </c>
      <c r="G302" s="0" t="n">
        <f aca="false">dummy_variables!L299</f>
        <v>3.3</v>
      </c>
      <c r="H302" s="0" t="n">
        <f aca="false">dummy_variables!O299</f>
        <v>0</v>
      </c>
      <c r="I302" s="0" t="n">
        <f aca="false">dummy_variables!P299</f>
        <v>0</v>
      </c>
      <c r="J302" s="0" t="n">
        <f aca="false">dummy_variables!Q299</f>
        <v>1</v>
      </c>
      <c r="K302" s="0" t="n">
        <f aca="false">dummy_variables!R299</f>
        <v>0</v>
      </c>
      <c r="L302" s="0" t="n">
        <f aca="false">dummy_variables!S299</f>
        <v>0</v>
      </c>
      <c r="M302" s="0" t="n">
        <f aca="false">dummy_variables!T299</f>
        <v>0</v>
      </c>
      <c r="N302" s="0" t="n">
        <f aca="false">dummy_variables!M299</f>
        <v>763162.45</v>
      </c>
    </row>
    <row r="303" customFormat="false" ht="15" hidden="false" customHeight="false" outlineLevel="0" collapsed="false">
      <c r="A303" s="0" t="n">
        <f aca="false">dummy_variables!E300</f>
        <v>46174.7</v>
      </c>
      <c r="B303" s="0" t="n">
        <f aca="false">dummy_variables!F300</f>
        <v>4898</v>
      </c>
      <c r="C303" s="0" t="n">
        <f aca="false">dummy_variables!G300</f>
        <v>0.114</v>
      </c>
      <c r="D303" s="0" t="n">
        <f aca="false">dummy_variables!I300</f>
        <v>91.7</v>
      </c>
      <c r="E303" s="0" t="n">
        <f aca="false">dummy_variables!J300</f>
        <v>3.75</v>
      </c>
      <c r="F303" s="0" t="n">
        <f aca="false">dummy_variables!K300</f>
        <v>0</v>
      </c>
      <c r="G303" s="0" t="n">
        <f aca="false">dummy_variables!L300</f>
        <v>3.1</v>
      </c>
      <c r="H303" s="0" t="n">
        <f aca="false">dummy_variables!O300</f>
        <v>0</v>
      </c>
      <c r="I303" s="0" t="n">
        <f aca="false">dummy_variables!P300</f>
        <v>0</v>
      </c>
      <c r="J303" s="0" t="n">
        <f aca="false">dummy_variables!Q300</f>
        <v>1</v>
      </c>
      <c r="K303" s="0" t="n">
        <f aca="false">dummy_variables!R300</f>
        <v>0</v>
      </c>
      <c r="L303" s="0" t="n">
        <f aca="false">dummy_variables!S300</f>
        <v>0</v>
      </c>
      <c r="M303" s="0" t="n">
        <f aca="false">dummy_variables!T300</f>
        <v>0</v>
      </c>
      <c r="N303" s="0" t="n">
        <f aca="false">dummy_variables!M300</f>
        <v>599017.33</v>
      </c>
    </row>
    <row r="304" customFormat="false" ht="15" hidden="false" customHeight="false" outlineLevel="0" collapsed="false">
      <c r="A304" s="0" t="n">
        <f aca="false">dummy_variables!E301</f>
        <v>24362.98</v>
      </c>
      <c r="B304" s="0" t="n">
        <f aca="false">dummy_variables!F301</f>
        <v>1462</v>
      </c>
      <c r="C304" s="0" t="n">
        <f aca="false">dummy_variables!G301</f>
        <v>0.117</v>
      </c>
      <c r="D304" s="0" t="n">
        <f aca="false">dummy_variables!I301</f>
        <v>89.3</v>
      </c>
      <c r="E304" s="0" t="n">
        <f aca="false">dummy_variables!J301</f>
        <v>15.06</v>
      </c>
      <c r="F304" s="0" t="n">
        <f aca="false">dummy_variables!K301</f>
        <v>0</v>
      </c>
      <c r="G304" s="0" t="n">
        <f aca="false">dummy_variables!L301</f>
        <v>3.2</v>
      </c>
      <c r="H304" s="0" t="n">
        <f aca="false">dummy_variables!O301</f>
        <v>0</v>
      </c>
      <c r="I304" s="0" t="n">
        <f aca="false">dummy_variables!P301</f>
        <v>0</v>
      </c>
      <c r="J304" s="0" t="n">
        <f aca="false">dummy_variables!Q301</f>
        <v>1</v>
      </c>
      <c r="K304" s="0" t="n">
        <f aca="false">dummy_variables!R301</f>
        <v>0</v>
      </c>
      <c r="L304" s="0" t="n">
        <f aca="false">dummy_variables!S301</f>
        <v>0</v>
      </c>
      <c r="M304" s="0" t="n">
        <f aca="false">dummy_variables!T301</f>
        <v>0</v>
      </c>
      <c r="N304" s="0" t="n">
        <f aca="false">dummy_variables!M301</f>
        <v>401582.58</v>
      </c>
    </row>
    <row r="305" customFormat="false" ht="15" hidden="false" customHeight="false" outlineLevel="0" collapsed="false">
      <c r="A305" s="0" t="n">
        <f aca="false">dummy_variables!E302</f>
        <v>40647.67</v>
      </c>
      <c r="B305" s="0" t="n">
        <f aca="false">dummy_variables!F302</f>
        <v>8252</v>
      </c>
      <c r="C305" s="0" t="n">
        <f aca="false">dummy_variables!G302</f>
        <v>0.141</v>
      </c>
      <c r="D305" s="0" t="n">
        <f aca="false">dummy_variables!I302</f>
        <v>88.2</v>
      </c>
      <c r="E305" s="0" t="n">
        <f aca="false">dummy_variables!J302</f>
        <v>5.07</v>
      </c>
      <c r="F305" s="0" t="n">
        <f aca="false">dummy_variables!K302</f>
        <v>1</v>
      </c>
      <c r="G305" s="0" t="n">
        <f aca="false">dummy_variables!L302</f>
        <v>4.1</v>
      </c>
      <c r="H305" s="0" t="n">
        <f aca="false">dummy_variables!O302</f>
        <v>1</v>
      </c>
      <c r="I305" s="0" t="n">
        <f aca="false">dummy_variables!P302</f>
        <v>0</v>
      </c>
      <c r="J305" s="0" t="n">
        <f aca="false">dummy_variables!Q302</f>
        <v>0</v>
      </c>
      <c r="K305" s="0" t="n">
        <f aca="false">dummy_variables!R302</f>
        <v>0</v>
      </c>
      <c r="L305" s="0" t="n">
        <f aca="false">dummy_variables!S302</f>
        <v>1</v>
      </c>
      <c r="M305" s="0" t="n">
        <f aca="false">dummy_variables!T302</f>
        <v>0</v>
      </c>
      <c r="N305" s="0" t="n">
        <f aca="false">dummy_variables!M302</f>
        <v>703812.99</v>
      </c>
    </row>
    <row r="306" customFormat="false" ht="15" hidden="false" customHeight="false" outlineLevel="0" collapsed="false">
      <c r="A306" s="0" t="n">
        <f aca="false">dummy_variables!E303</f>
        <v>63986.98</v>
      </c>
      <c r="B306" s="0" t="n">
        <f aca="false">dummy_variables!F303</f>
        <v>7989</v>
      </c>
      <c r="C306" s="0" t="n">
        <f aca="false">dummy_variables!G303</f>
        <v>0.074</v>
      </c>
      <c r="D306" s="0" t="n">
        <f aca="false">dummy_variables!I303</f>
        <v>83.3</v>
      </c>
      <c r="E306" s="0" t="n">
        <f aca="false">dummy_variables!J303</f>
        <v>3.6</v>
      </c>
      <c r="F306" s="0" t="n">
        <f aca="false">dummy_variables!K303</f>
        <v>0</v>
      </c>
      <c r="G306" s="0" t="n">
        <f aca="false">dummy_variables!L303</f>
        <v>3.7</v>
      </c>
      <c r="H306" s="0" t="n">
        <f aca="false">dummy_variables!O303</f>
        <v>1</v>
      </c>
      <c r="I306" s="0" t="n">
        <f aca="false">dummy_variables!P303</f>
        <v>0</v>
      </c>
      <c r="J306" s="0" t="n">
        <f aca="false">dummy_variables!Q303</f>
        <v>0</v>
      </c>
      <c r="K306" s="0" t="n">
        <f aca="false">dummy_variables!R303</f>
        <v>0</v>
      </c>
      <c r="L306" s="0" t="n">
        <f aca="false">dummy_variables!S303</f>
        <v>1</v>
      </c>
      <c r="M306" s="0" t="n">
        <f aca="false">dummy_variables!T303</f>
        <v>0</v>
      </c>
      <c r="N306" s="0" t="n">
        <f aca="false">dummy_variables!M303</f>
        <v>724346.73</v>
      </c>
    </row>
    <row r="307" customFormat="false" ht="15" hidden="false" customHeight="false" outlineLevel="0" collapsed="false">
      <c r="A307" s="0" t="n">
        <f aca="false">dummy_variables!E304</f>
        <v>52843.75</v>
      </c>
      <c r="B307" s="0" t="n">
        <f aca="false">dummy_variables!F304</f>
        <v>8268</v>
      </c>
      <c r="C307" s="0" t="n">
        <f aca="false">dummy_variables!G304</f>
        <v>0.138</v>
      </c>
      <c r="D307" s="0" t="n">
        <f aca="false">dummy_variables!I304</f>
        <v>87.3</v>
      </c>
      <c r="E307" s="0" t="n">
        <f aca="false">dummy_variables!J304</f>
        <v>4.39</v>
      </c>
      <c r="F307" s="0" t="n">
        <f aca="false">dummy_variables!K304</f>
        <v>1</v>
      </c>
      <c r="G307" s="0" t="n">
        <f aca="false">dummy_variables!L304</f>
        <v>4.7</v>
      </c>
      <c r="H307" s="0" t="n">
        <f aca="false">dummy_variables!O304</f>
        <v>1</v>
      </c>
      <c r="I307" s="0" t="n">
        <f aca="false">dummy_variables!P304</f>
        <v>0</v>
      </c>
      <c r="J307" s="0" t="n">
        <f aca="false">dummy_variables!Q304</f>
        <v>0</v>
      </c>
      <c r="K307" s="0" t="n">
        <f aca="false">dummy_variables!R304</f>
        <v>0</v>
      </c>
      <c r="L307" s="0" t="n">
        <f aca="false">dummy_variables!S304</f>
        <v>1</v>
      </c>
      <c r="M307" s="0" t="n">
        <f aca="false">dummy_variables!T304</f>
        <v>0</v>
      </c>
      <c r="N307" s="0" t="n">
        <f aca="false">dummy_variables!M304</f>
        <v>730890.01</v>
      </c>
    </row>
    <row r="308" customFormat="false" ht="15" hidden="false" customHeight="false" outlineLevel="0" collapsed="false">
      <c r="A308" s="0" t="n">
        <f aca="false">dummy_variables!E305</f>
        <v>31997.25</v>
      </c>
      <c r="B308" s="0" t="n">
        <f aca="false">dummy_variables!F305</f>
        <v>8183</v>
      </c>
      <c r="C308" s="0" t="n">
        <f aca="false">dummy_variables!G305</f>
        <v>0.198</v>
      </c>
      <c r="D308" s="0" t="n">
        <f aca="false">dummy_variables!I305</f>
        <v>93</v>
      </c>
      <c r="E308" s="0" t="n">
        <f aca="false">dummy_variables!J305</f>
        <v>2.79</v>
      </c>
      <c r="F308" s="0" t="n">
        <f aca="false">dummy_variables!K305</f>
        <v>0</v>
      </c>
      <c r="G308" s="0" t="n">
        <f aca="false">dummy_variables!L305</f>
        <v>4.2</v>
      </c>
      <c r="H308" s="0" t="n">
        <f aca="false">dummy_variables!O305</f>
        <v>1</v>
      </c>
      <c r="I308" s="0" t="n">
        <f aca="false">dummy_variables!P305</f>
        <v>0</v>
      </c>
      <c r="J308" s="0" t="n">
        <f aca="false">dummy_variables!Q305</f>
        <v>0</v>
      </c>
      <c r="K308" s="0" t="n">
        <f aca="false">dummy_variables!R305</f>
        <v>0</v>
      </c>
      <c r="L308" s="0" t="n">
        <f aca="false">dummy_variables!S305</f>
        <v>1</v>
      </c>
      <c r="M308" s="0" t="n">
        <f aca="false">dummy_variables!T305</f>
        <v>0</v>
      </c>
      <c r="N308" s="0" t="n">
        <f aca="false">dummy_variables!M305</f>
        <v>780580.95</v>
      </c>
    </row>
    <row r="309" customFormat="false" ht="15" hidden="false" customHeight="false" outlineLevel="0" collapsed="false">
      <c r="A309" s="0" t="n">
        <f aca="false">dummy_variables!E306</f>
        <v>54948.02</v>
      </c>
      <c r="B309" s="0" t="n">
        <f aca="false">dummy_variables!F306</f>
        <v>6534</v>
      </c>
      <c r="C309" s="0" t="n">
        <f aca="false">dummy_variables!G306</f>
        <v>0.183</v>
      </c>
      <c r="D309" s="0" t="n">
        <f aca="false">dummy_variables!I306</f>
        <v>94.5</v>
      </c>
      <c r="E309" s="0" t="n">
        <f aca="false">dummy_variables!J306</f>
        <v>1.56</v>
      </c>
      <c r="F309" s="0" t="n">
        <f aca="false">dummy_variables!K306</f>
        <v>0</v>
      </c>
      <c r="G309" s="0" t="n">
        <f aca="false">dummy_variables!L306</f>
        <v>4</v>
      </c>
      <c r="H309" s="0" t="n">
        <f aca="false">dummy_variables!O306</f>
        <v>0</v>
      </c>
      <c r="I309" s="0" t="n">
        <f aca="false">dummy_variables!P306</f>
        <v>1</v>
      </c>
      <c r="J309" s="0" t="n">
        <f aca="false">dummy_variables!Q306</f>
        <v>0</v>
      </c>
      <c r="K309" s="0" t="n">
        <f aca="false">dummy_variables!R306</f>
        <v>0</v>
      </c>
      <c r="L309" s="0" t="n">
        <f aca="false">dummy_variables!S306</f>
        <v>0</v>
      </c>
      <c r="M309" s="0" t="n">
        <f aca="false">dummy_variables!T306</f>
        <v>1</v>
      </c>
      <c r="N309" s="0" t="n">
        <f aca="false">dummy_variables!M306</f>
        <v>727957.48</v>
      </c>
    </row>
    <row r="310" customFormat="false" ht="15" hidden="false" customHeight="false" outlineLevel="0" collapsed="false">
      <c r="A310" s="0" t="n">
        <f aca="false">dummy_variables!E307</f>
        <v>46146.24</v>
      </c>
      <c r="B310" s="0" t="n">
        <f aca="false">dummy_variables!F307</f>
        <v>5804</v>
      </c>
      <c r="C310" s="0" t="n">
        <f aca="false">dummy_variables!G307</f>
        <v>0.047</v>
      </c>
      <c r="D310" s="0" t="n">
        <f aca="false">dummy_variables!I307</f>
        <v>86.9</v>
      </c>
      <c r="E310" s="0" t="n">
        <f aca="false">dummy_variables!J307</f>
        <v>15.82</v>
      </c>
      <c r="F310" s="0" t="n">
        <f aca="false">dummy_variables!K307</f>
        <v>0</v>
      </c>
      <c r="G310" s="0" t="n">
        <f aca="false">dummy_variables!L307</f>
        <v>3.8</v>
      </c>
      <c r="H310" s="0" t="n">
        <f aca="false">dummy_variables!O307</f>
        <v>0</v>
      </c>
      <c r="I310" s="0" t="n">
        <f aca="false">dummy_variables!P307</f>
        <v>1</v>
      </c>
      <c r="J310" s="0" t="n">
        <f aca="false">dummy_variables!Q307</f>
        <v>0</v>
      </c>
      <c r="K310" s="0" t="n">
        <f aca="false">dummy_variables!R307</f>
        <v>0</v>
      </c>
      <c r="L310" s="0" t="n">
        <f aca="false">dummy_variables!S307</f>
        <v>0</v>
      </c>
      <c r="M310" s="0" t="n">
        <f aca="false">dummy_variables!T307</f>
        <v>1</v>
      </c>
      <c r="N310" s="0" t="n">
        <f aca="false">dummy_variables!M307</f>
        <v>538376</v>
      </c>
    </row>
    <row r="311" customFormat="false" ht="15" hidden="false" customHeight="false" outlineLevel="0" collapsed="false">
      <c r="A311" s="0" t="n">
        <f aca="false">dummy_variables!E308</f>
        <v>22387.26</v>
      </c>
      <c r="B311" s="0" t="n">
        <f aca="false">dummy_variables!F308</f>
        <v>6301</v>
      </c>
      <c r="C311" s="0" t="n">
        <f aca="false">dummy_variables!G308</f>
        <v>0.146</v>
      </c>
      <c r="D311" s="0" t="n">
        <f aca="false">dummy_variables!I308</f>
        <v>85.9</v>
      </c>
      <c r="E311" s="0" t="n">
        <f aca="false">dummy_variables!J308</f>
        <v>1.17</v>
      </c>
      <c r="F311" s="0" t="n">
        <f aca="false">dummy_variables!K308</f>
        <v>1</v>
      </c>
      <c r="G311" s="0" t="n">
        <f aca="false">dummy_variables!L308</f>
        <v>3.7</v>
      </c>
      <c r="H311" s="0" t="n">
        <f aca="false">dummy_variables!O308</f>
        <v>0</v>
      </c>
      <c r="I311" s="0" t="n">
        <f aca="false">dummy_variables!P308</f>
        <v>1</v>
      </c>
      <c r="J311" s="0" t="n">
        <f aca="false">dummy_variables!Q308</f>
        <v>0</v>
      </c>
      <c r="K311" s="0" t="n">
        <f aca="false">dummy_variables!R308</f>
        <v>0</v>
      </c>
      <c r="L311" s="0" t="n">
        <f aca="false">dummy_variables!S308</f>
        <v>0</v>
      </c>
      <c r="M311" s="0" t="n">
        <f aca="false">dummy_variables!T308</f>
        <v>1</v>
      </c>
      <c r="N311" s="0" t="n">
        <f aca="false">dummy_variables!M308</f>
        <v>665342.49</v>
      </c>
    </row>
    <row r="312" customFormat="false" ht="15" hidden="false" customHeight="false" outlineLevel="0" collapsed="false">
      <c r="A312" s="0" t="n">
        <f aca="false">dummy_variables!E309</f>
        <v>60684.05</v>
      </c>
      <c r="B312" s="0" t="n">
        <f aca="false">dummy_variables!F309</f>
        <v>6399</v>
      </c>
      <c r="C312" s="0" t="n">
        <f aca="false">dummy_variables!G309</f>
        <v>0.075</v>
      </c>
      <c r="D312" s="0" t="n">
        <f aca="false">dummy_variables!I309</f>
        <v>99</v>
      </c>
      <c r="E312" s="0" t="n">
        <f aca="false">dummy_variables!J309</f>
        <v>3.82</v>
      </c>
      <c r="F312" s="0" t="n">
        <f aca="false">dummy_variables!K309</f>
        <v>0</v>
      </c>
      <c r="G312" s="0" t="n">
        <f aca="false">dummy_variables!L309</f>
        <v>3.5</v>
      </c>
      <c r="H312" s="0" t="n">
        <f aca="false">dummy_variables!O309</f>
        <v>0</v>
      </c>
      <c r="I312" s="0" t="n">
        <f aca="false">dummy_variables!P309</f>
        <v>1</v>
      </c>
      <c r="J312" s="0" t="n">
        <f aca="false">dummy_variables!Q309</f>
        <v>0</v>
      </c>
      <c r="K312" s="0" t="n">
        <f aca="false">dummy_variables!R309</f>
        <v>0</v>
      </c>
      <c r="L312" s="0" t="n">
        <f aca="false">dummy_variables!S309</f>
        <v>0</v>
      </c>
      <c r="M312" s="0" t="n">
        <f aca="false">dummy_variables!T309</f>
        <v>1</v>
      </c>
      <c r="N312" s="0" t="n">
        <f aca="false">dummy_variables!M309</f>
        <v>651164.18</v>
      </c>
    </row>
    <row r="313" customFormat="false" ht="15" hidden="false" customHeight="false" outlineLevel="0" collapsed="false">
      <c r="A313" s="0" t="n">
        <f aca="false">dummy_variables!E310</f>
        <v>48465.6</v>
      </c>
      <c r="B313" s="0" t="n">
        <f aca="false">dummy_variables!F310</f>
        <v>5759</v>
      </c>
      <c r="C313" s="0" t="n">
        <f aca="false">dummy_variables!G310</f>
        <v>0.154</v>
      </c>
      <c r="D313" s="0" t="n">
        <f aca="false">dummy_variables!I310</f>
        <v>87.5</v>
      </c>
      <c r="E313" s="0" t="n">
        <f aca="false">dummy_variables!J310</f>
        <v>4.14</v>
      </c>
      <c r="F313" s="0" t="n">
        <f aca="false">dummy_variables!K310</f>
        <v>0</v>
      </c>
      <c r="G313" s="0" t="n">
        <f aca="false">dummy_variables!L310</f>
        <v>4</v>
      </c>
      <c r="H313" s="0" t="n">
        <f aca="false">dummy_variables!O310</f>
        <v>0</v>
      </c>
      <c r="I313" s="0" t="n">
        <f aca="false">dummy_variables!P310</f>
        <v>1</v>
      </c>
      <c r="J313" s="0" t="n">
        <f aca="false">dummy_variables!Q310</f>
        <v>0</v>
      </c>
      <c r="K313" s="0" t="n">
        <f aca="false">dummy_variables!R310</f>
        <v>0</v>
      </c>
      <c r="L313" s="0" t="n">
        <f aca="false">dummy_variables!S310</f>
        <v>0</v>
      </c>
      <c r="M313" s="0" t="n">
        <f aca="false">dummy_variables!T310</f>
        <v>0</v>
      </c>
      <c r="N313" s="0" t="n">
        <f aca="false">dummy_variables!M310</f>
        <v>628538.3</v>
      </c>
    </row>
    <row r="314" customFormat="false" ht="15" hidden="false" customHeight="false" outlineLevel="0" collapsed="false">
      <c r="A314" s="0" t="n">
        <f aca="false">dummy_variables!E311</f>
        <v>23702.38</v>
      </c>
      <c r="B314" s="0" t="n">
        <f aca="false">dummy_variables!F311</f>
        <v>5285</v>
      </c>
      <c r="C314" s="0" t="n">
        <f aca="false">dummy_variables!G311</f>
        <v>0.167</v>
      </c>
      <c r="D314" s="0" t="n">
        <f aca="false">dummy_variables!I311</f>
        <v>79.7</v>
      </c>
      <c r="E314" s="0" t="n">
        <f aca="false">dummy_variables!J311</f>
        <v>1.1</v>
      </c>
      <c r="F314" s="0" t="n">
        <f aca="false">dummy_variables!K311</f>
        <v>0</v>
      </c>
      <c r="G314" s="0" t="n">
        <f aca="false">dummy_variables!L311</f>
        <v>4.3</v>
      </c>
      <c r="H314" s="0" t="n">
        <f aca="false">dummy_variables!O311</f>
        <v>0</v>
      </c>
      <c r="I314" s="0" t="n">
        <f aca="false">dummy_variables!P311</f>
        <v>1</v>
      </c>
      <c r="J314" s="0" t="n">
        <f aca="false">dummy_variables!Q311</f>
        <v>0</v>
      </c>
      <c r="K314" s="0" t="n">
        <f aca="false">dummy_variables!R311</f>
        <v>0</v>
      </c>
      <c r="L314" s="0" t="n">
        <f aca="false">dummy_variables!S311</f>
        <v>0</v>
      </c>
      <c r="M314" s="0" t="n">
        <f aca="false">dummy_variables!T311</f>
        <v>0</v>
      </c>
      <c r="N314" s="0" t="n">
        <f aca="false">dummy_variables!M311</f>
        <v>536524.84</v>
      </c>
    </row>
    <row r="315" customFormat="false" ht="15" hidden="false" customHeight="false" outlineLevel="0" collapsed="false">
      <c r="A315" s="0" t="n">
        <f aca="false">dummy_variables!E312</f>
        <v>54322.94</v>
      </c>
      <c r="B315" s="0" t="n">
        <f aca="false">dummy_variables!F312</f>
        <v>5434</v>
      </c>
      <c r="C315" s="0" t="n">
        <f aca="false">dummy_variables!G312</f>
        <v>0.2</v>
      </c>
      <c r="D315" s="0" t="n">
        <f aca="false">dummy_variables!I312</f>
        <v>85.7</v>
      </c>
      <c r="E315" s="0" t="n">
        <f aca="false">dummy_variables!J312</f>
        <v>10.6</v>
      </c>
      <c r="F315" s="0" t="n">
        <f aca="false">dummy_variables!K312</f>
        <v>0</v>
      </c>
      <c r="G315" s="0" t="n">
        <f aca="false">dummy_variables!L312</f>
        <v>4.2</v>
      </c>
      <c r="H315" s="0" t="n">
        <f aca="false">dummy_variables!O312</f>
        <v>0</v>
      </c>
      <c r="I315" s="0" t="n">
        <f aca="false">dummy_variables!P312</f>
        <v>1</v>
      </c>
      <c r="J315" s="0" t="n">
        <f aca="false">dummy_variables!Q312</f>
        <v>0</v>
      </c>
      <c r="K315" s="0" t="n">
        <f aca="false">dummy_variables!R312</f>
        <v>0</v>
      </c>
      <c r="L315" s="0" t="n">
        <f aca="false">dummy_variables!S312</f>
        <v>0</v>
      </c>
      <c r="M315" s="0" t="n">
        <f aca="false">dummy_variables!T312</f>
        <v>0</v>
      </c>
      <c r="N315" s="0" t="n">
        <f aca="false">dummy_variables!M312</f>
        <v>621677.3</v>
      </c>
    </row>
    <row r="316" customFormat="false" ht="15" hidden="false" customHeight="false" outlineLevel="0" collapsed="false">
      <c r="A316" s="0" t="n">
        <f aca="false">dummy_variables!E313</f>
        <v>86026.58</v>
      </c>
      <c r="B316" s="0" t="n">
        <f aca="false">dummy_variables!F313</f>
        <v>7479</v>
      </c>
      <c r="C316" s="0" t="n">
        <f aca="false">dummy_variables!G313</f>
        <v>0.142</v>
      </c>
      <c r="D316" s="0" t="n">
        <f aca="false">dummy_variables!I313</f>
        <v>89</v>
      </c>
      <c r="E316" s="0" t="n">
        <f aca="false">dummy_variables!J313</f>
        <v>0.9</v>
      </c>
      <c r="F316" s="0" t="n">
        <f aca="false">dummy_variables!K313</f>
        <v>0</v>
      </c>
      <c r="G316" s="0" t="n">
        <f aca="false">dummy_variables!L313</f>
        <v>3.9</v>
      </c>
      <c r="H316" s="0" t="n">
        <f aca="false">dummy_variables!O313</f>
        <v>0</v>
      </c>
      <c r="I316" s="0" t="n">
        <f aca="false">dummy_variables!P313</f>
        <v>1</v>
      </c>
      <c r="J316" s="0" t="n">
        <f aca="false">dummy_variables!Q313</f>
        <v>0</v>
      </c>
      <c r="K316" s="0" t="n">
        <f aca="false">dummy_variables!R313</f>
        <v>0</v>
      </c>
      <c r="L316" s="0" t="n">
        <f aca="false">dummy_variables!S313</f>
        <v>0</v>
      </c>
      <c r="M316" s="0" t="n">
        <f aca="false">dummy_variables!T313</f>
        <v>0</v>
      </c>
      <c r="N316" s="0" t="n">
        <f aca="false">dummy_variables!M313</f>
        <v>771129.07</v>
      </c>
    </row>
    <row r="317" customFormat="false" ht="15" hidden="false" customHeight="false" outlineLevel="0" collapsed="false">
      <c r="A317" s="0" t="n">
        <f aca="false">dummy_variables!E314</f>
        <v>78967.52</v>
      </c>
      <c r="B317" s="0" t="n">
        <f aca="false">dummy_variables!F314</f>
        <v>6164</v>
      </c>
      <c r="C317" s="0" t="n">
        <f aca="false">dummy_variables!G314</f>
        <v>0.021</v>
      </c>
      <c r="D317" s="0" t="n">
        <f aca="false">dummy_variables!I314</f>
        <v>85.5</v>
      </c>
      <c r="E317" s="0" t="n">
        <f aca="false">dummy_variables!J314</f>
        <v>0.2</v>
      </c>
      <c r="F317" s="0" t="n">
        <f aca="false">dummy_variables!K314</f>
        <v>0</v>
      </c>
      <c r="G317" s="0" t="n">
        <f aca="false">dummy_variables!L314</f>
        <v>3.4</v>
      </c>
      <c r="H317" s="0" t="n">
        <f aca="false">dummy_variables!O314</f>
        <v>1</v>
      </c>
      <c r="I317" s="0" t="n">
        <f aca="false">dummy_variables!P314</f>
        <v>0</v>
      </c>
      <c r="J317" s="0" t="n">
        <f aca="false">dummy_variables!Q314</f>
        <v>0</v>
      </c>
      <c r="K317" s="0" t="n">
        <f aca="false">dummy_variables!R314</f>
        <v>0</v>
      </c>
      <c r="L317" s="0" t="n">
        <f aca="false">dummy_variables!S314</f>
        <v>0</v>
      </c>
      <c r="M317" s="0" t="n">
        <f aca="false">dummy_variables!T314</f>
        <v>1</v>
      </c>
      <c r="N317" s="0" t="n">
        <f aca="false">dummy_variables!M314</f>
        <v>702052.47</v>
      </c>
    </row>
    <row r="318" customFormat="false" ht="15" hidden="false" customHeight="false" outlineLevel="0" collapsed="false">
      <c r="A318" s="0" t="n">
        <f aca="false">dummy_variables!E315</f>
        <v>46767.99</v>
      </c>
      <c r="B318" s="0" t="n">
        <f aca="false">dummy_variables!F315</f>
        <v>7973</v>
      </c>
      <c r="C318" s="0" t="n">
        <f aca="false">dummy_variables!G315</f>
        <v>0.183</v>
      </c>
      <c r="D318" s="0" t="n">
        <f aca="false">dummy_variables!I315</f>
        <v>94.8</v>
      </c>
      <c r="E318" s="0" t="n">
        <f aca="false">dummy_variables!J315</f>
        <v>4.67</v>
      </c>
      <c r="F318" s="0" t="n">
        <f aca="false">dummy_variables!K315</f>
        <v>0</v>
      </c>
      <c r="G318" s="0" t="n">
        <f aca="false">dummy_variables!L315</f>
        <v>3.9</v>
      </c>
      <c r="H318" s="0" t="n">
        <f aca="false">dummy_variables!O315</f>
        <v>1</v>
      </c>
      <c r="I318" s="0" t="n">
        <f aca="false">dummy_variables!P315</f>
        <v>0</v>
      </c>
      <c r="J318" s="0" t="n">
        <f aca="false">dummy_variables!Q315</f>
        <v>0</v>
      </c>
      <c r="K318" s="0" t="n">
        <f aca="false">dummy_variables!R315</f>
        <v>0</v>
      </c>
      <c r="L318" s="0" t="n">
        <f aca="false">dummy_variables!S315</f>
        <v>0</v>
      </c>
      <c r="M318" s="0" t="n">
        <f aca="false">dummy_variables!T315</f>
        <v>1</v>
      </c>
      <c r="N318" s="0" t="n">
        <f aca="false">dummy_variables!M315</f>
        <v>688368.46</v>
      </c>
    </row>
    <row r="319" customFormat="false" ht="15" hidden="false" customHeight="false" outlineLevel="0" collapsed="false">
      <c r="A319" s="0" t="n">
        <f aca="false">dummy_variables!E316</f>
        <v>62507.16</v>
      </c>
      <c r="B319" s="0" t="n">
        <f aca="false">dummy_variables!F316</f>
        <v>6000</v>
      </c>
      <c r="C319" s="0" t="n">
        <f aca="false">dummy_variables!G316</f>
        <v>0.091</v>
      </c>
      <c r="D319" s="0" t="n">
        <f aca="false">dummy_variables!I316</f>
        <v>98.2</v>
      </c>
      <c r="E319" s="0" t="n">
        <f aca="false">dummy_variables!J316</f>
        <v>4.38</v>
      </c>
      <c r="F319" s="0" t="n">
        <f aca="false">dummy_variables!K316</f>
        <v>1</v>
      </c>
      <c r="G319" s="0" t="n">
        <f aca="false">dummy_variables!L316</f>
        <v>3.9</v>
      </c>
      <c r="H319" s="0" t="n">
        <f aca="false">dummy_variables!O316</f>
        <v>1</v>
      </c>
      <c r="I319" s="0" t="n">
        <f aca="false">dummy_variables!P316</f>
        <v>0</v>
      </c>
      <c r="J319" s="0" t="n">
        <f aca="false">dummy_variables!Q316</f>
        <v>0</v>
      </c>
      <c r="K319" s="0" t="n">
        <f aca="false">dummy_variables!R316</f>
        <v>0</v>
      </c>
      <c r="L319" s="0" t="n">
        <f aca="false">dummy_variables!S316</f>
        <v>0</v>
      </c>
      <c r="M319" s="0" t="n">
        <f aca="false">dummy_variables!T316</f>
        <v>1</v>
      </c>
      <c r="N319" s="0" t="n">
        <f aca="false">dummy_variables!M316</f>
        <v>712375.77</v>
      </c>
    </row>
    <row r="320" customFormat="false" ht="15" hidden="false" customHeight="false" outlineLevel="0" collapsed="false">
      <c r="A320" s="0" t="n">
        <f aca="false">dummy_variables!E317</f>
        <v>66456.28</v>
      </c>
      <c r="B320" s="0" t="n">
        <f aca="false">dummy_variables!F317</f>
        <v>9967</v>
      </c>
      <c r="C320" s="0" t="n">
        <f aca="false">dummy_variables!G317</f>
        <v>0.108</v>
      </c>
      <c r="D320" s="0" t="n">
        <f aca="false">dummy_variables!I317</f>
        <v>94.7</v>
      </c>
      <c r="E320" s="0" t="n">
        <f aca="false">dummy_variables!J317</f>
        <v>4.48</v>
      </c>
      <c r="F320" s="0" t="n">
        <f aca="false">dummy_variables!K317</f>
        <v>0</v>
      </c>
      <c r="G320" s="0" t="n">
        <f aca="false">dummy_variables!L317</f>
        <v>4.2</v>
      </c>
      <c r="H320" s="0" t="n">
        <f aca="false">dummy_variables!O317</f>
        <v>1</v>
      </c>
      <c r="I320" s="0" t="n">
        <f aca="false">dummy_variables!P317</f>
        <v>0</v>
      </c>
      <c r="J320" s="0" t="n">
        <f aca="false">dummy_variables!Q317</f>
        <v>0</v>
      </c>
      <c r="K320" s="0" t="n">
        <f aca="false">dummy_variables!R317</f>
        <v>0</v>
      </c>
      <c r="L320" s="0" t="n">
        <f aca="false">dummy_variables!S317</f>
        <v>0</v>
      </c>
      <c r="M320" s="0" t="n">
        <f aca="false">dummy_variables!T317</f>
        <v>1</v>
      </c>
      <c r="N320" s="0" t="n">
        <f aca="false">dummy_variables!M317</f>
        <v>844710.67</v>
      </c>
    </row>
    <row r="321" customFormat="false" ht="15" hidden="false" customHeight="false" outlineLevel="0" collapsed="false">
      <c r="A321" s="0" t="n">
        <f aca="false">dummy_variables!E318</f>
        <v>76614.32</v>
      </c>
      <c r="B321" s="0" t="n">
        <f aca="false">dummy_variables!F318</f>
        <v>5639</v>
      </c>
      <c r="C321" s="0" t="n">
        <f aca="false">dummy_variables!G318</f>
        <v>0.174</v>
      </c>
      <c r="D321" s="0" t="n">
        <f aca="false">dummy_variables!I318</f>
        <v>92.9</v>
      </c>
      <c r="E321" s="0" t="n">
        <f aca="false">dummy_variables!J318</f>
        <v>1.02</v>
      </c>
      <c r="F321" s="0" t="n">
        <f aca="false">dummy_variables!K318</f>
        <v>1</v>
      </c>
      <c r="G321" s="0" t="n">
        <f aca="false">dummy_variables!L318</f>
        <v>4</v>
      </c>
      <c r="H321" s="0" t="n">
        <f aca="false">dummy_variables!O318</f>
        <v>0</v>
      </c>
      <c r="I321" s="0" t="n">
        <f aca="false">dummy_variables!P318</f>
        <v>0</v>
      </c>
      <c r="J321" s="0" t="n">
        <f aca="false">dummy_variables!Q318</f>
        <v>0</v>
      </c>
      <c r="K321" s="0" t="n">
        <f aca="false">dummy_variables!R318</f>
        <v>0</v>
      </c>
      <c r="L321" s="0" t="n">
        <f aca="false">dummy_variables!S318</f>
        <v>0</v>
      </c>
      <c r="M321" s="0" t="n">
        <f aca="false">dummy_variables!T318</f>
        <v>1</v>
      </c>
      <c r="N321" s="0" t="n">
        <f aca="false">dummy_variables!M318</f>
        <v>620264.2</v>
      </c>
    </row>
    <row r="322" customFormat="false" ht="15" hidden="false" customHeight="false" outlineLevel="0" collapsed="false">
      <c r="A322" s="0" t="n">
        <f aca="false">dummy_variables!E319</f>
        <v>24088.06</v>
      </c>
      <c r="B322" s="0" t="n">
        <f aca="false">dummy_variables!F319</f>
        <v>3466</v>
      </c>
      <c r="C322" s="0" t="n">
        <f aca="false">dummy_variables!G319</f>
        <v>0</v>
      </c>
      <c r="D322" s="0" t="n">
        <f aca="false">dummy_variables!I319</f>
        <v>88</v>
      </c>
      <c r="E322" s="0" t="n">
        <f aca="false">dummy_variables!J319</f>
        <v>0.2</v>
      </c>
      <c r="F322" s="0" t="n">
        <f aca="false">dummy_variables!K319</f>
        <v>0</v>
      </c>
      <c r="G322" s="0" t="n">
        <f aca="false">dummy_variables!L319</f>
        <v>3.8</v>
      </c>
      <c r="H322" s="0" t="n">
        <f aca="false">dummy_variables!O319</f>
        <v>0</v>
      </c>
      <c r="I322" s="0" t="n">
        <f aca="false">dummy_variables!P319</f>
        <v>0</v>
      </c>
      <c r="J322" s="0" t="n">
        <f aca="false">dummy_variables!Q319</f>
        <v>0</v>
      </c>
      <c r="K322" s="0" t="n">
        <f aca="false">dummy_variables!R319</f>
        <v>0</v>
      </c>
      <c r="L322" s="0" t="n">
        <f aca="false">dummy_variables!S319</f>
        <v>0</v>
      </c>
      <c r="M322" s="0" t="n">
        <f aca="false">dummy_variables!T319</f>
        <v>1</v>
      </c>
      <c r="N322" s="0" t="n">
        <f aca="false">dummy_variables!M319</f>
        <v>536845.42</v>
      </c>
    </row>
    <row r="323" customFormat="false" ht="15" hidden="false" customHeight="false" outlineLevel="0" collapsed="false">
      <c r="A323" s="0" t="n">
        <f aca="false">dummy_variables!E320</f>
        <v>81902.58</v>
      </c>
      <c r="B323" s="0" t="n">
        <f aca="false">dummy_variables!F320</f>
        <v>7775</v>
      </c>
      <c r="C323" s="0" t="n">
        <f aca="false">dummy_variables!G320</f>
        <v>0.215</v>
      </c>
      <c r="D323" s="0" t="n">
        <f aca="false">dummy_variables!I320</f>
        <v>85.2</v>
      </c>
      <c r="E323" s="0" t="n">
        <f aca="false">dummy_variables!J320</f>
        <v>4.89</v>
      </c>
      <c r="F323" s="0" t="n">
        <f aca="false">dummy_variables!K320</f>
        <v>1</v>
      </c>
      <c r="G323" s="0" t="n">
        <f aca="false">dummy_variables!L320</f>
        <v>4.2</v>
      </c>
      <c r="H323" s="0" t="n">
        <f aca="false">dummy_variables!O320</f>
        <v>0</v>
      </c>
      <c r="I323" s="0" t="n">
        <f aca="false">dummy_variables!P320</f>
        <v>0</v>
      </c>
      <c r="J323" s="0" t="n">
        <f aca="false">dummy_variables!Q320</f>
        <v>0</v>
      </c>
      <c r="K323" s="0" t="n">
        <f aca="false">dummy_variables!R320</f>
        <v>0</v>
      </c>
      <c r="L323" s="0" t="n">
        <f aca="false">dummy_variables!S320</f>
        <v>0</v>
      </c>
      <c r="M323" s="0" t="n">
        <f aca="false">dummy_variables!T320</f>
        <v>1</v>
      </c>
      <c r="N323" s="0" t="n">
        <f aca="false">dummy_variables!M320</f>
        <v>726776.22</v>
      </c>
    </row>
    <row r="324" customFormat="false" ht="15" hidden="false" customHeight="false" outlineLevel="0" collapsed="false">
      <c r="A324" s="0" t="n">
        <f aca="false">dummy_variables!E321</f>
        <v>40553.11</v>
      </c>
      <c r="B324" s="0" t="n">
        <f aca="false">dummy_variables!F321</f>
        <v>5317</v>
      </c>
      <c r="C324" s="0" t="n">
        <f aca="false">dummy_variables!G321</f>
        <v>0.165</v>
      </c>
      <c r="D324" s="0" t="n">
        <f aca="false">dummy_variables!I321</f>
        <v>84.3</v>
      </c>
      <c r="E324" s="0" t="n">
        <f aca="false">dummy_variables!J321</f>
        <v>11.82</v>
      </c>
      <c r="F324" s="0" t="n">
        <f aca="false">dummy_variables!K321</f>
        <v>0</v>
      </c>
      <c r="G324" s="0" t="n">
        <f aca="false">dummy_variables!L321</f>
        <v>4.1</v>
      </c>
      <c r="H324" s="0" t="n">
        <f aca="false">dummy_variables!O321</f>
        <v>0</v>
      </c>
      <c r="I324" s="0" t="n">
        <f aca="false">dummy_variables!P321</f>
        <v>0</v>
      </c>
      <c r="J324" s="0" t="n">
        <f aca="false">dummy_variables!Q321</f>
        <v>0</v>
      </c>
      <c r="K324" s="0" t="n">
        <f aca="false">dummy_variables!R321</f>
        <v>0</v>
      </c>
      <c r="L324" s="0" t="n">
        <f aca="false">dummy_variables!S321</f>
        <v>0</v>
      </c>
      <c r="M324" s="0" t="n">
        <f aca="false">dummy_variables!T321</f>
        <v>1</v>
      </c>
      <c r="N324" s="0" t="n">
        <f aca="false">dummy_variables!M321</f>
        <v>559660.84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7.35" hidden="false" customHeight="false" outlineLevel="0" collapsed="false">
      <c r="A1" s="3" t="s">
        <v>148</v>
      </c>
      <c r="B1" s="3"/>
      <c r="C1" s="3"/>
      <c r="D1" s="3"/>
      <c r="E1" s="3"/>
      <c r="F1" s="3"/>
      <c r="G1" s="3"/>
      <c r="H1" s="3"/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149</v>
      </c>
      <c r="F3" s="1" t="s">
        <v>150</v>
      </c>
      <c r="G3" s="1" t="s">
        <v>151</v>
      </c>
      <c r="H3" s="1" t="s">
        <v>152</v>
      </c>
    </row>
    <row r="4" customFormat="false" ht="15" hidden="false" customHeight="false" outlineLevel="0" collapsed="false">
      <c r="A4" s="0" t="str">
        <f aca="false">dummy_variables!A2</f>
        <v>STR-1001</v>
      </c>
      <c r="B4" s="0" t="str">
        <f aca="false">dummy_variables!B2</f>
        <v>2025-01-01</v>
      </c>
      <c r="C4" s="0" t="str">
        <f aca="false">dummy_variables!C2</f>
        <v>East</v>
      </c>
      <c r="D4" s="0" t="str">
        <f aca="false">dummy_variables!D2</f>
        <v>Residential</v>
      </c>
      <c r="E4" s="0" t="n">
        <f aca="false">dummy_variables!M2</f>
        <v>658832.62</v>
      </c>
      <c r="F4" s="0" t="n">
        <f aca="false">multiple_regression!$R$5+multiple_regression!$R$6*dummy_variables!E2+multiple_regression!$R$7*dummy_variables!F2+multiple_regression!$R$8*dummy_variables!G2+multiple_regression!$R$9*dummy_variables!I2+multiple_regression!$R$10*dummy_variables!J2+multiple_regression!$R$11*dummy_variables!K2+multiple_regression!$R$12*dummy_variables!L2+multiple_regression!$R$13*dummy_variables!O2+multiple_regression!$R$14*dummy_variables!P2+multiple_regression!$R$15*dummy_variables!Q2+multiple_regression!$R$16*dummy_variables!R2+multiple_regression!$R$17*dummy_variables!S2+multiple_regression!$R$18*dummy_variables!T2</f>
        <v>687401.874868521</v>
      </c>
      <c r="G4" s="0" t="n">
        <f aca="false">E4-F4</f>
        <v>-28569.2548685209</v>
      </c>
      <c r="H4" s="0" t="n">
        <f aca="false">ABS(G4)</f>
        <v>28569.2548685209</v>
      </c>
    </row>
    <row r="5" customFormat="false" ht="15" hidden="false" customHeight="false" outlineLevel="0" collapsed="false">
      <c r="A5" s="0" t="str">
        <f aca="false">dummy_variables!A3</f>
        <v>STR-1001</v>
      </c>
      <c r="B5" s="0" t="str">
        <f aca="false">dummy_variables!B3</f>
        <v>2025-02-01</v>
      </c>
      <c r="C5" s="0" t="str">
        <f aca="false">dummy_variables!C3</f>
        <v>East</v>
      </c>
      <c r="D5" s="0" t="str">
        <f aca="false">dummy_variables!D3</f>
        <v>Residential</v>
      </c>
      <c r="E5" s="0" t="n">
        <f aca="false">dummy_variables!M3</f>
        <v>634436</v>
      </c>
      <c r="F5" s="0" t="n">
        <f aca="false">multiple_regression!$R$5+multiple_regression!$R$6*dummy_variables!E3+multiple_regression!$R$7*dummy_variables!F3+multiple_regression!$R$8*dummy_variables!G3+multiple_regression!$R$9*dummy_variables!I3+multiple_regression!$R$10*dummy_variables!J3+multiple_regression!$R$11*dummy_variables!K3+multiple_regression!$R$12*dummy_variables!L3+multiple_regression!$R$13*dummy_variables!O3+multiple_regression!$R$14*dummy_variables!P3+multiple_regression!$R$15*dummy_variables!Q3+multiple_regression!$R$16*dummy_variables!R3+multiple_regression!$R$17*dummy_variables!S3+multiple_regression!$R$18*dummy_variables!T3</f>
        <v>670097.627332318</v>
      </c>
      <c r="G5" s="0" t="n">
        <f aca="false">E5-F5</f>
        <v>-35661.6273323179</v>
      </c>
      <c r="H5" s="0" t="n">
        <f aca="false">ABS(G5)</f>
        <v>35661.6273323179</v>
      </c>
    </row>
    <row r="6" customFormat="false" ht="15" hidden="false" customHeight="false" outlineLevel="0" collapsed="false">
      <c r="A6" s="0" t="str">
        <f aca="false">dummy_variables!A4</f>
        <v>STR-1001</v>
      </c>
      <c r="B6" s="0" t="str">
        <f aca="false">dummy_variables!B4</f>
        <v>2025-03-01</v>
      </c>
      <c r="C6" s="0" t="str">
        <f aca="false">dummy_variables!C4</f>
        <v>East</v>
      </c>
      <c r="D6" s="0" t="str">
        <f aca="false">dummy_variables!D4</f>
        <v>Residential</v>
      </c>
      <c r="E6" s="0" t="n">
        <f aca="false">dummy_variables!M4</f>
        <v>678722.06</v>
      </c>
      <c r="F6" s="0" t="n">
        <f aca="false">multiple_regression!$R$5+multiple_regression!$R$6*dummy_variables!E4+multiple_regression!$R$7*dummy_variables!F4+multiple_regression!$R$8*dummy_variables!G4+multiple_regression!$R$9*dummy_variables!I4+multiple_regression!$R$10*dummy_variables!J4+multiple_regression!$R$11*dummy_variables!K4+multiple_regression!$R$12*dummy_variables!L4+multiple_regression!$R$13*dummy_variables!O4+multiple_regression!$R$14*dummy_variables!P4+multiple_regression!$R$15*dummy_variables!Q4+multiple_regression!$R$16*dummy_variables!R4+multiple_regression!$R$17*dummy_variables!S4+multiple_regression!$R$18*dummy_variables!T4</f>
        <v>701938.575294731</v>
      </c>
      <c r="G6" s="0" t="n">
        <f aca="false">E6-F6</f>
        <v>-23216.515294731</v>
      </c>
      <c r="H6" s="0" t="n">
        <f aca="false">ABS(G6)</f>
        <v>23216.515294731</v>
      </c>
    </row>
    <row r="7" customFormat="false" ht="15" hidden="false" customHeight="false" outlineLevel="0" collapsed="false">
      <c r="A7" s="0" t="str">
        <f aca="false">dummy_variables!A5</f>
        <v>STR-1001</v>
      </c>
      <c r="B7" s="0" t="str">
        <f aca="false">dummy_variables!B5</f>
        <v>2025-04-01</v>
      </c>
      <c r="C7" s="0" t="str">
        <f aca="false">dummy_variables!C5</f>
        <v>East</v>
      </c>
      <c r="D7" s="0" t="str">
        <f aca="false">dummy_variables!D5</f>
        <v>Residential</v>
      </c>
      <c r="E7" s="0" t="n">
        <f aca="false">dummy_variables!M5</f>
        <v>658920.3</v>
      </c>
      <c r="F7" s="0" t="n">
        <f aca="false">multiple_regression!$R$5+multiple_regression!$R$6*dummy_variables!E5+multiple_regression!$R$7*dummy_variables!F5+multiple_regression!$R$8*dummy_variables!G5+multiple_regression!$R$9*dummy_variables!I5+multiple_regression!$R$10*dummy_variables!J5+multiple_regression!$R$11*dummy_variables!K5+multiple_regression!$R$12*dummy_variables!L5+multiple_regression!$R$13*dummy_variables!O5+multiple_regression!$R$14*dummy_variables!P5+multiple_regression!$R$15*dummy_variables!Q5+multiple_regression!$R$16*dummy_variables!R5+multiple_regression!$R$17*dummy_variables!S5+multiple_regression!$R$18*dummy_variables!T5</f>
        <v>731296.324313819</v>
      </c>
      <c r="G7" s="0" t="n">
        <f aca="false">E7-F7</f>
        <v>-72376.0243138193</v>
      </c>
      <c r="H7" s="0" t="n">
        <f aca="false">ABS(G7)</f>
        <v>72376.0243138193</v>
      </c>
    </row>
    <row r="8" customFormat="false" ht="15" hidden="false" customHeight="false" outlineLevel="0" collapsed="false">
      <c r="A8" s="0" t="str">
        <f aca="false">dummy_variables!A6</f>
        <v>STR-1002</v>
      </c>
      <c r="B8" s="0" t="str">
        <f aca="false">dummy_variables!B6</f>
        <v>2025-01-01</v>
      </c>
      <c r="C8" s="0" t="str">
        <f aca="false">dummy_variables!C6</f>
        <v>East</v>
      </c>
      <c r="D8" s="0" t="str">
        <f aca="false">dummy_variables!D6</f>
        <v>High Street</v>
      </c>
      <c r="E8" s="0" t="n">
        <f aca="false">dummy_variables!M6</f>
        <v>741341.44</v>
      </c>
      <c r="F8" s="0" t="n">
        <f aca="false">multiple_regression!$R$5+multiple_regression!$R$6*dummy_variables!E6+multiple_regression!$R$7*dummy_variables!F6+multiple_regression!$R$8*dummy_variables!G6+multiple_regression!$R$9*dummy_variables!I6+multiple_regression!$R$10*dummy_variables!J6+multiple_regression!$R$11*dummy_variables!K6+multiple_regression!$R$12*dummy_variables!L6+multiple_regression!$R$13*dummy_variables!O6+multiple_regression!$R$14*dummy_variables!P6+multiple_regression!$R$15*dummy_variables!Q6+multiple_regression!$R$16*dummy_variables!R6+multiple_regression!$R$17*dummy_variables!S6+multiple_regression!$R$18*dummy_variables!T6</f>
        <v>789758.42756002</v>
      </c>
      <c r="G8" s="0" t="n">
        <f aca="false">E8-F8</f>
        <v>-48416.9875600198</v>
      </c>
      <c r="H8" s="0" t="n">
        <f aca="false">ABS(G8)</f>
        <v>48416.9875600198</v>
      </c>
    </row>
    <row r="9" customFormat="false" ht="15" hidden="false" customHeight="false" outlineLevel="0" collapsed="false">
      <c r="A9" s="0" t="str">
        <f aca="false">dummy_variables!A7</f>
        <v>STR-1002</v>
      </c>
      <c r="B9" s="0" t="str">
        <f aca="false">dummy_variables!B7</f>
        <v>2025-02-01</v>
      </c>
      <c r="C9" s="0" t="str">
        <f aca="false">dummy_variables!C7</f>
        <v>East</v>
      </c>
      <c r="D9" s="0" t="str">
        <f aca="false">dummy_variables!D7</f>
        <v>High Street</v>
      </c>
      <c r="E9" s="0" t="n">
        <f aca="false">dummy_variables!M7</f>
        <v>761835.34</v>
      </c>
      <c r="F9" s="0" t="n">
        <f aca="false">multiple_regression!$R$5+multiple_regression!$R$6*dummy_variables!E7+multiple_regression!$R$7*dummy_variables!F7+multiple_regression!$R$8*dummy_variables!G7+multiple_regression!$R$9*dummy_variables!I7+multiple_regression!$R$10*dummy_variables!J7+multiple_regression!$R$11*dummy_variables!K7+multiple_regression!$R$12*dummy_variables!L7+multiple_regression!$R$13*dummy_variables!O7+multiple_regression!$R$14*dummy_variables!P7+multiple_regression!$R$15*dummy_variables!Q7+multiple_regression!$R$16*dummy_variables!R7+multiple_regression!$R$17*dummy_variables!S7+multiple_regression!$R$18*dummy_variables!T7</f>
        <v>781859.370488302</v>
      </c>
      <c r="G9" s="0" t="n">
        <f aca="false">E9-F9</f>
        <v>-20024.0304883018</v>
      </c>
      <c r="H9" s="0" t="n">
        <f aca="false">ABS(G9)</f>
        <v>20024.0304883018</v>
      </c>
    </row>
    <row r="10" customFormat="false" ht="15" hidden="false" customHeight="false" outlineLevel="0" collapsed="false">
      <c r="A10" s="0" t="str">
        <f aca="false">dummy_variables!A8</f>
        <v>STR-1002</v>
      </c>
      <c r="B10" s="0" t="str">
        <f aca="false">dummy_variables!B8</f>
        <v>2025-03-01</v>
      </c>
      <c r="C10" s="0" t="str">
        <f aca="false">dummy_variables!C8</f>
        <v>East</v>
      </c>
      <c r="D10" s="0" t="str">
        <f aca="false">dummy_variables!D8</f>
        <v>High Street</v>
      </c>
      <c r="E10" s="0" t="n">
        <f aca="false">dummy_variables!M8</f>
        <v>806615.54</v>
      </c>
      <c r="F10" s="0" t="n">
        <f aca="false">multiple_regression!$R$5+multiple_regression!$R$6*dummy_variables!E8+multiple_regression!$R$7*dummy_variables!F8+multiple_regression!$R$8*dummy_variables!G8+multiple_regression!$R$9*dummy_variables!I8+multiple_regression!$R$10*dummy_variables!J8+multiple_regression!$R$11*dummy_variables!K8+multiple_regression!$R$12*dummy_variables!L8+multiple_regression!$R$13*dummy_variables!O8+multiple_regression!$R$14*dummy_variables!P8+multiple_regression!$R$15*dummy_variables!Q8+multiple_regression!$R$16*dummy_variables!R8+multiple_regression!$R$17*dummy_variables!S8+multiple_regression!$R$18*dummy_variables!T8</f>
        <v>811415.169799429</v>
      </c>
      <c r="G10" s="0" t="n">
        <f aca="false">E10-F10</f>
        <v>-4799.62979942909</v>
      </c>
      <c r="H10" s="0" t="n">
        <f aca="false">ABS(G10)</f>
        <v>4799.62979942909</v>
      </c>
    </row>
    <row r="11" customFormat="false" ht="15" hidden="false" customHeight="false" outlineLevel="0" collapsed="false">
      <c r="A11" s="0" t="str">
        <f aca="false">dummy_variables!A9</f>
        <v>STR-1002</v>
      </c>
      <c r="B11" s="0" t="str">
        <f aca="false">dummy_variables!B9</f>
        <v>2025-04-01</v>
      </c>
      <c r="C11" s="0" t="str">
        <f aca="false">dummy_variables!C9</f>
        <v>East</v>
      </c>
      <c r="D11" s="0" t="str">
        <f aca="false">dummy_variables!D9</f>
        <v>High Street</v>
      </c>
      <c r="E11" s="0" t="n">
        <f aca="false">dummy_variables!M9</f>
        <v>850164.26</v>
      </c>
      <c r="F11" s="0" t="n">
        <f aca="false">multiple_regression!$R$5+multiple_regression!$R$6*dummy_variables!E9+multiple_regression!$R$7*dummy_variables!F9+multiple_regression!$R$8*dummy_variables!G9+multiple_regression!$R$9*dummy_variables!I9+multiple_regression!$R$10*dummy_variables!J9+multiple_regression!$R$11*dummy_variables!K9+multiple_regression!$R$12*dummy_variables!L9+multiple_regression!$R$13*dummy_variables!O9+multiple_regression!$R$14*dummy_variables!P9+multiple_regression!$R$15*dummy_variables!Q9+multiple_regression!$R$16*dummy_variables!R9+multiple_regression!$R$17*dummy_variables!S9+multiple_regression!$R$18*dummy_variables!T9</f>
        <v>781844.933137358</v>
      </c>
      <c r="G11" s="0" t="n">
        <f aca="false">E11-F11</f>
        <v>68319.3268626416</v>
      </c>
      <c r="H11" s="0" t="n">
        <f aca="false">ABS(G11)</f>
        <v>68319.3268626416</v>
      </c>
    </row>
    <row r="12" customFormat="false" ht="15" hidden="false" customHeight="false" outlineLevel="0" collapsed="false">
      <c r="A12" s="0" t="str">
        <f aca="false">dummy_variables!A10</f>
        <v>STR-1003</v>
      </c>
      <c r="B12" s="0" t="str">
        <f aca="false">dummy_variables!B10</f>
        <v>2025-01-01</v>
      </c>
      <c r="C12" s="0" t="str">
        <f aca="false">dummy_variables!C10</f>
        <v>North</v>
      </c>
      <c r="D12" s="0" t="str">
        <f aca="false">dummy_variables!D10</f>
        <v>Airport</v>
      </c>
      <c r="E12" s="0" t="n">
        <f aca="false">dummy_variables!M10</f>
        <v>930581.7</v>
      </c>
      <c r="F12" s="0" t="n">
        <f aca="false">multiple_regression!$R$5+multiple_regression!$R$6*dummy_variables!E10+multiple_regression!$R$7*dummy_variables!F10+multiple_regression!$R$8*dummy_variables!G10+multiple_regression!$R$9*dummy_variables!I10+multiple_regression!$R$10*dummy_variables!J10+multiple_regression!$R$11*dummy_variables!K10+multiple_regression!$R$12*dummy_variables!L10+multiple_regression!$R$13*dummy_variables!O10+multiple_regression!$R$14*dummy_variables!P10+multiple_regression!$R$15*dummy_variables!Q10+multiple_regression!$R$16*dummy_variables!R10+multiple_regression!$R$17*dummy_variables!S10+multiple_regression!$R$18*dummy_variables!T10</f>
        <v>869060.5246126</v>
      </c>
      <c r="G12" s="0" t="n">
        <f aca="false">E12-F12</f>
        <v>61521.1753874003</v>
      </c>
      <c r="H12" s="0" t="n">
        <f aca="false">ABS(G12)</f>
        <v>61521.1753874003</v>
      </c>
    </row>
    <row r="13" customFormat="false" ht="15" hidden="false" customHeight="false" outlineLevel="0" collapsed="false">
      <c r="A13" s="0" t="str">
        <f aca="false">dummy_variables!A11</f>
        <v>STR-1003</v>
      </c>
      <c r="B13" s="0" t="str">
        <f aca="false">dummy_variables!B11</f>
        <v>2025-02-01</v>
      </c>
      <c r="C13" s="0" t="str">
        <f aca="false">dummy_variables!C11</f>
        <v>North</v>
      </c>
      <c r="D13" s="0" t="str">
        <f aca="false">dummy_variables!D11</f>
        <v>Airport</v>
      </c>
      <c r="E13" s="0" t="n">
        <f aca="false">dummy_variables!M11</f>
        <v>779010.94</v>
      </c>
      <c r="F13" s="0" t="n">
        <f aca="false">multiple_regression!$R$5+multiple_regression!$R$6*dummy_variables!E11+multiple_regression!$R$7*dummy_variables!F11+multiple_regression!$R$8*dummy_variables!G11+multiple_regression!$R$9*dummy_variables!I11+multiple_regression!$R$10*dummy_variables!J11+multiple_regression!$R$11*dummy_variables!K11+multiple_regression!$R$12*dummy_variables!L11+multiple_regression!$R$13*dummy_variables!O11+multiple_regression!$R$14*dummy_variables!P11+multiple_regression!$R$15*dummy_variables!Q11+multiple_regression!$R$16*dummy_variables!R11+multiple_regression!$R$17*dummy_variables!S11+multiple_regression!$R$18*dummy_variables!T11</f>
        <v>812393.970630624</v>
      </c>
      <c r="G13" s="0" t="n">
        <f aca="false">E13-F13</f>
        <v>-33383.0306306245</v>
      </c>
      <c r="H13" s="0" t="n">
        <f aca="false">ABS(G13)</f>
        <v>33383.0306306245</v>
      </c>
    </row>
    <row r="14" customFormat="false" ht="15" hidden="false" customHeight="false" outlineLevel="0" collapsed="false">
      <c r="A14" s="0" t="str">
        <f aca="false">dummy_variables!A12</f>
        <v>STR-1003</v>
      </c>
      <c r="B14" s="0" t="str">
        <f aca="false">dummy_variables!B12</f>
        <v>2025-03-01</v>
      </c>
      <c r="C14" s="0" t="str">
        <f aca="false">dummy_variables!C12</f>
        <v>North</v>
      </c>
      <c r="D14" s="0" t="str">
        <f aca="false">dummy_variables!D12</f>
        <v>Airport</v>
      </c>
      <c r="E14" s="0" t="n">
        <f aca="false">dummy_variables!M12</f>
        <v>723060.76</v>
      </c>
      <c r="F14" s="0" t="n">
        <f aca="false">multiple_regression!$R$5+multiple_regression!$R$6*dummy_variables!E12+multiple_regression!$R$7*dummy_variables!F12+multiple_regression!$R$8*dummy_variables!G12+multiple_regression!$R$9*dummy_variables!I12+multiple_regression!$R$10*dummy_variables!J12+multiple_regression!$R$11*dummy_variables!K12+multiple_regression!$R$12*dummy_variables!L12+multiple_regression!$R$13*dummy_variables!O12+multiple_regression!$R$14*dummy_variables!P12+multiple_regression!$R$15*dummy_variables!Q12+multiple_regression!$R$16*dummy_variables!R12+multiple_regression!$R$17*dummy_variables!S12+multiple_regression!$R$18*dummy_variables!T12</f>
        <v>751964.010277696</v>
      </c>
      <c r="G14" s="0" t="n">
        <f aca="false">E14-F14</f>
        <v>-28903.2502776955</v>
      </c>
      <c r="H14" s="0" t="n">
        <f aca="false">ABS(G14)</f>
        <v>28903.2502776955</v>
      </c>
    </row>
    <row r="15" customFormat="false" ht="15" hidden="false" customHeight="false" outlineLevel="0" collapsed="false">
      <c r="A15" s="0" t="str">
        <f aca="false">dummy_variables!A13</f>
        <v>STR-1003</v>
      </c>
      <c r="B15" s="0" t="str">
        <f aca="false">dummy_variables!B13</f>
        <v>2025-04-01</v>
      </c>
      <c r="C15" s="0" t="str">
        <f aca="false">dummy_variables!C13</f>
        <v>North</v>
      </c>
      <c r="D15" s="0" t="str">
        <f aca="false">dummy_variables!D13</f>
        <v>Airport</v>
      </c>
      <c r="E15" s="0" t="n">
        <f aca="false">dummy_variables!M13</f>
        <v>910791.94</v>
      </c>
      <c r="F15" s="0" t="n">
        <f aca="false">multiple_regression!$R$5+multiple_regression!$R$6*dummy_variables!E13+multiple_regression!$R$7*dummy_variables!F13+multiple_regression!$R$8*dummy_variables!G13+multiple_regression!$R$9*dummy_variables!I13+multiple_regression!$R$10*dummy_variables!J13+multiple_regression!$R$11*dummy_variables!K13+multiple_regression!$R$12*dummy_variables!L13+multiple_regression!$R$13*dummy_variables!O13+multiple_regression!$R$14*dummy_variables!P13+multiple_regression!$R$15*dummy_variables!Q13+multiple_regression!$R$16*dummy_variables!R13+multiple_regression!$R$17*dummy_variables!S13+multiple_regression!$R$18*dummy_variables!T13</f>
        <v>858428.82984218</v>
      </c>
      <c r="G15" s="0" t="n">
        <f aca="false">E15-F15</f>
        <v>52363.1101578201</v>
      </c>
      <c r="H15" s="0" t="n">
        <f aca="false">ABS(G15)</f>
        <v>52363.1101578201</v>
      </c>
    </row>
    <row r="16" customFormat="false" ht="15" hidden="false" customHeight="false" outlineLevel="0" collapsed="false">
      <c r="A16" s="0" t="str">
        <f aca="false">dummy_variables!A14</f>
        <v>STR-1004</v>
      </c>
      <c r="B16" s="0" t="str">
        <f aca="false">dummy_variables!B14</f>
        <v>2025-01-01</v>
      </c>
      <c r="C16" s="0" t="str">
        <f aca="false">dummy_variables!C14</f>
        <v>East</v>
      </c>
      <c r="D16" s="0" t="str">
        <f aca="false">dummy_variables!D14</f>
        <v>Residential</v>
      </c>
      <c r="E16" s="0" t="n">
        <f aca="false">dummy_variables!M14</f>
        <v>922168.6</v>
      </c>
      <c r="F16" s="0" t="n">
        <f aca="false">multiple_regression!$R$5+multiple_regression!$R$6*dummy_variables!E14+multiple_regression!$R$7*dummy_variables!F14+multiple_regression!$R$8*dummy_variables!G14+multiple_regression!$R$9*dummy_variables!I14+multiple_regression!$R$10*dummy_variables!J14+multiple_regression!$R$11*dummy_variables!K14+multiple_regression!$R$12*dummy_variables!L14+multiple_regression!$R$13*dummy_variables!O14+multiple_regression!$R$14*dummy_variables!P14+multiple_regression!$R$15*dummy_variables!Q14+multiple_regression!$R$16*dummy_variables!R14+multiple_regression!$R$17*dummy_variables!S14+multiple_regression!$R$18*dummy_variables!T14</f>
        <v>873800.564588742</v>
      </c>
      <c r="G16" s="0" t="n">
        <f aca="false">E16-F16</f>
        <v>48368.0354112579</v>
      </c>
      <c r="H16" s="0" t="n">
        <f aca="false">ABS(G16)</f>
        <v>48368.0354112579</v>
      </c>
    </row>
    <row r="17" customFormat="false" ht="15" hidden="false" customHeight="false" outlineLevel="0" collapsed="false">
      <c r="A17" s="0" t="str">
        <f aca="false">dummy_variables!A15</f>
        <v>STR-1004</v>
      </c>
      <c r="B17" s="0" t="str">
        <f aca="false">dummy_variables!B15</f>
        <v>2025-02-01</v>
      </c>
      <c r="C17" s="0" t="str">
        <f aca="false">dummy_variables!C15</f>
        <v>East</v>
      </c>
      <c r="D17" s="0" t="str">
        <f aca="false">dummy_variables!D15</f>
        <v>Residential</v>
      </c>
      <c r="E17" s="0" t="n">
        <f aca="false">dummy_variables!M15</f>
        <v>726606.28</v>
      </c>
      <c r="F17" s="0" t="n">
        <f aca="false">multiple_regression!$R$5+multiple_regression!$R$6*dummy_variables!E15+multiple_regression!$R$7*dummy_variables!F15+multiple_regression!$R$8*dummy_variables!G15+multiple_regression!$R$9*dummy_variables!I15+multiple_regression!$R$10*dummy_variables!J15+multiple_regression!$R$11*dummy_variables!K15+multiple_regression!$R$12*dummy_variables!L15+multiple_regression!$R$13*dummy_variables!O15+multiple_regression!$R$14*dummy_variables!P15+multiple_regression!$R$15*dummy_variables!Q15+multiple_regression!$R$16*dummy_variables!R15+multiple_regression!$R$17*dummy_variables!S15+multiple_regression!$R$18*dummy_variables!T15</f>
        <v>768600.546710721</v>
      </c>
      <c r="G17" s="0" t="n">
        <f aca="false">E17-F17</f>
        <v>-41994.2667107214</v>
      </c>
      <c r="H17" s="0" t="n">
        <f aca="false">ABS(G17)</f>
        <v>41994.2667107214</v>
      </c>
    </row>
    <row r="18" customFormat="false" ht="15" hidden="false" customHeight="false" outlineLevel="0" collapsed="false">
      <c r="A18" s="0" t="str">
        <f aca="false">dummy_variables!A16</f>
        <v>STR-1004</v>
      </c>
      <c r="B18" s="0" t="str">
        <f aca="false">dummy_variables!B16</f>
        <v>2025-03-01</v>
      </c>
      <c r="C18" s="0" t="str">
        <f aca="false">dummy_variables!C16</f>
        <v>East</v>
      </c>
      <c r="D18" s="0" t="str">
        <f aca="false">dummy_variables!D16</f>
        <v>Residential</v>
      </c>
      <c r="E18" s="0" t="n">
        <f aca="false">dummy_variables!M16</f>
        <v>746501.09</v>
      </c>
      <c r="F18" s="0" t="n">
        <f aca="false">multiple_regression!$R$5+multiple_regression!$R$6*dummy_variables!E16+multiple_regression!$R$7*dummy_variables!F16+multiple_regression!$R$8*dummy_variables!G16+multiple_regression!$R$9*dummy_variables!I16+multiple_regression!$R$10*dummy_variables!J16+multiple_regression!$R$11*dummy_variables!K16+multiple_regression!$R$12*dummy_variables!L16+multiple_regression!$R$13*dummy_variables!O16+multiple_regression!$R$14*dummy_variables!P16+multiple_regression!$R$15*dummy_variables!Q16+multiple_regression!$R$16*dummy_variables!R16+multiple_regression!$R$17*dummy_variables!S16+multiple_regression!$R$18*dummy_variables!T16</f>
        <v>746046.404937633</v>
      </c>
      <c r="G18" s="0" t="n">
        <f aca="false">E18-F18</f>
        <v>454.685062366538</v>
      </c>
      <c r="H18" s="0" t="n">
        <f aca="false">ABS(G18)</f>
        <v>454.685062366538</v>
      </c>
    </row>
    <row r="19" customFormat="false" ht="15" hidden="false" customHeight="false" outlineLevel="0" collapsed="false">
      <c r="A19" s="0" t="str">
        <f aca="false">dummy_variables!A17</f>
        <v>STR-1004</v>
      </c>
      <c r="B19" s="0" t="str">
        <f aca="false">dummy_variables!B17</f>
        <v>2025-04-01</v>
      </c>
      <c r="C19" s="0" t="str">
        <f aca="false">dummy_variables!C17</f>
        <v>East</v>
      </c>
      <c r="D19" s="0" t="str">
        <f aca="false">dummy_variables!D17</f>
        <v>Residential</v>
      </c>
      <c r="E19" s="0" t="n">
        <f aca="false">dummy_variables!M17</f>
        <v>834017.02</v>
      </c>
      <c r="F19" s="0" t="n">
        <f aca="false">multiple_regression!$R$5+multiple_regression!$R$6*dummy_variables!E17+multiple_regression!$R$7*dummy_variables!F17+multiple_regression!$R$8*dummy_variables!G17+multiple_regression!$R$9*dummy_variables!I17+multiple_regression!$R$10*dummy_variables!J17+multiple_regression!$R$11*dummy_variables!K17+multiple_regression!$R$12*dummy_variables!L17+multiple_regression!$R$13*dummy_variables!O17+multiple_regression!$R$14*dummy_variables!P17+multiple_regression!$R$15*dummy_variables!Q17+multiple_regression!$R$16*dummy_variables!R17+multiple_regression!$R$17*dummy_variables!S17+multiple_regression!$R$18*dummy_variables!T17</f>
        <v>803963.785626054</v>
      </c>
      <c r="G19" s="0" t="n">
        <f aca="false">E19-F19</f>
        <v>30053.234373946</v>
      </c>
      <c r="H19" s="0" t="n">
        <f aca="false">ABS(G19)</f>
        <v>30053.234373946</v>
      </c>
    </row>
    <row r="20" customFormat="false" ht="15" hidden="false" customHeight="false" outlineLevel="0" collapsed="false">
      <c r="A20" s="0" t="str">
        <f aca="false">dummy_variables!A18</f>
        <v>STR-1005</v>
      </c>
      <c r="B20" s="0" t="str">
        <f aca="false">dummy_variables!B18</f>
        <v>2025-01-01</v>
      </c>
      <c r="C20" s="0" t="str">
        <f aca="false">dummy_variables!C18</f>
        <v>South</v>
      </c>
      <c r="D20" s="0" t="str">
        <f aca="false">dummy_variables!D18</f>
        <v>Residential</v>
      </c>
      <c r="E20" s="0" t="n">
        <f aca="false">dummy_variables!M18</f>
        <v>666152.52</v>
      </c>
      <c r="F20" s="0" t="n">
        <f aca="false">multiple_regression!$R$5+multiple_regression!$R$6*dummy_variables!E18+multiple_regression!$R$7*dummy_variables!F18+multiple_regression!$R$8*dummy_variables!G18+multiple_regression!$R$9*dummy_variables!I18+multiple_regression!$R$10*dummy_variables!J18+multiple_regression!$R$11*dummy_variables!K18+multiple_regression!$R$12*dummy_variables!L18+multiple_regression!$R$13*dummy_variables!O18+multiple_regression!$R$14*dummy_variables!P18+multiple_regression!$R$15*dummy_variables!Q18+multiple_regression!$R$16*dummy_variables!R18+multiple_regression!$R$17*dummy_variables!S18+multiple_regression!$R$18*dummy_variables!T18</f>
        <v>685519.353406254</v>
      </c>
      <c r="G20" s="0" t="n">
        <f aca="false">E20-F20</f>
        <v>-19366.8334062538</v>
      </c>
      <c r="H20" s="0" t="n">
        <f aca="false">ABS(G20)</f>
        <v>19366.8334062538</v>
      </c>
    </row>
    <row r="21" customFormat="false" ht="15" hidden="false" customHeight="false" outlineLevel="0" collapsed="false">
      <c r="A21" s="0" t="str">
        <f aca="false">dummy_variables!A19</f>
        <v>STR-1005</v>
      </c>
      <c r="B21" s="0" t="str">
        <f aca="false">dummy_variables!B19</f>
        <v>2025-02-01</v>
      </c>
      <c r="C21" s="0" t="str">
        <f aca="false">dummy_variables!C19</f>
        <v>South</v>
      </c>
      <c r="D21" s="0" t="str">
        <f aca="false">dummy_variables!D19</f>
        <v>Residential</v>
      </c>
      <c r="E21" s="0" t="n">
        <f aca="false">dummy_variables!M19</f>
        <v>573155.19</v>
      </c>
      <c r="F21" s="0" t="n">
        <f aca="false">multiple_regression!$R$5+multiple_regression!$R$6*dummy_variables!E19+multiple_regression!$R$7*dummy_variables!F19+multiple_regression!$R$8*dummy_variables!G19+multiple_regression!$R$9*dummy_variables!I19+multiple_regression!$R$10*dummy_variables!J19+multiple_regression!$R$11*dummy_variables!K19+multiple_regression!$R$12*dummy_variables!L19+multiple_regression!$R$13*dummy_variables!O19+multiple_regression!$R$14*dummy_variables!P19+multiple_regression!$R$15*dummy_variables!Q19+multiple_regression!$R$16*dummy_variables!R19+multiple_regression!$R$17*dummy_variables!S19+multiple_regression!$R$18*dummy_variables!T19</f>
        <v>588955.112104112</v>
      </c>
      <c r="G21" s="0" t="n">
        <f aca="false">E21-F21</f>
        <v>-15799.9221041116</v>
      </c>
      <c r="H21" s="0" t="n">
        <f aca="false">ABS(G21)</f>
        <v>15799.9221041116</v>
      </c>
    </row>
    <row r="22" customFormat="false" ht="15" hidden="false" customHeight="false" outlineLevel="0" collapsed="false">
      <c r="A22" s="0" t="str">
        <f aca="false">dummy_variables!A20</f>
        <v>STR-1005</v>
      </c>
      <c r="B22" s="0" t="str">
        <f aca="false">dummy_variables!B20</f>
        <v>2025-03-01</v>
      </c>
      <c r="C22" s="0" t="str">
        <f aca="false">dummy_variables!C20</f>
        <v>South</v>
      </c>
      <c r="D22" s="0" t="str">
        <f aca="false">dummy_variables!D20</f>
        <v>Residential</v>
      </c>
      <c r="E22" s="0" t="n">
        <f aca="false">dummy_variables!M20</f>
        <v>666573.2</v>
      </c>
      <c r="F22" s="0" t="n">
        <f aca="false">multiple_regression!$R$5+multiple_regression!$R$6*dummy_variables!E20+multiple_regression!$R$7*dummy_variables!F20+multiple_regression!$R$8*dummy_variables!G20+multiple_regression!$R$9*dummy_variables!I20+multiple_regression!$R$10*dummy_variables!J20+multiple_regression!$R$11*dummy_variables!K20+multiple_regression!$R$12*dummy_variables!L20+multiple_regression!$R$13*dummy_variables!O20+multiple_regression!$R$14*dummy_variables!P20+multiple_regression!$R$15*dummy_variables!Q20+multiple_regression!$R$16*dummy_variables!R20+multiple_regression!$R$17*dummy_variables!S20+multiple_regression!$R$18*dummy_variables!T20</f>
        <v>696478.045711431</v>
      </c>
      <c r="G22" s="0" t="n">
        <f aca="false">E22-F22</f>
        <v>-29904.8457114311</v>
      </c>
      <c r="H22" s="0" t="n">
        <f aca="false">ABS(G22)</f>
        <v>29904.8457114311</v>
      </c>
    </row>
    <row r="23" customFormat="false" ht="15" hidden="false" customHeight="false" outlineLevel="0" collapsed="false">
      <c r="A23" s="0" t="str">
        <f aca="false">dummy_variables!A21</f>
        <v>STR-1005</v>
      </c>
      <c r="B23" s="0" t="str">
        <f aca="false">dummy_variables!B21</f>
        <v>2025-04-01</v>
      </c>
      <c r="C23" s="0" t="str">
        <f aca="false">dummy_variables!C21</f>
        <v>South</v>
      </c>
      <c r="D23" s="0" t="str">
        <f aca="false">dummy_variables!D21</f>
        <v>Residential</v>
      </c>
      <c r="E23" s="0" t="n">
        <f aca="false">dummy_variables!M21</f>
        <v>591619.95</v>
      </c>
      <c r="F23" s="0" t="n">
        <f aca="false">multiple_regression!$R$5+multiple_regression!$R$6*dummy_variables!E21+multiple_regression!$R$7*dummy_variables!F21+multiple_regression!$R$8*dummy_variables!G21+multiple_regression!$R$9*dummy_variables!I21+multiple_regression!$R$10*dummy_variables!J21+multiple_regression!$R$11*dummy_variables!K21+multiple_regression!$R$12*dummy_variables!L21+multiple_regression!$R$13*dummy_variables!O21+multiple_regression!$R$14*dummy_variables!P21+multiple_regression!$R$15*dummy_variables!Q21+multiple_regression!$R$16*dummy_variables!R21+multiple_regression!$R$17*dummy_variables!S21+multiple_regression!$R$18*dummy_variables!T21</f>
        <v>604757.206887586</v>
      </c>
      <c r="G23" s="0" t="n">
        <f aca="false">E23-F23</f>
        <v>-13137.2568875864</v>
      </c>
      <c r="H23" s="0" t="n">
        <f aca="false">ABS(G23)</f>
        <v>13137.2568875864</v>
      </c>
    </row>
    <row r="24" customFormat="false" ht="15" hidden="false" customHeight="false" outlineLevel="0" collapsed="false">
      <c r="A24" s="0" t="str">
        <f aca="false">dummy_variables!A22</f>
        <v>STR-1006</v>
      </c>
      <c r="B24" s="0" t="str">
        <f aca="false">dummy_variables!B22</f>
        <v>2025-01-01</v>
      </c>
      <c r="C24" s="0" t="str">
        <f aca="false">dummy_variables!C22</f>
        <v>North</v>
      </c>
      <c r="D24" s="0" t="str">
        <f aca="false">dummy_variables!D22</f>
        <v>Residential</v>
      </c>
      <c r="E24" s="0" t="n">
        <f aca="false">dummy_variables!M22</f>
        <v>415721.82</v>
      </c>
      <c r="F24" s="0" t="n">
        <f aca="false">multiple_regression!$R$5+multiple_regression!$R$6*dummy_variables!E22+multiple_regression!$R$7*dummy_variables!F22+multiple_regression!$R$8*dummy_variables!G22+multiple_regression!$R$9*dummy_variables!I22+multiple_regression!$R$10*dummy_variables!J22+multiple_regression!$R$11*dummy_variables!K22+multiple_regression!$R$12*dummy_variables!L22+multiple_regression!$R$13*dummy_variables!O22+multiple_regression!$R$14*dummy_variables!P22+multiple_regression!$R$15*dummy_variables!Q22+multiple_regression!$R$16*dummy_variables!R22+multiple_regression!$R$17*dummy_variables!S22+multiple_regression!$R$18*dummy_variables!T22</f>
        <v>489824.298728804</v>
      </c>
      <c r="G24" s="0" t="n">
        <f aca="false">E24-F24</f>
        <v>-74102.4787288038</v>
      </c>
      <c r="H24" s="0" t="n">
        <f aca="false">ABS(G24)</f>
        <v>74102.4787288038</v>
      </c>
    </row>
    <row r="25" customFormat="false" ht="15" hidden="false" customHeight="false" outlineLevel="0" collapsed="false">
      <c r="A25" s="0" t="str">
        <f aca="false">dummy_variables!A23</f>
        <v>STR-1006</v>
      </c>
      <c r="B25" s="0" t="str">
        <f aca="false">dummy_variables!B23</f>
        <v>2025-02-01</v>
      </c>
      <c r="C25" s="0" t="str">
        <f aca="false">dummy_variables!C23</f>
        <v>North</v>
      </c>
      <c r="D25" s="0" t="str">
        <f aca="false">dummy_variables!D23</f>
        <v>Residential</v>
      </c>
      <c r="E25" s="0" t="n">
        <f aca="false">dummy_variables!M23</f>
        <v>491905.13</v>
      </c>
      <c r="F25" s="0" t="n">
        <f aca="false">multiple_regression!$R$5+multiple_regression!$R$6*dummy_variables!E23+multiple_regression!$R$7*dummy_variables!F23+multiple_regression!$R$8*dummy_variables!G23+multiple_regression!$R$9*dummy_variables!I23+multiple_regression!$R$10*dummy_variables!J23+multiple_regression!$R$11*dummy_variables!K23+multiple_regression!$R$12*dummy_variables!L23+multiple_regression!$R$13*dummy_variables!O23+multiple_regression!$R$14*dummy_variables!P23+multiple_regression!$R$15*dummy_variables!Q23+multiple_regression!$R$16*dummy_variables!R23+multiple_regression!$R$17*dummy_variables!S23+multiple_regression!$R$18*dummy_variables!T23</f>
        <v>506000.002367763</v>
      </c>
      <c r="G25" s="0" t="n">
        <f aca="false">E25-F25</f>
        <v>-14094.872367763</v>
      </c>
      <c r="H25" s="0" t="n">
        <f aca="false">ABS(G25)</f>
        <v>14094.872367763</v>
      </c>
    </row>
    <row r="26" customFormat="false" ht="15" hidden="false" customHeight="false" outlineLevel="0" collapsed="false">
      <c r="A26" s="0" t="str">
        <f aca="false">dummy_variables!A24</f>
        <v>STR-1006</v>
      </c>
      <c r="B26" s="0" t="str">
        <f aca="false">dummy_variables!B24</f>
        <v>2025-03-01</v>
      </c>
      <c r="C26" s="0" t="str">
        <f aca="false">dummy_variables!C24</f>
        <v>North</v>
      </c>
      <c r="D26" s="0" t="str">
        <f aca="false">dummy_variables!D24</f>
        <v>Residential</v>
      </c>
      <c r="E26" s="0" t="n">
        <f aca="false">dummy_variables!M24</f>
        <v>555929.4</v>
      </c>
      <c r="F26" s="0" t="n">
        <f aca="false">multiple_regression!$R$5+multiple_regression!$R$6*dummy_variables!E24+multiple_regression!$R$7*dummy_variables!F24+multiple_regression!$R$8*dummy_variables!G24+multiple_regression!$R$9*dummy_variables!I24+multiple_regression!$R$10*dummy_variables!J24+multiple_regression!$R$11*dummy_variables!K24+multiple_regression!$R$12*dummy_variables!L24+multiple_regression!$R$13*dummy_variables!O24+multiple_regression!$R$14*dummy_variables!P24+multiple_regression!$R$15*dummy_variables!Q24+multiple_regression!$R$16*dummy_variables!R24+multiple_regression!$R$17*dummy_variables!S24+multiple_regression!$R$18*dummy_variables!T24</f>
        <v>544326.841038634</v>
      </c>
      <c r="G26" s="0" t="n">
        <f aca="false">E26-F26</f>
        <v>11602.5589613661</v>
      </c>
      <c r="H26" s="0" t="n">
        <f aca="false">ABS(G26)</f>
        <v>11602.5589613661</v>
      </c>
    </row>
    <row r="27" customFormat="false" ht="15" hidden="false" customHeight="false" outlineLevel="0" collapsed="false">
      <c r="A27" s="0" t="str">
        <f aca="false">dummy_variables!A25</f>
        <v>STR-1006</v>
      </c>
      <c r="B27" s="0" t="str">
        <f aca="false">dummy_variables!B25</f>
        <v>2025-04-01</v>
      </c>
      <c r="C27" s="0" t="str">
        <f aca="false">dummy_variables!C25</f>
        <v>North</v>
      </c>
      <c r="D27" s="0" t="str">
        <f aca="false">dummy_variables!D25</f>
        <v>Residential</v>
      </c>
      <c r="E27" s="0" t="n">
        <f aca="false">dummy_variables!M25</f>
        <v>565810.99</v>
      </c>
      <c r="F27" s="0" t="n">
        <f aca="false">multiple_regression!$R$5+multiple_regression!$R$6*dummy_variables!E25+multiple_regression!$R$7*dummy_variables!F25+multiple_regression!$R$8*dummy_variables!G25+multiple_regression!$R$9*dummy_variables!I25+multiple_regression!$R$10*dummy_variables!J25+multiple_regression!$R$11*dummy_variables!K25+multiple_regression!$R$12*dummy_variables!L25+multiple_regression!$R$13*dummy_variables!O25+multiple_regression!$R$14*dummy_variables!P25+multiple_regression!$R$15*dummy_variables!Q25+multiple_regression!$R$16*dummy_variables!R25+multiple_regression!$R$17*dummy_variables!S25+multiple_regression!$R$18*dummy_variables!T25</f>
        <v>558834.810348735</v>
      </c>
      <c r="G27" s="0" t="n">
        <f aca="false">E27-F27</f>
        <v>6976.1796512655</v>
      </c>
      <c r="H27" s="0" t="n">
        <f aca="false">ABS(G27)</f>
        <v>6976.1796512655</v>
      </c>
    </row>
    <row r="28" customFormat="false" ht="15" hidden="false" customHeight="false" outlineLevel="0" collapsed="false">
      <c r="A28" s="0" t="str">
        <f aca="false">dummy_variables!A26</f>
        <v>STR-1007</v>
      </c>
      <c r="B28" s="0" t="str">
        <f aca="false">dummy_variables!B26</f>
        <v>2025-01-01</v>
      </c>
      <c r="C28" s="0" t="str">
        <f aca="false">dummy_variables!C26</f>
        <v>West</v>
      </c>
      <c r="D28" s="0" t="str">
        <f aca="false">dummy_variables!D26</f>
        <v>Mall</v>
      </c>
      <c r="E28" s="0" t="n">
        <f aca="false">dummy_variables!M26</f>
        <v>811771.14</v>
      </c>
      <c r="F28" s="0" t="n">
        <f aca="false">multiple_regression!$R$5+multiple_regression!$R$6*dummy_variables!E26+multiple_regression!$R$7*dummy_variables!F26+multiple_regression!$R$8*dummy_variables!G26+multiple_regression!$R$9*dummy_variables!I26+multiple_regression!$R$10*dummy_variables!J26+multiple_regression!$R$11*dummy_variables!K26+multiple_regression!$R$12*dummy_variables!L26+multiple_regression!$R$13*dummy_variables!O26+multiple_regression!$R$14*dummy_variables!P26+multiple_regression!$R$15*dummy_variables!Q26+multiple_regression!$R$16*dummy_variables!R26+multiple_regression!$R$17*dummy_variables!S26+multiple_regression!$R$18*dummy_variables!T26</f>
        <v>848268.252142001</v>
      </c>
      <c r="G28" s="0" t="n">
        <f aca="false">E28-F28</f>
        <v>-36497.1121420007</v>
      </c>
      <c r="H28" s="0" t="n">
        <f aca="false">ABS(G28)</f>
        <v>36497.1121420007</v>
      </c>
    </row>
    <row r="29" customFormat="false" ht="15" hidden="false" customHeight="false" outlineLevel="0" collapsed="false">
      <c r="A29" s="0" t="str">
        <f aca="false">dummy_variables!A27</f>
        <v>STR-1007</v>
      </c>
      <c r="B29" s="0" t="str">
        <f aca="false">dummy_variables!B27</f>
        <v>2025-02-01</v>
      </c>
      <c r="C29" s="0" t="str">
        <f aca="false">dummy_variables!C27</f>
        <v>West</v>
      </c>
      <c r="D29" s="0" t="str">
        <f aca="false">dummy_variables!D27</f>
        <v>Mall</v>
      </c>
      <c r="E29" s="0" t="n">
        <f aca="false">dummy_variables!M27</f>
        <v>800451.94</v>
      </c>
      <c r="F29" s="0" t="n">
        <f aca="false">multiple_regression!$R$5+multiple_regression!$R$6*dummy_variables!E27+multiple_regression!$R$7*dummy_variables!F27+multiple_regression!$R$8*dummy_variables!G27+multiple_regression!$R$9*dummy_variables!I27+multiple_regression!$R$10*dummy_variables!J27+multiple_regression!$R$11*dummy_variables!K27+multiple_regression!$R$12*dummy_variables!L27+multiple_regression!$R$13*dummy_variables!O27+multiple_regression!$R$14*dummy_variables!P27+multiple_regression!$R$15*dummy_variables!Q27+multiple_regression!$R$16*dummy_variables!R27+multiple_regression!$R$17*dummy_variables!S27+multiple_regression!$R$18*dummy_variables!T27</f>
        <v>910234.425602157</v>
      </c>
      <c r="G29" s="0" t="n">
        <f aca="false">E29-F29</f>
        <v>-109782.485602157</v>
      </c>
      <c r="H29" s="0" t="n">
        <f aca="false">ABS(G29)</f>
        <v>109782.485602157</v>
      </c>
    </row>
    <row r="30" customFormat="false" ht="15" hidden="false" customHeight="false" outlineLevel="0" collapsed="false">
      <c r="A30" s="0" t="str">
        <f aca="false">dummy_variables!A28</f>
        <v>STR-1007</v>
      </c>
      <c r="B30" s="0" t="str">
        <f aca="false">dummy_variables!B28</f>
        <v>2025-03-01</v>
      </c>
      <c r="C30" s="0" t="str">
        <f aca="false">dummy_variables!C28</f>
        <v>West</v>
      </c>
      <c r="D30" s="0" t="str">
        <f aca="false">dummy_variables!D28</f>
        <v>Mall</v>
      </c>
      <c r="E30" s="0" t="n">
        <f aca="false">dummy_variables!M28</f>
        <v>783672.82</v>
      </c>
      <c r="F30" s="0" t="n">
        <f aca="false">multiple_regression!$R$5+multiple_regression!$R$6*dummy_variables!E28+multiple_regression!$R$7*dummy_variables!F28+multiple_regression!$R$8*dummy_variables!G28+multiple_regression!$R$9*dummy_variables!I28+multiple_regression!$R$10*dummy_variables!J28+multiple_regression!$R$11*dummy_variables!K28+multiple_regression!$R$12*dummy_variables!L28+multiple_regression!$R$13*dummy_variables!O28+multiple_regression!$R$14*dummy_variables!P28+multiple_regression!$R$15*dummy_variables!Q28+multiple_regression!$R$16*dummy_variables!R28+multiple_regression!$R$17*dummy_variables!S28+multiple_regression!$R$18*dummy_variables!T28</f>
        <v>803759.111544025</v>
      </c>
      <c r="G30" s="0" t="n">
        <f aca="false">E30-F30</f>
        <v>-20086.291544025</v>
      </c>
      <c r="H30" s="0" t="n">
        <f aca="false">ABS(G30)</f>
        <v>20086.291544025</v>
      </c>
    </row>
    <row r="31" customFormat="false" ht="15" hidden="false" customHeight="false" outlineLevel="0" collapsed="false">
      <c r="A31" s="0" t="str">
        <f aca="false">dummy_variables!A29</f>
        <v>STR-1007</v>
      </c>
      <c r="B31" s="0" t="str">
        <f aca="false">dummy_variables!B29</f>
        <v>2025-04-01</v>
      </c>
      <c r="C31" s="0" t="str">
        <f aca="false">dummy_variables!C29</f>
        <v>West</v>
      </c>
      <c r="D31" s="0" t="str">
        <f aca="false">dummy_variables!D29</f>
        <v>Mall</v>
      </c>
      <c r="E31" s="0" t="n">
        <f aca="false">dummy_variables!M29</f>
        <v>701641.97</v>
      </c>
      <c r="F31" s="0" t="n">
        <f aca="false">multiple_regression!$R$5+multiple_regression!$R$6*dummy_variables!E29+multiple_regression!$R$7*dummy_variables!F29+multiple_regression!$R$8*dummy_variables!G29+multiple_regression!$R$9*dummy_variables!I29+multiple_regression!$R$10*dummy_variables!J29+multiple_regression!$R$11*dummy_variables!K29+multiple_regression!$R$12*dummy_variables!L29+multiple_regression!$R$13*dummy_variables!O29+multiple_regression!$R$14*dummy_variables!P29+multiple_regression!$R$15*dummy_variables!Q29+multiple_regression!$R$16*dummy_variables!R29+multiple_regression!$R$17*dummy_variables!S29+multiple_regression!$R$18*dummy_variables!T29</f>
        <v>667447.416020242</v>
      </c>
      <c r="G31" s="0" t="n">
        <f aca="false">E31-F31</f>
        <v>34194.5539797579</v>
      </c>
      <c r="H31" s="0" t="n">
        <f aca="false">ABS(G31)</f>
        <v>34194.5539797579</v>
      </c>
    </row>
    <row r="32" customFormat="false" ht="15" hidden="false" customHeight="false" outlineLevel="0" collapsed="false">
      <c r="A32" s="0" t="str">
        <f aca="false">dummy_variables!A30</f>
        <v>STR-1008</v>
      </c>
      <c r="B32" s="0" t="str">
        <f aca="false">dummy_variables!B30</f>
        <v>2025-01-01</v>
      </c>
      <c r="C32" s="0" t="str">
        <f aca="false">dummy_variables!C30</f>
        <v>East</v>
      </c>
      <c r="D32" s="0" t="str">
        <f aca="false">dummy_variables!D30</f>
        <v>Residential</v>
      </c>
      <c r="E32" s="0" t="n">
        <f aca="false">dummy_variables!M30</f>
        <v>511844.41</v>
      </c>
      <c r="F32" s="0" t="n">
        <f aca="false">multiple_regression!$R$5+multiple_regression!$R$6*dummy_variables!E30+multiple_regression!$R$7*dummy_variables!F30+multiple_regression!$R$8*dummy_variables!G30+multiple_regression!$R$9*dummy_variables!I30+multiple_regression!$R$10*dummy_variables!J30+multiple_regression!$R$11*dummy_variables!K30+multiple_regression!$R$12*dummy_variables!L30+multiple_regression!$R$13*dummy_variables!O30+multiple_regression!$R$14*dummy_variables!P30+multiple_regression!$R$15*dummy_variables!Q30+multiple_regression!$R$16*dummy_variables!R30+multiple_regression!$R$17*dummy_variables!S30+multiple_regression!$R$18*dummy_variables!T30</f>
        <v>574864.846812754</v>
      </c>
      <c r="G32" s="0" t="n">
        <f aca="false">E32-F32</f>
        <v>-63020.4368127539</v>
      </c>
      <c r="H32" s="0" t="n">
        <f aca="false">ABS(G32)</f>
        <v>63020.4368127539</v>
      </c>
    </row>
    <row r="33" customFormat="false" ht="15" hidden="false" customHeight="false" outlineLevel="0" collapsed="false">
      <c r="A33" s="0" t="str">
        <f aca="false">dummy_variables!A31</f>
        <v>STR-1008</v>
      </c>
      <c r="B33" s="0" t="str">
        <f aca="false">dummy_variables!B31</f>
        <v>2025-02-01</v>
      </c>
      <c r="C33" s="0" t="str">
        <f aca="false">dummy_variables!C31</f>
        <v>East</v>
      </c>
      <c r="D33" s="0" t="str">
        <f aca="false">dummy_variables!D31</f>
        <v>Residential</v>
      </c>
      <c r="E33" s="0" t="n">
        <f aca="false">dummy_variables!M31</f>
        <v>537383.79</v>
      </c>
      <c r="F33" s="0" t="n">
        <f aca="false">multiple_regression!$R$5+multiple_regression!$R$6*dummy_variables!E31+multiple_regression!$R$7*dummy_variables!F31+multiple_regression!$R$8*dummy_variables!G31+multiple_regression!$R$9*dummy_variables!I31+multiple_regression!$R$10*dummy_variables!J31+multiple_regression!$R$11*dummy_variables!K31+multiple_regression!$R$12*dummy_variables!L31+multiple_regression!$R$13*dummy_variables!O31+multiple_regression!$R$14*dummy_variables!P31+multiple_regression!$R$15*dummy_variables!Q31+multiple_regression!$R$16*dummy_variables!R31+multiple_regression!$R$17*dummy_variables!S31+multiple_regression!$R$18*dummy_variables!T31</f>
        <v>513093.306417137</v>
      </c>
      <c r="G33" s="0" t="n">
        <f aca="false">E33-F33</f>
        <v>24290.483582863</v>
      </c>
      <c r="H33" s="0" t="n">
        <f aca="false">ABS(G33)</f>
        <v>24290.483582863</v>
      </c>
    </row>
    <row r="34" customFormat="false" ht="15" hidden="false" customHeight="false" outlineLevel="0" collapsed="false">
      <c r="A34" s="0" t="str">
        <f aca="false">dummy_variables!A32</f>
        <v>STR-1008</v>
      </c>
      <c r="B34" s="0" t="str">
        <f aca="false">dummy_variables!B32</f>
        <v>2025-03-01</v>
      </c>
      <c r="C34" s="0" t="str">
        <f aca="false">dummy_variables!C32</f>
        <v>East</v>
      </c>
      <c r="D34" s="0" t="str">
        <f aca="false">dummy_variables!D32</f>
        <v>Residential</v>
      </c>
      <c r="E34" s="0" t="n">
        <f aca="false">dummy_variables!M32</f>
        <v>500173.02</v>
      </c>
      <c r="F34" s="0" t="n">
        <f aca="false">multiple_regression!$R$5+multiple_regression!$R$6*dummy_variables!E32+multiple_regression!$R$7*dummy_variables!F32+multiple_regression!$R$8*dummy_variables!G32+multiple_regression!$R$9*dummy_variables!I32+multiple_regression!$R$10*dummy_variables!J32+multiple_regression!$R$11*dummy_variables!K32+multiple_regression!$R$12*dummy_variables!L32+multiple_regression!$R$13*dummy_variables!O32+multiple_regression!$R$14*dummy_variables!P32+multiple_regression!$R$15*dummy_variables!Q32+multiple_regression!$R$16*dummy_variables!R32+multiple_regression!$R$17*dummy_variables!S32+multiple_regression!$R$18*dummy_variables!T32</f>
        <v>508971.41174409</v>
      </c>
      <c r="G34" s="0" t="n">
        <f aca="false">E34-F34</f>
        <v>-8798.39174408966</v>
      </c>
      <c r="H34" s="0" t="n">
        <f aca="false">ABS(G34)</f>
        <v>8798.39174408966</v>
      </c>
    </row>
    <row r="35" customFormat="false" ht="15" hidden="false" customHeight="false" outlineLevel="0" collapsed="false">
      <c r="A35" s="0" t="str">
        <f aca="false">dummy_variables!A33</f>
        <v>STR-1008</v>
      </c>
      <c r="B35" s="0" t="str">
        <f aca="false">dummy_variables!B33</f>
        <v>2025-04-01</v>
      </c>
      <c r="C35" s="0" t="str">
        <f aca="false">dummy_variables!C33</f>
        <v>East</v>
      </c>
      <c r="D35" s="0" t="str">
        <f aca="false">dummy_variables!D33</f>
        <v>Residential</v>
      </c>
      <c r="E35" s="0" t="n">
        <f aca="false">dummy_variables!M33</f>
        <v>427917.38</v>
      </c>
      <c r="F35" s="0" t="n">
        <f aca="false">multiple_regression!$R$5+multiple_regression!$R$6*dummy_variables!E33+multiple_regression!$R$7*dummy_variables!F33+multiple_regression!$R$8*dummy_variables!G33+multiple_regression!$R$9*dummy_variables!I33+multiple_regression!$R$10*dummy_variables!J33+multiple_regression!$R$11*dummy_variables!K33+multiple_regression!$R$12*dummy_variables!L33+multiple_regression!$R$13*dummy_variables!O33+multiple_regression!$R$14*dummy_variables!P33+multiple_regression!$R$15*dummy_variables!Q33+multiple_regression!$R$16*dummy_variables!R33+multiple_regression!$R$17*dummy_variables!S33+multiple_regression!$R$18*dummy_variables!T33</f>
        <v>448544.006965997</v>
      </c>
      <c r="G35" s="0" t="n">
        <f aca="false">E35-F35</f>
        <v>-20626.6269659969</v>
      </c>
      <c r="H35" s="0" t="n">
        <f aca="false">ABS(G35)</f>
        <v>20626.6269659969</v>
      </c>
    </row>
    <row r="36" customFormat="false" ht="15" hidden="false" customHeight="false" outlineLevel="0" collapsed="false">
      <c r="A36" s="0" t="str">
        <f aca="false">dummy_variables!A34</f>
        <v>STR-1009</v>
      </c>
      <c r="B36" s="0" t="str">
        <f aca="false">dummy_variables!B34</f>
        <v>2025-01-01</v>
      </c>
      <c r="C36" s="0" t="str">
        <f aca="false">dummy_variables!C34</f>
        <v>North</v>
      </c>
      <c r="D36" s="0" t="str">
        <f aca="false">dummy_variables!D34</f>
        <v>Residential</v>
      </c>
      <c r="E36" s="0" t="n">
        <f aca="false">dummy_variables!M34</f>
        <v>641865.03</v>
      </c>
      <c r="F36" s="0" t="n">
        <f aca="false">multiple_regression!$R$5+multiple_regression!$R$6*dummy_variables!E34+multiple_regression!$R$7*dummy_variables!F34+multiple_regression!$R$8*dummy_variables!G34+multiple_regression!$R$9*dummy_variables!I34+multiple_regression!$R$10*dummy_variables!J34+multiple_regression!$R$11*dummy_variables!K34+multiple_regression!$R$12*dummy_variables!L34+multiple_regression!$R$13*dummy_variables!O34+multiple_regression!$R$14*dummy_variables!P34+multiple_regression!$R$15*dummy_variables!Q34+multiple_regression!$R$16*dummy_variables!R34+multiple_regression!$R$17*dummy_variables!S34+multiple_regression!$R$18*dummy_variables!T34</f>
        <v>713646.576405055</v>
      </c>
      <c r="G36" s="0" t="n">
        <f aca="false">E36-F36</f>
        <v>-71781.5464050549</v>
      </c>
      <c r="H36" s="0" t="n">
        <f aca="false">ABS(G36)</f>
        <v>71781.5464050549</v>
      </c>
    </row>
    <row r="37" customFormat="false" ht="15" hidden="false" customHeight="false" outlineLevel="0" collapsed="false">
      <c r="A37" s="0" t="str">
        <f aca="false">dummy_variables!A35</f>
        <v>STR-1009</v>
      </c>
      <c r="B37" s="0" t="str">
        <f aca="false">dummy_variables!B35</f>
        <v>2025-02-01</v>
      </c>
      <c r="C37" s="0" t="str">
        <f aca="false">dummy_variables!C35</f>
        <v>North</v>
      </c>
      <c r="D37" s="0" t="str">
        <f aca="false">dummy_variables!D35</f>
        <v>Residential</v>
      </c>
      <c r="E37" s="0" t="n">
        <f aca="false">dummy_variables!M35</f>
        <v>799477.76</v>
      </c>
      <c r="F37" s="0" t="n">
        <f aca="false">multiple_regression!$R$5+multiple_regression!$R$6*dummy_variables!E35+multiple_regression!$R$7*dummy_variables!F35+multiple_regression!$R$8*dummy_variables!G35+multiple_regression!$R$9*dummy_variables!I35+multiple_regression!$R$10*dummy_variables!J35+multiple_regression!$R$11*dummy_variables!K35+multiple_regression!$R$12*dummy_variables!L35+multiple_regression!$R$13*dummy_variables!O35+multiple_regression!$R$14*dummy_variables!P35+multiple_regression!$R$15*dummy_variables!Q35+multiple_regression!$R$16*dummy_variables!R35+multiple_regression!$R$17*dummy_variables!S35+multiple_regression!$R$18*dummy_variables!T35</f>
        <v>855883.729570685</v>
      </c>
      <c r="G37" s="0" t="n">
        <f aca="false">E37-F37</f>
        <v>-56405.9695706848</v>
      </c>
      <c r="H37" s="0" t="n">
        <f aca="false">ABS(G37)</f>
        <v>56405.9695706848</v>
      </c>
    </row>
    <row r="38" customFormat="false" ht="15" hidden="false" customHeight="false" outlineLevel="0" collapsed="false">
      <c r="A38" s="0" t="str">
        <f aca="false">dummy_variables!A36</f>
        <v>STR-1009</v>
      </c>
      <c r="B38" s="0" t="str">
        <f aca="false">dummy_variables!B36</f>
        <v>2025-03-01</v>
      </c>
      <c r="C38" s="0" t="str">
        <f aca="false">dummy_variables!C36</f>
        <v>North</v>
      </c>
      <c r="D38" s="0" t="str">
        <f aca="false">dummy_variables!D36</f>
        <v>Residential</v>
      </c>
      <c r="E38" s="0" t="n">
        <f aca="false">dummy_variables!M36</f>
        <v>798952.17</v>
      </c>
      <c r="F38" s="0" t="n">
        <f aca="false">multiple_regression!$R$5+multiple_regression!$R$6*dummy_variables!E36+multiple_regression!$R$7*dummy_variables!F36+multiple_regression!$R$8*dummy_variables!G36+multiple_regression!$R$9*dummy_variables!I36+multiple_regression!$R$10*dummy_variables!J36+multiple_regression!$R$11*dummy_variables!K36+multiple_regression!$R$12*dummy_variables!L36+multiple_regression!$R$13*dummy_variables!O36+multiple_regression!$R$14*dummy_variables!P36+multiple_regression!$R$15*dummy_variables!Q36+multiple_regression!$R$16*dummy_variables!R36+multiple_regression!$R$17*dummy_variables!S36+multiple_regression!$R$18*dummy_variables!T36</f>
        <v>794615.726189284</v>
      </c>
      <c r="G38" s="0" t="n">
        <f aca="false">E38-F38</f>
        <v>4336.44381071627</v>
      </c>
      <c r="H38" s="0" t="n">
        <f aca="false">ABS(G38)</f>
        <v>4336.44381071627</v>
      </c>
    </row>
    <row r="39" customFormat="false" ht="15" hidden="false" customHeight="false" outlineLevel="0" collapsed="false">
      <c r="A39" s="0" t="str">
        <f aca="false">dummy_variables!A37</f>
        <v>STR-1009</v>
      </c>
      <c r="B39" s="0" t="str">
        <f aca="false">dummy_variables!B37</f>
        <v>2025-04-01</v>
      </c>
      <c r="C39" s="0" t="str">
        <f aca="false">dummy_variables!C37</f>
        <v>North</v>
      </c>
      <c r="D39" s="0" t="str">
        <f aca="false">dummy_variables!D37</f>
        <v>Residential</v>
      </c>
      <c r="E39" s="0" t="n">
        <f aca="false">dummy_variables!M37</f>
        <v>800979.78</v>
      </c>
      <c r="F39" s="0" t="n">
        <f aca="false">multiple_regression!$R$5+multiple_regression!$R$6*dummy_variables!E37+multiple_regression!$R$7*dummy_variables!F37+multiple_regression!$R$8*dummy_variables!G37+multiple_regression!$R$9*dummy_variables!I37+multiple_regression!$R$10*dummy_variables!J37+multiple_regression!$R$11*dummy_variables!K37+multiple_regression!$R$12*dummy_variables!L37+multiple_regression!$R$13*dummy_variables!O37+multiple_regression!$R$14*dummy_variables!P37+multiple_regression!$R$15*dummy_variables!Q37+multiple_regression!$R$16*dummy_variables!R37+multiple_regression!$R$17*dummy_variables!S37+multiple_regression!$R$18*dummy_variables!T37</f>
        <v>801576.229053129</v>
      </c>
      <c r="G39" s="0" t="n">
        <f aca="false">E39-F39</f>
        <v>-596.449053128948</v>
      </c>
      <c r="H39" s="0" t="n">
        <f aca="false">ABS(G39)</f>
        <v>596.449053128948</v>
      </c>
    </row>
    <row r="40" customFormat="false" ht="15" hidden="false" customHeight="false" outlineLevel="0" collapsed="false">
      <c r="A40" s="0" t="str">
        <f aca="false">dummy_variables!A38</f>
        <v>STR-1010</v>
      </c>
      <c r="B40" s="0" t="str">
        <f aca="false">dummy_variables!B38</f>
        <v>2025-01-01</v>
      </c>
      <c r="C40" s="0" t="str">
        <f aca="false">dummy_variables!C38</f>
        <v>North</v>
      </c>
      <c r="D40" s="0" t="str">
        <f aca="false">dummy_variables!D38</f>
        <v>Mall</v>
      </c>
      <c r="E40" s="0" t="n">
        <f aca="false">dummy_variables!M38</f>
        <v>820593.93</v>
      </c>
      <c r="F40" s="0" t="n">
        <f aca="false">multiple_regression!$R$5+multiple_regression!$R$6*dummy_variables!E38+multiple_regression!$R$7*dummy_variables!F38+multiple_regression!$R$8*dummy_variables!G38+multiple_regression!$R$9*dummy_variables!I38+multiple_regression!$R$10*dummy_variables!J38+multiple_regression!$R$11*dummy_variables!K38+multiple_regression!$R$12*dummy_variables!L38+multiple_regression!$R$13*dummy_variables!O38+multiple_regression!$R$14*dummy_variables!P38+multiple_regression!$R$15*dummy_variables!Q38+multiple_regression!$R$16*dummy_variables!R38+multiple_regression!$R$17*dummy_variables!S38+multiple_regression!$R$18*dummy_variables!T38</f>
        <v>775371.190828628</v>
      </c>
      <c r="G40" s="0" t="n">
        <f aca="false">E40-F40</f>
        <v>45222.7391713724</v>
      </c>
      <c r="H40" s="0" t="n">
        <f aca="false">ABS(G40)</f>
        <v>45222.7391713724</v>
      </c>
    </row>
    <row r="41" customFormat="false" ht="15" hidden="false" customHeight="false" outlineLevel="0" collapsed="false">
      <c r="A41" s="0" t="str">
        <f aca="false">dummy_variables!A39</f>
        <v>STR-1010</v>
      </c>
      <c r="B41" s="0" t="str">
        <f aca="false">dummy_variables!B39</f>
        <v>2025-02-01</v>
      </c>
      <c r="C41" s="0" t="str">
        <f aca="false">dummy_variables!C39</f>
        <v>North</v>
      </c>
      <c r="D41" s="0" t="str">
        <f aca="false">dummy_variables!D39</f>
        <v>Mall</v>
      </c>
      <c r="E41" s="0" t="n">
        <f aca="false">dummy_variables!M39</f>
        <v>718330.53</v>
      </c>
      <c r="F41" s="0" t="n">
        <f aca="false">multiple_regression!$R$5+multiple_regression!$R$6*dummy_variables!E39+multiple_regression!$R$7*dummy_variables!F39+multiple_regression!$R$8*dummy_variables!G39+multiple_regression!$R$9*dummy_variables!I39+multiple_regression!$R$10*dummy_variables!J39+multiple_regression!$R$11*dummy_variables!K39+multiple_regression!$R$12*dummy_variables!L39+multiple_regression!$R$13*dummy_variables!O39+multiple_regression!$R$14*dummy_variables!P39+multiple_regression!$R$15*dummy_variables!Q39+multiple_regression!$R$16*dummy_variables!R39+multiple_regression!$R$17*dummy_variables!S39+multiple_regression!$R$18*dummy_variables!T39</f>
        <v>745034.872370049</v>
      </c>
      <c r="G41" s="0" t="n">
        <f aca="false">E41-F41</f>
        <v>-26704.3423700492</v>
      </c>
      <c r="H41" s="0" t="n">
        <f aca="false">ABS(G41)</f>
        <v>26704.3423700492</v>
      </c>
    </row>
    <row r="42" customFormat="false" ht="15" hidden="false" customHeight="false" outlineLevel="0" collapsed="false">
      <c r="A42" s="0" t="str">
        <f aca="false">dummy_variables!A40</f>
        <v>STR-1010</v>
      </c>
      <c r="B42" s="0" t="str">
        <f aca="false">dummy_variables!B40</f>
        <v>2025-03-01</v>
      </c>
      <c r="C42" s="0" t="str">
        <f aca="false">dummy_variables!C40</f>
        <v>North</v>
      </c>
      <c r="D42" s="0" t="str">
        <f aca="false">dummy_variables!D40</f>
        <v>Mall</v>
      </c>
      <c r="E42" s="0" t="n">
        <f aca="false">dummy_variables!M40</f>
        <v>736633.4</v>
      </c>
      <c r="F42" s="0" t="n">
        <f aca="false">multiple_regression!$R$5+multiple_regression!$R$6*dummy_variables!E40+multiple_regression!$R$7*dummy_variables!F40+multiple_regression!$R$8*dummy_variables!G40+multiple_regression!$R$9*dummy_variables!I40+multiple_regression!$R$10*dummy_variables!J40+multiple_regression!$R$11*dummy_variables!K40+multiple_regression!$R$12*dummy_variables!L40+multiple_regression!$R$13*dummy_variables!O40+multiple_regression!$R$14*dummy_variables!P40+multiple_regression!$R$15*dummy_variables!Q40+multiple_regression!$R$16*dummy_variables!R40+multiple_regression!$R$17*dummy_variables!S40+multiple_regression!$R$18*dummy_variables!T40</f>
        <v>748719.249822572</v>
      </c>
      <c r="G42" s="0" t="n">
        <f aca="false">E42-F42</f>
        <v>-12085.8498225716</v>
      </c>
      <c r="H42" s="0" t="n">
        <f aca="false">ABS(G42)</f>
        <v>12085.8498225716</v>
      </c>
    </row>
    <row r="43" customFormat="false" ht="15" hidden="false" customHeight="false" outlineLevel="0" collapsed="false">
      <c r="A43" s="0" t="str">
        <f aca="false">dummy_variables!A41</f>
        <v>STR-1010</v>
      </c>
      <c r="B43" s="0" t="str">
        <f aca="false">dummy_variables!B41</f>
        <v>2025-04-01</v>
      </c>
      <c r="C43" s="0" t="str">
        <f aca="false">dummy_variables!C41</f>
        <v>North</v>
      </c>
      <c r="D43" s="0" t="str">
        <f aca="false">dummy_variables!D41</f>
        <v>Mall</v>
      </c>
      <c r="E43" s="0" t="n">
        <f aca="false">dummy_variables!M41</f>
        <v>828623.85</v>
      </c>
      <c r="F43" s="0" t="n">
        <f aca="false">multiple_regression!$R$5+multiple_regression!$R$6*dummy_variables!E41+multiple_regression!$R$7*dummy_variables!F41+multiple_regression!$R$8*dummy_variables!G41+multiple_regression!$R$9*dummy_variables!I41+multiple_regression!$R$10*dummy_variables!J41+multiple_regression!$R$11*dummy_variables!K41+multiple_regression!$R$12*dummy_variables!L41+multiple_regression!$R$13*dummy_variables!O41+multiple_regression!$R$14*dummy_variables!P41+multiple_regression!$R$15*dummy_variables!Q41+multiple_regression!$R$16*dummy_variables!R41+multiple_regression!$R$17*dummy_variables!S41+multiple_regression!$R$18*dummy_variables!T41</f>
        <v>844580.328847816</v>
      </c>
      <c r="G43" s="0" t="n">
        <f aca="false">E43-F43</f>
        <v>-15956.4788478164</v>
      </c>
      <c r="H43" s="0" t="n">
        <f aca="false">ABS(G43)</f>
        <v>15956.4788478164</v>
      </c>
    </row>
    <row r="44" customFormat="false" ht="15" hidden="false" customHeight="false" outlineLevel="0" collapsed="false">
      <c r="A44" s="0" t="str">
        <f aca="false">dummy_variables!A42</f>
        <v>STR-1011</v>
      </c>
      <c r="B44" s="0" t="str">
        <f aca="false">dummy_variables!B42</f>
        <v>2025-01-01</v>
      </c>
      <c r="C44" s="0" t="str">
        <f aca="false">dummy_variables!C42</f>
        <v>East</v>
      </c>
      <c r="D44" s="0" t="str">
        <f aca="false">dummy_variables!D42</f>
        <v>Mall</v>
      </c>
      <c r="E44" s="0" t="n">
        <f aca="false">dummy_variables!M42</f>
        <v>592195.85</v>
      </c>
      <c r="F44" s="0" t="n">
        <f aca="false">multiple_regression!$R$5+multiple_regression!$R$6*dummy_variables!E42+multiple_regression!$R$7*dummy_variables!F42+multiple_regression!$R$8*dummy_variables!G42+multiple_regression!$R$9*dummy_variables!I42+multiple_regression!$R$10*dummy_variables!J42+multiple_regression!$R$11*dummy_variables!K42+multiple_regression!$R$12*dummy_variables!L42+multiple_regression!$R$13*dummy_variables!O42+multiple_regression!$R$14*dummy_variables!P42+multiple_regression!$R$15*dummy_variables!Q42+multiple_regression!$R$16*dummy_variables!R42+multiple_regression!$R$17*dummy_variables!S42+multiple_regression!$R$18*dummy_variables!T42</f>
        <v>580665.518469387</v>
      </c>
      <c r="G44" s="0" t="n">
        <f aca="false">E44-F44</f>
        <v>11530.3315306125</v>
      </c>
      <c r="H44" s="0" t="n">
        <f aca="false">ABS(G44)</f>
        <v>11530.3315306125</v>
      </c>
    </row>
    <row r="45" customFormat="false" ht="15" hidden="false" customHeight="false" outlineLevel="0" collapsed="false">
      <c r="A45" s="0" t="str">
        <f aca="false">dummy_variables!A43</f>
        <v>STR-1011</v>
      </c>
      <c r="B45" s="0" t="str">
        <f aca="false">dummy_variables!B43</f>
        <v>2025-02-01</v>
      </c>
      <c r="C45" s="0" t="str">
        <f aca="false">dummy_variables!C43</f>
        <v>East</v>
      </c>
      <c r="D45" s="0" t="str">
        <f aca="false">dummy_variables!D43</f>
        <v>Mall</v>
      </c>
      <c r="E45" s="0" t="n">
        <f aca="false">dummy_variables!M43</f>
        <v>532644.46</v>
      </c>
      <c r="F45" s="0" t="n">
        <f aca="false">multiple_regression!$R$5+multiple_regression!$R$6*dummy_variables!E43+multiple_regression!$R$7*dummy_variables!F43+multiple_regression!$R$8*dummy_variables!G43+multiple_regression!$R$9*dummy_variables!I43+multiple_regression!$R$10*dummy_variables!J43+multiple_regression!$R$11*dummy_variables!K43+multiple_regression!$R$12*dummy_variables!L43+multiple_regression!$R$13*dummy_variables!O43+multiple_regression!$R$14*dummy_variables!P43+multiple_regression!$R$15*dummy_variables!Q43+multiple_regression!$R$16*dummy_variables!R43+multiple_regression!$R$17*dummy_variables!S43+multiple_regression!$R$18*dummy_variables!T43</f>
        <v>531491.820775876</v>
      </c>
      <c r="G45" s="0" t="n">
        <f aca="false">E45-F45</f>
        <v>1152.63922412356</v>
      </c>
      <c r="H45" s="0" t="n">
        <f aca="false">ABS(G45)</f>
        <v>1152.63922412356</v>
      </c>
    </row>
    <row r="46" customFormat="false" ht="15" hidden="false" customHeight="false" outlineLevel="0" collapsed="false">
      <c r="A46" s="0" t="str">
        <f aca="false">dummy_variables!A44</f>
        <v>STR-1011</v>
      </c>
      <c r="B46" s="0" t="str">
        <f aca="false">dummy_variables!B44</f>
        <v>2025-03-01</v>
      </c>
      <c r="C46" s="0" t="str">
        <f aca="false">dummy_variables!C44</f>
        <v>East</v>
      </c>
      <c r="D46" s="0" t="str">
        <f aca="false">dummy_variables!D44</f>
        <v>Mall</v>
      </c>
      <c r="E46" s="0" t="n">
        <f aca="false">dummy_variables!M44</f>
        <v>657429.18</v>
      </c>
      <c r="F46" s="0" t="n">
        <f aca="false">multiple_regression!$R$5+multiple_regression!$R$6*dummy_variables!E44+multiple_regression!$R$7*dummy_variables!F44+multiple_regression!$R$8*dummy_variables!G44+multiple_regression!$R$9*dummy_variables!I44+multiple_regression!$R$10*dummy_variables!J44+multiple_regression!$R$11*dummy_variables!K44+multiple_regression!$R$12*dummy_variables!L44+multiple_regression!$R$13*dummy_variables!O44+multiple_regression!$R$14*dummy_variables!P44+multiple_regression!$R$15*dummy_variables!Q44+multiple_regression!$R$16*dummy_variables!R44+multiple_regression!$R$17*dummy_variables!S44+multiple_regression!$R$18*dummy_variables!T44</f>
        <v>610775.880182151</v>
      </c>
      <c r="G46" s="0" t="n">
        <f aca="false">E46-F46</f>
        <v>46653.2998178487</v>
      </c>
      <c r="H46" s="0" t="n">
        <f aca="false">ABS(G46)</f>
        <v>46653.2998178487</v>
      </c>
    </row>
    <row r="47" customFormat="false" ht="15" hidden="false" customHeight="false" outlineLevel="0" collapsed="false">
      <c r="A47" s="0" t="str">
        <f aca="false">dummy_variables!A45</f>
        <v>STR-1011</v>
      </c>
      <c r="B47" s="0" t="str">
        <f aca="false">dummy_variables!B45</f>
        <v>2025-04-01</v>
      </c>
      <c r="C47" s="0" t="str">
        <f aca="false">dummy_variables!C45</f>
        <v>East</v>
      </c>
      <c r="D47" s="0" t="str">
        <f aca="false">dummy_variables!D45</f>
        <v>Mall</v>
      </c>
      <c r="E47" s="0" t="n">
        <f aca="false">dummy_variables!M45</f>
        <v>605178</v>
      </c>
      <c r="F47" s="0" t="n">
        <f aca="false">multiple_regression!$R$5+multiple_regression!$R$6*dummy_variables!E45+multiple_regression!$R$7*dummy_variables!F45+multiple_regression!$R$8*dummy_variables!G45+multiple_regression!$R$9*dummy_variables!I45+multiple_regression!$R$10*dummy_variables!J45+multiple_regression!$R$11*dummy_variables!K45+multiple_regression!$R$12*dummy_variables!L45+multiple_regression!$R$13*dummy_variables!O45+multiple_regression!$R$14*dummy_variables!P45+multiple_regression!$R$15*dummy_variables!Q45+multiple_regression!$R$16*dummy_variables!R45+multiple_regression!$R$17*dummy_variables!S45+multiple_regression!$R$18*dummy_variables!T45</f>
        <v>596366.456423806</v>
      </c>
      <c r="G47" s="0" t="n">
        <f aca="false">E47-F47</f>
        <v>8811.54357619374</v>
      </c>
      <c r="H47" s="0" t="n">
        <f aca="false">ABS(G47)</f>
        <v>8811.54357619374</v>
      </c>
    </row>
    <row r="48" customFormat="false" ht="15" hidden="false" customHeight="false" outlineLevel="0" collapsed="false">
      <c r="A48" s="0" t="str">
        <f aca="false">dummy_variables!A46</f>
        <v>STR-1012</v>
      </c>
      <c r="B48" s="0" t="str">
        <f aca="false">dummy_variables!B46</f>
        <v>2025-01-01</v>
      </c>
      <c r="C48" s="0" t="str">
        <f aca="false">dummy_variables!C46</f>
        <v>West</v>
      </c>
      <c r="D48" s="0" t="str">
        <f aca="false">dummy_variables!D46</f>
        <v>Residential</v>
      </c>
      <c r="E48" s="0" t="n">
        <f aca="false">dummy_variables!M46</f>
        <v>595467.6</v>
      </c>
      <c r="F48" s="0" t="n">
        <f aca="false">multiple_regression!$R$5+multiple_regression!$R$6*dummy_variables!E46+multiple_regression!$R$7*dummy_variables!F46+multiple_regression!$R$8*dummy_variables!G46+multiple_regression!$R$9*dummy_variables!I46+multiple_regression!$R$10*dummy_variables!J46+multiple_regression!$R$11*dummy_variables!K46+multiple_regression!$R$12*dummy_variables!L46+multiple_regression!$R$13*dummy_variables!O46+multiple_regression!$R$14*dummy_variables!P46+multiple_regression!$R$15*dummy_variables!Q46+multiple_regression!$R$16*dummy_variables!R46+multiple_regression!$R$17*dummy_variables!S46+multiple_regression!$R$18*dummy_variables!T46</f>
        <v>701898.329022993</v>
      </c>
      <c r="G48" s="0" t="n">
        <f aca="false">E48-F48</f>
        <v>-106430.729022993</v>
      </c>
      <c r="H48" s="0" t="n">
        <f aca="false">ABS(G48)</f>
        <v>106430.729022993</v>
      </c>
    </row>
    <row r="49" customFormat="false" ht="15" hidden="false" customHeight="false" outlineLevel="0" collapsed="false">
      <c r="A49" s="0" t="str">
        <f aca="false">dummy_variables!A47</f>
        <v>STR-1012</v>
      </c>
      <c r="B49" s="0" t="str">
        <f aca="false">dummy_variables!B47</f>
        <v>2025-02-01</v>
      </c>
      <c r="C49" s="0" t="str">
        <f aca="false">dummy_variables!C47</f>
        <v>West</v>
      </c>
      <c r="D49" s="0" t="str">
        <f aca="false">dummy_variables!D47</f>
        <v>Residential</v>
      </c>
      <c r="E49" s="0" t="n">
        <f aca="false">dummy_variables!M47</f>
        <v>599603.4</v>
      </c>
      <c r="F49" s="0" t="n">
        <f aca="false">multiple_regression!$R$5+multiple_regression!$R$6*dummy_variables!E47+multiple_regression!$R$7*dummy_variables!F47+multiple_regression!$R$8*dummy_variables!G47+multiple_regression!$R$9*dummy_variables!I47+multiple_regression!$R$10*dummy_variables!J47+multiple_regression!$R$11*dummy_variables!K47+multiple_regression!$R$12*dummy_variables!L47+multiple_regression!$R$13*dummy_variables!O47+multiple_regression!$R$14*dummy_variables!P47+multiple_regression!$R$15*dummy_variables!Q47+multiple_regression!$R$16*dummy_variables!R47+multiple_regression!$R$17*dummy_variables!S47+multiple_regression!$R$18*dummy_variables!T47</f>
        <v>628438.946720003</v>
      </c>
      <c r="G49" s="0" t="n">
        <f aca="false">E49-F49</f>
        <v>-28835.5467200024</v>
      </c>
      <c r="H49" s="0" t="n">
        <f aca="false">ABS(G49)</f>
        <v>28835.5467200024</v>
      </c>
    </row>
    <row r="50" customFormat="false" ht="15" hidden="false" customHeight="false" outlineLevel="0" collapsed="false">
      <c r="A50" s="0" t="str">
        <f aca="false">dummy_variables!A48</f>
        <v>STR-1012</v>
      </c>
      <c r="B50" s="0" t="str">
        <f aca="false">dummy_variables!B48</f>
        <v>2025-03-01</v>
      </c>
      <c r="C50" s="0" t="str">
        <f aca="false">dummy_variables!C48</f>
        <v>West</v>
      </c>
      <c r="D50" s="0" t="str">
        <f aca="false">dummy_variables!D48</f>
        <v>Residential</v>
      </c>
      <c r="E50" s="0" t="n">
        <f aca="false">dummy_variables!M48</f>
        <v>614800.09</v>
      </c>
      <c r="F50" s="0" t="n">
        <f aca="false">multiple_regression!$R$5+multiple_regression!$R$6*dummy_variables!E48+multiple_regression!$R$7*dummy_variables!F48+multiple_regression!$R$8*dummy_variables!G48+multiple_regression!$R$9*dummy_variables!I48+multiple_regression!$R$10*dummy_variables!J48+multiple_regression!$R$11*dummy_variables!K48+multiple_regression!$R$12*dummy_variables!L48+multiple_regression!$R$13*dummy_variables!O48+multiple_regression!$R$14*dummy_variables!P48+multiple_regression!$R$15*dummy_variables!Q48+multiple_regression!$R$16*dummy_variables!R48+multiple_regression!$R$17*dummy_variables!S48+multiple_regression!$R$18*dummy_variables!T48</f>
        <v>591155.971816965</v>
      </c>
      <c r="G50" s="0" t="n">
        <f aca="false">E50-F50</f>
        <v>23644.1181830353</v>
      </c>
      <c r="H50" s="0" t="n">
        <f aca="false">ABS(G50)</f>
        <v>23644.1181830353</v>
      </c>
    </row>
    <row r="51" customFormat="false" ht="15" hidden="false" customHeight="false" outlineLevel="0" collapsed="false">
      <c r="A51" s="0" t="str">
        <f aca="false">dummy_variables!A49</f>
        <v>STR-1012</v>
      </c>
      <c r="B51" s="0" t="str">
        <f aca="false">dummy_variables!B49</f>
        <v>2025-04-01</v>
      </c>
      <c r="C51" s="0" t="str">
        <f aca="false">dummy_variables!C49</f>
        <v>West</v>
      </c>
      <c r="D51" s="0" t="str">
        <f aca="false">dummy_variables!D49</f>
        <v>Residential</v>
      </c>
      <c r="E51" s="0" t="n">
        <f aca="false">dummy_variables!M49</f>
        <v>585365.73</v>
      </c>
      <c r="F51" s="0" t="n">
        <f aca="false">multiple_regression!$R$5+multiple_regression!$R$6*dummy_variables!E49+multiple_regression!$R$7*dummy_variables!F49+multiple_regression!$R$8*dummy_variables!G49+multiple_regression!$R$9*dummy_variables!I49+multiple_regression!$R$10*dummy_variables!J49+multiple_regression!$R$11*dummy_variables!K49+multiple_regression!$R$12*dummy_variables!L49+multiple_regression!$R$13*dummy_variables!O49+multiple_regression!$R$14*dummy_variables!P49+multiple_regression!$R$15*dummy_variables!Q49+multiple_regression!$R$16*dummy_variables!R49+multiple_regression!$R$17*dummy_variables!S49+multiple_regression!$R$18*dummy_variables!T49</f>
        <v>543849.777257397</v>
      </c>
      <c r="G51" s="0" t="n">
        <f aca="false">E51-F51</f>
        <v>41515.9527426031</v>
      </c>
      <c r="H51" s="0" t="n">
        <f aca="false">ABS(G51)</f>
        <v>41515.9527426031</v>
      </c>
    </row>
    <row r="52" customFormat="false" ht="15" hidden="false" customHeight="false" outlineLevel="0" collapsed="false">
      <c r="A52" s="0" t="str">
        <f aca="false">dummy_variables!A50</f>
        <v>STR-1013</v>
      </c>
      <c r="B52" s="0" t="str">
        <f aca="false">dummy_variables!B50</f>
        <v>2025-01-01</v>
      </c>
      <c r="C52" s="0" t="str">
        <f aca="false">dummy_variables!C50</f>
        <v>North</v>
      </c>
      <c r="D52" s="0" t="str">
        <f aca="false">dummy_variables!D50</f>
        <v>Mall</v>
      </c>
      <c r="E52" s="0" t="n">
        <f aca="false">dummy_variables!M50</f>
        <v>622811.74</v>
      </c>
      <c r="F52" s="0" t="n">
        <f aca="false">multiple_regression!$R$5+multiple_regression!$R$6*dummy_variables!E50+multiple_regression!$R$7*dummy_variables!F50+multiple_regression!$R$8*dummy_variables!G50+multiple_regression!$R$9*dummy_variables!I50+multiple_regression!$R$10*dummy_variables!J50+multiple_regression!$R$11*dummy_variables!K50+multiple_regression!$R$12*dummy_variables!L50+multiple_regression!$R$13*dummy_variables!O50+multiple_regression!$R$14*dummy_variables!P50+multiple_regression!$R$15*dummy_variables!Q50+multiple_regression!$R$16*dummy_variables!R50+multiple_regression!$R$17*dummy_variables!S50+multiple_regression!$R$18*dummy_variables!T50</f>
        <v>682884.802315927</v>
      </c>
      <c r="G52" s="0" t="n">
        <f aca="false">E52-F52</f>
        <v>-60073.0623159274</v>
      </c>
      <c r="H52" s="0" t="n">
        <f aca="false">ABS(G52)</f>
        <v>60073.0623159274</v>
      </c>
    </row>
    <row r="53" customFormat="false" ht="15" hidden="false" customHeight="false" outlineLevel="0" collapsed="false">
      <c r="A53" s="0" t="str">
        <f aca="false">dummy_variables!A51</f>
        <v>STR-1013</v>
      </c>
      <c r="B53" s="0" t="str">
        <f aca="false">dummy_variables!B51</f>
        <v>2025-02-01</v>
      </c>
      <c r="C53" s="0" t="str">
        <f aca="false">dummy_variables!C51</f>
        <v>North</v>
      </c>
      <c r="D53" s="0" t="str">
        <f aca="false">dummy_variables!D51</f>
        <v>Mall</v>
      </c>
      <c r="E53" s="0" t="n">
        <f aca="false">dummy_variables!M51</f>
        <v>603297.57</v>
      </c>
      <c r="F53" s="0" t="n">
        <f aca="false">multiple_regression!$R$5+multiple_regression!$R$6*dummy_variables!E51+multiple_regression!$R$7*dummy_variables!F51+multiple_regression!$R$8*dummy_variables!G51+multiple_regression!$R$9*dummy_variables!I51+multiple_regression!$R$10*dummy_variables!J51+multiple_regression!$R$11*dummy_variables!K51+multiple_regression!$R$12*dummy_variables!L51+multiple_regression!$R$13*dummy_variables!O51+multiple_regression!$R$14*dummy_variables!P51+multiple_regression!$R$15*dummy_variables!Q51+multiple_regression!$R$16*dummy_variables!R51+multiple_regression!$R$17*dummy_variables!S51+multiple_regression!$R$18*dummy_variables!T51</f>
        <v>584585.519853898</v>
      </c>
      <c r="G53" s="0" t="n">
        <f aca="false">E53-F53</f>
        <v>18712.0501461023</v>
      </c>
      <c r="H53" s="0" t="n">
        <f aca="false">ABS(G53)</f>
        <v>18712.0501461023</v>
      </c>
    </row>
    <row r="54" customFormat="false" ht="15" hidden="false" customHeight="false" outlineLevel="0" collapsed="false">
      <c r="A54" s="0" t="str">
        <f aca="false">dummy_variables!A52</f>
        <v>STR-1013</v>
      </c>
      <c r="B54" s="0" t="str">
        <f aca="false">dummy_variables!B52</f>
        <v>2025-03-01</v>
      </c>
      <c r="C54" s="0" t="str">
        <f aca="false">dummy_variables!C52</f>
        <v>North</v>
      </c>
      <c r="D54" s="0" t="str">
        <f aca="false">dummy_variables!D52</f>
        <v>Mall</v>
      </c>
      <c r="E54" s="0" t="n">
        <f aca="false">dummy_variables!M52</f>
        <v>625672.86</v>
      </c>
      <c r="F54" s="0" t="n">
        <f aca="false">multiple_regression!$R$5+multiple_regression!$R$6*dummy_variables!E52+multiple_regression!$R$7*dummy_variables!F52+multiple_regression!$R$8*dummy_variables!G52+multiple_regression!$R$9*dummy_variables!I52+multiple_regression!$R$10*dummy_variables!J52+multiple_regression!$R$11*dummy_variables!K52+multiple_regression!$R$12*dummy_variables!L52+multiple_regression!$R$13*dummy_variables!O52+multiple_regression!$R$14*dummy_variables!P52+multiple_regression!$R$15*dummy_variables!Q52+multiple_regression!$R$16*dummy_variables!R52+multiple_regression!$R$17*dummy_variables!S52+multiple_regression!$R$18*dummy_variables!T52</f>
        <v>609709.983158547</v>
      </c>
      <c r="G54" s="0" t="n">
        <f aca="false">E54-F54</f>
        <v>15962.8768414529</v>
      </c>
      <c r="H54" s="0" t="n">
        <f aca="false">ABS(G54)</f>
        <v>15962.8768414529</v>
      </c>
    </row>
    <row r="55" customFormat="false" ht="15" hidden="false" customHeight="false" outlineLevel="0" collapsed="false">
      <c r="A55" s="0" t="str">
        <f aca="false">dummy_variables!A53</f>
        <v>STR-1013</v>
      </c>
      <c r="B55" s="0" t="str">
        <f aca="false">dummy_variables!B53</f>
        <v>2025-04-01</v>
      </c>
      <c r="C55" s="0" t="str">
        <f aca="false">dummy_variables!C53</f>
        <v>North</v>
      </c>
      <c r="D55" s="0" t="str">
        <f aca="false">dummy_variables!D53</f>
        <v>Mall</v>
      </c>
      <c r="E55" s="0" t="n">
        <f aca="false">dummy_variables!M53</f>
        <v>773815.14</v>
      </c>
      <c r="F55" s="0" t="n">
        <f aca="false">multiple_regression!$R$5+multiple_regression!$R$6*dummy_variables!E53+multiple_regression!$R$7*dummy_variables!F53+multiple_regression!$R$8*dummy_variables!G53+multiple_regression!$R$9*dummy_variables!I53+multiple_regression!$R$10*dummy_variables!J53+multiple_regression!$R$11*dummy_variables!K53+multiple_regression!$R$12*dummy_variables!L53+multiple_regression!$R$13*dummy_variables!O53+multiple_regression!$R$14*dummy_variables!P53+multiple_regression!$R$15*dummy_variables!Q53+multiple_regression!$R$16*dummy_variables!R53+multiple_regression!$R$17*dummy_variables!S53+multiple_regression!$R$18*dummy_variables!T53</f>
        <v>739705.158374602</v>
      </c>
      <c r="G55" s="0" t="n">
        <f aca="false">E55-F55</f>
        <v>34109.9816253984</v>
      </c>
      <c r="H55" s="0" t="n">
        <f aca="false">ABS(G55)</f>
        <v>34109.9816253984</v>
      </c>
    </row>
    <row r="56" customFormat="false" ht="15" hidden="false" customHeight="false" outlineLevel="0" collapsed="false">
      <c r="A56" s="0" t="str">
        <f aca="false">dummy_variables!A54</f>
        <v>STR-1014</v>
      </c>
      <c r="B56" s="0" t="str">
        <f aca="false">dummy_variables!B54</f>
        <v>2025-01-01</v>
      </c>
      <c r="C56" s="0" t="str">
        <f aca="false">dummy_variables!C54</f>
        <v>West</v>
      </c>
      <c r="D56" s="0" t="str">
        <f aca="false">dummy_variables!D54</f>
        <v>High Street</v>
      </c>
      <c r="E56" s="0" t="n">
        <f aca="false">dummy_variables!M54</f>
        <v>463534.25</v>
      </c>
      <c r="F56" s="0" t="n">
        <f aca="false">multiple_regression!$R$5+multiple_regression!$R$6*dummy_variables!E54+multiple_regression!$R$7*dummy_variables!F54+multiple_regression!$R$8*dummy_variables!G54+multiple_regression!$R$9*dummy_variables!I54+multiple_regression!$R$10*dummy_variables!J54+multiple_regression!$R$11*dummy_variables!K54+multiple_regression!$R$12*dummy_variables!L54+multiple_regression!$R$13*dummy_variables!O54+multiple_regression!$R$14*dummy_variables!P54+multiple_regression!$R$15*dummy_variables!Q54+multiple_regression!$R$16*dummy_variables!R54+multiple_regression!$R$17*dummy_variables!S54+multiple_regression!$R$18*dummy_variables!T54</f>
        <v>506425.806620288</v>
      </c>
      <c r="G56" s="0" t="n">
        <f aca="false">E56-F56</f>
        <v>-42891.5566202881</v>
      </c>
      <c r="H56" s="0" t="n">
        <f aca="false">ABS(G56)</f>
        <v>42891.5566202881</v>
      </c>
    </row>
    <row r="57" customFormat="false" ht="15" hidden="false" customHeight="false" outlineLevel="0" collapsed="false">
      <c r="A57" s="0" t="str">
        <f aca="false">dummy_variables!A55</f>
        <v>STR-1014</v>
      </c>
      <c r="B57" s="0" t="str">
        <f aca="false">dummy_variables!B55</f>
        <v>2025-02-01</v>
      </c>
      <c r="C57" s="0" t="str">
        <f aca="false">dummy_variables!C55</f>
        <v>West</v>
      </c>
      <c r="D57" s="0" t="str">
        <f aca="false">dummy_variables!D55</f>
        <v>High Street</v>
      </c>
      <c r="E57" s="0" t="n">
        <f aca="false">dummy_variables!M55</f>
        <v>746677.75</v>
      </c>
      <c r="F57" s="0" t="n">
        <f aca="false">multiple_regression!$R$5+multiple_regression!$R$6*dummy_variables!E55+multiple_regression!$R$7*dummy_variables!F55+multiple_regression!$R$8*dummy_variables!G55+multiple_regression!$R$9*dummy_variables!I55+multiple_regression!$R$10*dummy_variables!J55+multiple_regression!$R$11*dummy_variables!K55+multiple_regression!$R$12*dummy_variables!L55+multiple_regression!$R$13*dummy_variables!O55+multiple_regression!$R$14*dummy_variables!P55+multiple_regression!$R$15*dummy_variables!Q55+multiple_regression!$R$16*dummy_variables!R55+multiple_regression!$R$17*dummy_variables!S55+multiple_regression!$R$18*dummy_variables!T55</f>
        <v>721379.915097678</v>
      </c>
      <c r="G57" s="0" t="n">
        <f aca="false">E57-F57</f>
        <v>25297.8349023216</v>
      </c>
      <c r="H57" s="0" t="n">
        <f aca="false">ABS(G57)</f>
        <v>25297.8349023216</v>
      </c>
    </row>
    <row r="58" customFormat="false" ht="15" hidden="false" customHeight="false" outlineLevel="0" collapsed="false">
      <c r="A58" s="0" t="str">
        <f aca="false">dummy_variables!A56</f>
        <v>STR-1014</v>
      </c>
      <c r="B58" s="0" t="str">
        <f aca="false">dummy_variables!B56</f>
        <v>2025-03-01</v>
      </c>
      <c r="C58" s="0" t="str">
        <f aca="false">dummy_variables!C56</f>
        <v>West</v>
      </c>
      <c r="D58" s="0" t="str">
        <f aca="false">dummy_variables!D56</f>
        <v>High Street</v>
      </c>
      <c r="E58" s="0" t="n">
        <f aca="false">dummy_variables!M56</f>
        <v>720852.5</v>
      </c>
      <c r="F58" s="0" t="n">
        <f aca="false">multiple_regression!$R$5+multiple_regression!$R$6*dummy_variables!E56+multiple_regression!$R$7*dummy_variables!F56+multiple_regression!$R$8*dummy_variables!G56+multiple_regression!$R$9*dummy_variables!I56+multiple_regression!$R$10*dummy_variables!J56+multiple_regression!$R$11*dummy_variables!K56+multiple_regression!$R$12*dummy_variables!L56+multiple_regression!$R$13*dummy_variables!O56+multiple_regression!$R$14*dummy_variables!P56+multiple_regression!$R$15*dummy_variables!Q56+multiple_regression!$R$16*dummy_variables!R56+multiple_regression!$R$17*dummy_variables!S56+multiple_regression!$R$18*dummy_variables!T56</f>
        <v>699772.509754179</v>
      </c>
      <c r="G58" s="0" t="n">
        <f aca="false">E58-F58</f>
        <v>21079.9902458214</v>
      </c>
      <c r="H58" s="0" t="n">
        <f aca="false">ABS(G58)</f>
        <v>21079.9902458214</v>
      </c>
    </row>
    <row r="59" customFormat="false" ht="15" hidden="false" customHeight="false" outlineLevel="0" collapsed="false">
      <c r="A59" s="0" t="str">
        <f aca="false">dummy_variables!A57</f>
        <v>STR-1014</v>
      </c>
      <c r="B59" s="0" t="str">
        <f aca="false">dummy_variables!B57</f>
        <v>2025-04-01</v>
      </c>
      <c r="C59" s="0" t="str">
        <f aca="false">dummy_variables!C57</f>
        <v>West</v>
      </c>
      <c r="D59" s="0" t="str">
        <f aca="false">dummy_variables!D57</f>
        <v>High Street</v>
      </c>
      <c r="E59" s="0" t="n">
        <f aca="false">dummy_variables!M57</f>
        <v>487464.91</v>
      </c>
      <c r="F59" s="0" t="n">
        <f aca="false">multiple_regression!$R$5+multiple_regression!$R$6*dummy_variables!E57+multiple_regression!$R$7*dummy_variables!F57+multiple_regression!$R$8*dummy_variables!G57+multiple_regression!$R$9*dummy_variables!I57+multiple_regression!$R$10*dummy_variables!J57+multiple_regression!$R$11*dummy_variables!K57+multiple_regression!$R$12*dummy_variables!L57+multiple_regression!$R$13*dummy_variables!O57+multiple_regression!$R$14*dummy_variables!P57+multiple_regression!$R$15*dummy_variables!Q57+multiple_regression!$R$16*dummy_variables!R57+multiple_regression!$R$17*dummy_variables!S57+multiple_regression!$R$18*dummy_variables!T57</f>
        <v>551699.55191508</v>
      </c>
      <c r="G59" s="0" t="n">
        <f aca="false">E59-F59</f>
        <v>-64234.6419150799</v>
      </c>
      <c r="H59" s="0" t="n">
        <f aca="false">ABS(G59)</f>
        <v>64234.6419150799</v>
      </c>
    </row>
    <row r="60" customFormat="false" ht="15" hidden="false" customHeight="false" outlineLevel="0" collapsed="false">
      <c r="A60" s="0" t="str">
        <f aca="false">dummy_variables!A58</f>
        <v>STR-1015</v>
      </c>
      <c r="B60" s="0" t="str">
        <f aca="false">dummy_variables!B58</f>
        <v>2025-01-01</v>
      </c>
      <c r="C60" s="0" t="str">
        <f aca="false">dummy_variables!C58</f>
        <v>East</v>
      </c>
      <c r="D60" s="0" t="str">
        <f aca="false">dummy_variables!D58</f>
        <v>Airport</v>
      </c>
      <c r="E60" s="0" t="n">
        <f aca="false">dummy_variables!M58</f>
        <v>518049.26</v>
      </c>
      <c r="F60" s="0" t="n">
        <f aca="false">multiple_regression!$R$5+multiple_regression!$R$6*dummy_variables!E58+multiple_regression!$R$7*dummy_variables!F58+multiple_regression!$R$8*dummy_variables!G58+multiple_regression!$R$9*dummy_variables!I58+multiple_regression!$R$10*dummy_variables!J58+multiple_regression!$R$11*dummy_variables!K58+multiple_regression!$R$12*dummy_variables!L58+multiple_regression!$R$13*dummy_variables!O58+multiple_regression!$R$14*dummy_variables!P58+multiple_regression!$R$15*dummy_variables!Q58+multiple_regression!$R$16*dummy_variables!R58+multiple_regression!$R$17*dummy_variables!S58+multiple_regression!$R$18*dummy_variables!T58</f>
        <v>538204.5161065</v>
      </c>
      <c r="G60" s="0" t="n">
        <f aca="false">E60-F60</f>
        <v>-20155.2561064996</v>
      </c>
      <c r="H60" s="0" t="n">
        <f aca="false">ABS(G60)</f>
        <v>20155.2561064996</v>
      </c>
    </row>
    <row r="61" customFormat="false" ht="15" hidden="false" customHeight="false" outlineLevel="0" collapsed="false">
      <c r="A61" s="0" t="str">
        <f aca="false">dummy_variables!A59</f>
        <v>STR-1015</v>
      </c>
      <c r="B61" s="0" t="str">
        <f aca="false">dummy_variables!B59</f>
        <v>2025-02-01</v>
      </c>
      <c r="C61" s="0" t="str">
        <f aca="false">dummy_variables!C59</f>
        <v>East</v>
      </c>
      <c r="D61" s="0" t="str">
        <f aca="false">dummy_variables!D59</f>
        <v>Airport</v>
      </c>
      <c r="E61" s="0" t="n">
        <f aca="false">dummy_variables!M59</f>
        <v>500298.48</v>
      </c>
      <c r="F61" s="0" t="n">
        <f aca="false">multiple_regression!$R$5+multiple_regression!$R$6*dummy_variables!E59+multiple_regression!$R$7*dummy_variables!F59+multiple_regression!$R$8*dummy_variables!G59+multiple_regression!$R$9*dummy_variables!I59+multiple_regression!$R$10*dummy_variables!J59+multiple_regression!$R$11*dummy_variables!K59+multiple_regression!$R$12*dummy_variables!L59+multiple_regression!$R$13*dummy_variables!O59+multiple_regression!$R$14*dummy_variables!P59+multiple_regression!$R$15*dummy_variables!Q59+multiple_regression!$R$16*dummy_variables!R59+multiple_regression!$R$17*dummy_variables!S59+multiple_regression!$R$18*dummy_variables!T59</f>
        <v>519869.773428559</v>
      </c>
      <c r="G61" s="0" t="n">
        <f aca="false">E61-F61</f>
        <v>-19571.293428559</v>
      </c>
      <c r="H61" s="0" t="n">
        <f aca="false">ABS(G61)</f>
        <v>19571.293428559</v>
      </c>
    </row>
    <row r="62" customFormat="false" ht="15" hidden="false" customHeight="false" outlineLevel="0" collapsed="false">
      <c r="A62" s="0" t="str">
        <f aca="false">dummy_variables!A60</f>
        <v>STR-1015</v>
      </c>
      <c r="B62" s="0" t="str">
        <f aca="false">dummy_variables!B60</f>
        <v>2025-03-01</v>
      </c>
      <c r="C62" s="0" t="str">
        <f aca="false">dummy_variables!C60</f>
        <v>East</v>
      </c>
      <c r="D62" s="0" t="str">
        <f aca="false">dummy_variables!D60</f>
        <v>Airport</v>
      </c>
      <c r="E62" s="0" t="n">
        <f aca="false">dummy_variables!M60</f>
        <v>617291.15</v>
      </c>
      <c r="F62" s="0" t="n">
        <f aca="false">multiple_regression!$R$5+multiple_regression!$R$6*dummy_variables!E60+multiple_regression!$R$7*dummy_variables!F60+multiple_regression!$R$8*dummy_variables!G60+multiple_regression!$R$9*dummy_variables!I60+multiple_regression!$R$10*dummy_variables!J60+multiple_regression!$R$11*dummy_variables!K60+multiple_regression!$R$12*dummy_variables!L60+multiple_regression!$R$13*dummy_variables!O60+multiple_regression!$R$14*dummy_variables!P60+multiple_regression!$R$15*dummy_variables!Q60+multiple_regression!$R$16*dummy_variables!R60+multiple_regression!$R$17*dummy_variables!S60+multiple_regression!$R$18*dummy_variables!T60</f>
        <v>682806.609114412</v>
      </c>
      <c r="G62" s="0" t="n">
        <f aca="false">E62-F62</f>
        <v>-65515.4591144117</v>
      </c>
      <c r="H62" s="0" t="n">
        <f aca="false">ABS(G62)</f>
        <v>65515.4591144117</v>
      </c>
    </row>
    <row r="63" customFormat="false" ht="15" hidden="false" customHeight="false" outlineLevel="0" collapsed="false">
      <c r="A63" s="0" t="str">
        <f aca="false">dummy_variables!A61</f>
        <v>STR-1015</v>
      </c>
      <c r="B63" s="0" t="str">
        <f aca="false">dummy_variables!B61</f>
        <v>2025-04-01</v>
      </c>
      <c r="C63" s="0" t="str">
        <f aca="false">dummy_variables!C61</f>
        <v>East</v>
      </c>
      <c r="D63" s="0" t="str">
        <f aca="false">dummy_variables!D61</f>
        <v>Airport</v>
      </c>
      <c r="E63" s="0" t="n">
        <f aca="false">dummy_variables!M61</f>
        <v>553756.43</v>
      </c>
      <c r="F63" s="0" t="n">
        <f aca="false">multiple_regression!$R$5+multiple_regression!$R$6*dummy_variables!E61+multiple_regression!$R$7*dummy_variables!F61+multiple_regression!$R$8*dummy_variables!G61+multiple_regression!$R$9*dummy_variables!I61+multiple_regression!$R$10*dummy_variables!J61+multiple_regression!$R$11*dummy_variables!K61+multiple_regression!$R$12*dummy_variables!L61+multiple_regression!$R$13*dummy_variables!O61+multiple_regression!$R$14*dummy_variables!P61+multiple_regression!$R$15*dummy_variables!Q61+multiple_regression!$R$16*dummy_variables!R61+multiple_regression!$R$17*dummy_variables!S61+multiple_regression!$R$18*dummy_variables!T61</f>
        <v>574858.605932298</v>
      </c>
      <c r="G63" s="0" t="n">
        <f aca="false">E63-F63</f>
        <v>-21102.1759322978</v>
      </c>
      <c r="H63" s="0" t="n">
        <f aca="false">ABS(G63)</f>
        <v>21102.1759322978</v>
      </c>
    </row>
    <row r="64" customFormat="false" ht="15" hidden="false" customHeight="false" outlineLevel="0" collapsed="false">
      <c r="A64" s="0" t="str">
        <f aca="false">dummy_variables!A62</f>
        <v>STR-1016</v>
      </c>
      <c r="B64" s="0" t="str">
        <f aca="false">dummy_variables!B62</f>
        <v>2025-01-01</v>
      </c>
      <c r="C64" s="0" t="str">
        <f aca="false">dummy_variables!C62</f>
        <v>South</v>
      </c>
      <c r="D64" s="0" t="str">
        <f aca="false">dummy_variables!D62</f>
        <v>High Street</v>
      </c>
      <c r="E64" s="0" t="n">
        <f aca="false">dummy_variables!M62</f>
        <v>749559.71</v>
      </c>
      <c r="F64" s="0" t="n">
        <f aca="false">multiple_regression!$R$5+multiple_regression!$R$6*dummy_variables!E62+multiple_regression!$R$7*dummy_variables!F62+multiple_regression!$R$8*dummy_variables!G62+multiple_regression!$R$9*dummy_variables!I62+multiple_regression!$R$10*dummy_variables!J62+multiple_regression!$R$11*dummy_variables!K62+multiple_regression!$R$12*dummy_variables!L62+multiple_regression!$R$13*dummy_variables!O62+multiple_regression!$R$14*dummy_variables!P62+multiple_regression!$R$15*dummy_variables!Q62+multiple_regression!$R$16*dummy_variables!R62+multiple_regression!$R$17*dummy_variables!S62+multiple_regression!$R$18*dummy_variables!T62</f>
        <v>699976.145085687</v>
      </c>
      <c r="G64" s="0" t="n">
        <f aca="false">E64-F64</f>
        <v>49583.5649143127</v>
      </c>
      <c r="H64" s="0" t="n">
        <f aca="false">ABS(G64)</f>
        <v>49583.5649143127</v>
      </c>
    </row>
    <row r="65" customFormat="false" ht="15" hidden="false" customHeight="false" outlineLevel="0" collapsed="false">
      <c r="A65" s="0" t="str">
        <f aca="false">dummy_variables!A63</f>
        <v>STR-1016</v>
      </c>
      <c r="B65" s="0" t="str">
        <f aca="false">dummy_variables!B63</f>
        <v>2025-02-01</v>
      </c>
      <c r="C65" s="0" t="str">
        <f aca="false">dummy_variables!C63</f>
        <v>South</v>
      </c>
      <c r="D65" s="0" t="str">
        <f aca="false">dummy_variables!D63</f>
        <v>High Street</v>
      </c>
      <c r="E65" s="0" t="n">
        <f aca="false">dummy_variables!M63</f>
        <v>615966.48</v>
      </c>
      <c r="F65" s="0" t="n">
        <f aca="false">multiple_regression!$R$5+multiple_regression!$R$6*dummy_variables!E63+multiple_regression!$R$7*dummy_variables!F63+multiple_regression!$R$8*dummy_variables!G63+multiple_regression!$R$9*dummy_variables!I63+multiple_regression!$R$10*dummy_variables!J63+multiple_regression!$R$11*dummy_variables!K63+multiple_regression!$R$12*dummy_variables!L63+multiple_regression!$R$13*dummy_variables!O63+multiple_regression!$R$14*dummy_variables!P63+multiple_regression!$R$15*dummy_variables!Q63+multiple_regression!$R$16*dummy_variables!R63+multiple_regression!$R$17*dummy_variables!S63+multiple_regression!$R$18*dummy_variables!T63</f>
        <v>578663.363702976</v>
      </c>
      <c r="G65" s="0" t="n">
        <f aca="false">E65-F65</f>
        <v>37303.1162970237</v>
      </c>
      <c r="H65" s="0" t="n">
        <f aca="false">ABS(G65)</f>
        <v>37303.1162970237</v>
      </c>
    </row>
    <row r="66" customFormat="false" ht="15" hidden="false" customHeight="false" outlineLevel="0" collapsed="false">
      <c r="A66" s="0" t="str">
        <f aca="false">dummy_variables!A64</f>
        <v>STR-1016</v>
      </c>
      <c r="B66" s="0" t="str">
        <f aca="false">dummy_variables!B64</f>
        <v>2025-03-01</v>
      </c>
      <c r="C66" s="0" t="str">
        <f aca="false">dummy_variables!C64</f>
        <v>South</v>
      </c>
      <c r="D66" s="0" t="str">
        <f aca="false">dummy_variables!D64</f>
        <v>High Street</v>
      </c>
      <c r="E66" s="0" t="n">
        <f aca="false">dummy_variables!M64</f>
        <v>572011.2</v>
      </c>
      <c r="F66" s="0" t="n">
        <f aca="false">multiple_regression!$R$5+multiple_regression!$R$6*dummy_variables!E64+multiple_regression!$R$7*dummy_variables!F64+multiple_regression!$R$8*dummy_variables!G64+multiple_regression!$R$9*dummy_variables!I64+multiple_regression!$R$10*dummy_variables!J64+multiple_regression!$R$11*dummy_variables!K64+multiple_regression!$R$12*dummy_variables!L64+multiple_regression!$R$13*dummy_variables!O64+multiple_regression!$R$14*dummy_variables!P64+multiple_regression!$R$15*dummy_variables!Q64+multiple_regression!$R$16*dummy_variables!R64+multiple_regression!$R$17*dummy_variables!S64+multiple_regression!$R$18*dummy_variables!T64</f>
        <v>579292.488980129</v>
      </c>
      <c r="G66" s="0" t="n">
        <f aca="false">E66-F66</f>
        <v>-7281.28898012929</v>
      </c>
      <c r="H66" s="0" t="n">
        <f aca="false">ABS(G66)</f>
        <v>7281.28898012929</v>
      </c>
    </row>
    <row r="67" customFormat="false" ht="15" hidden="false" customHeight="false" outlineLevel="0" collapsed="false">
      <c r="A67" s="0" t="str">
        <f aca="false">dummy_variables!A65</f>
        <v>STR-1016</v>
      </c>
      <c r="B67" s="0" t="str">
        <f aca="false">dummy_variables!B65</f>
        <v>2025-04-01</v>
      </c>
      <c r="C67" s="0" t="str">
        <f aca="false">dummy_variables!C65</f>
        <v>South</v>
      </c>
      <c r="D67" s="0" t="str">
        <f aca="false">dummy_variables!D65</f>
        <v>High Street</v>
      </c>
      <c r="E67" s="0" t="n">
        <f aca="false">dummy_variables!M65</f>
        <v>761860.19</v>
      </c>
      <c r="F67" s="0" t="n">
        <f aca="false">multiple_regression!$R$5+multiple_regression!$R$6*dummy_variables!E65+multiple_regression!$R$7*dummy_variables!F65+multiple_regression!$R$8*dummy_variables!G65+multiple_regression!$R$9*dummy_variables!I65+multiple_regression!$R$10*dummy_variables!J65+multiple_regression!$R$11*dummy_variables!K65+multiple_regression!$R$12*dummy_variables!L65+multiple_regression!$R$13*dummy_variables!O65+multiple_regression!$R$14*dummy_variables!P65+multiple_regression!$R$15*dummy_variables!Q65+multiple_regression!$R$16*dummy_variables!R65+multiple_regression!$R$17*dummy_variables!S65+multiple_regression!$R$18*dummy_variables!T65</f>
        <v>728372.505167004</v>
      </c>
      <c r="G67" s="0" t="n">
        <f aca="false">E67-F67</f>
        <v>33487.684832996</v>
      </c>
      <c r="H67" s="0" t="n">
        <f aca="false">ABS(G67)</f>
        <v>33487.684832996</v>
      </c>
    </row>
    <row r="68" customFormat="false" ht="15" hidden="false" customHeight="false" outlineLevel="0" collapsed="false">
      <c r="A68" s="0" t="str">
        <f aca="false">dummy_variables!A66</f>
        <v>STR-1017</v>
      </c>
      <c r="B68" s="0" t="str">
        <f aca="false">dummy_variables!B66</f>
        <v>2025-01-01</v>
      </c>
      <c r="C68" s="0" t="str">
        <f aca="false">dummy_variables!C66</f>
        <v>West</v>
      </c>
      <c r="D68" s="0" t="str">
        <f aca="false">dummy_variables!D66</f>
        <v>High Street</v>
      </c>
      <c r="E68" s="0" t="n">
        <f aca="false">dummy_variables!M66</f>
        <v>784502.68</v>
      </c>
      <c r="F68" s="0" t="n">
        <f aca="false">multiple_regression!$R$5+multiple_regression!$R$6*dummy_variables!E66+multiple_regression!$R$7*dummy_variables!F66+multiple_regression!$R$8*dummy_variables!G66+multiple_regression!$R$9*dummy_variables!I66+multiple_regression!$R$10*dummy_variables!J66+multiple_regression!$R$11*dummy_variables!K66+multiple_regression!$R$12*dummy_variables!L66+multiple_regression!$R$13*dummy_variables!O66+multiple_regression!$R$14*dummy_variables!P66+multiple_regression!$R$15*dummy_variables!Q66+multiple_regression!$R$16*dummy_variables!R66+multiple_regression!$R$17*dummy_variables!S66+multiple_regression!$R$18*dummy_variables!T66</f>
        <v>819522.456086414</v>
      </c>
      <c r="G68" s="0" t="n">
        <f aca="false">E68-F68</f>
        <v>-35019.7760864144</v>
      </c>
      <c r="H68" s="0" t="n">
        <f aca="false">ABS(G68)</f>
        <v>35019.7760864144</v>
      </c>
    </row>
    <row r="69" customFormat="false" ht="15" hidden="false" customHeight="false" outlineLevel="0" collapsed="false">
      <c r="A69" s="0" t="str">
        <f aca="false">dummy_variables!A67</f>
        <v>STR-1017</v>
      </c>
      <c r="B69" s="0" t="str">
        <f aca="false">dummy_variables!B67</f>
        <v>2025-02-01</v>
      </c>
      <c r="C69" s="0" t="str">
        <f aca="false">dummy_variables!C67</f>
        <v>West</v>
      </c>
      <c r="D69" s="0" t="str">
        <f aca="false">dummy_variables!D67</f>
        <v>High Street</v>
      </c>
      <c r="E69" s="0" t="n">
        <f aca="false">dummy_variables!M67</f>
        <v>717141.55</v>
      </c>
      <c r="F69" s="0" t="n">
        <f aca="false">multiple_regression!$R$5+multiple_regression!$R$6*dummy_variables!E67+multiple_regression!$R$7*dummy_variables!F67+multiple_regression!$R$8*dummy_variables!G67+multiple_regression!$R$9*dummy_variables!I67+multiple_regression!$R$10*dummy_variables!J67+multiple_regression!$R$11*dummy_variables!K67+multiple_regression!$R$12*dummy_variables!L67+multiple_regression!$R$13*dummy_variables!O67+multiple_regression!$R$14*dummy_variables!P67+multiple_regression!$R$15*dummy_variables!Q67+multiple_regression!$R$16*dummy_variables!R67+multiple_regression!$R$17*dummy_variables!S67+multiple_regression!$R$18*dummy_variables!T67</f>
        <v>719434.696726398</v>
      </c>
      <c r="G69" s="0" t="n">
        <f aca="false">E69-F69</f>
        <v>-2293.14672639791</v>
      </c>
      <c r="H69" s="0" t="n">
        <f aca="false">ABS(G69)</f>
        <v>2293.14672639791</v>
      </c>
    </row>
    <row r="70" customFormat="false" ht="15" hidden="false" customHeight="false" outlineLevel="0" collapsed="false">
      <c r="A70" s="0" t="str">
        <f aca="false">dummy_variables!A68</f>
        <v>STR-1017</v>
      </c>
      <c r="B70" s="0" t="str">
        <f aca="false">dummy_variables!B68</f>
        <v>2025-03-01</v>
      </c>
      <c r="C70" s="0" t="str">
        <f aca="false">dummy_variables!C68</f>
        <v>West</v>
      </c>
      <c r="D70" s="0" t="str">
        <f aca="false">dummy_variables!D68</f>
        <v>High Street</v>
      </c>
      <c r="E70" s="0" t="n">
        <f aca="false">dummy_variables!M68</f>
        <v>685379.08</v>
      </c>
      <c r="F70" s="0" t="n">
        <f aca="false">multiple_regression!$R$5+multiple_regression!$R$6*dummy_variables!E68+multiple_regression!$R$7*dummy_variables!F68+multiple_regression!$R$8*dummy_variables!G68+multiple_regression!$R$9*dummy_variables!I68+multiple_regression!$R$10*dummy_variables!J68+multiple_regression!$R$11*dummy_variables!K68+multiple_regression!$R$12*dummy_variables!L68+multiple_regression!$R$13*dummy_variables!O68+multiple_regression!$R$14*dummy_variables!P68+multiple_regression!$R$15*dummy_variables!Q68+multiple_regression!$R$16*dummy_variables!R68+multiple_regression!$R$17*dummy_variables!S68+multiple_regression!$R$18*dummy_variables!T68</f>
        <v>812195.897891121</v>
      </c>
      <c r="G70" s="0" t="n">
        <f aca="false">E70-F70</f>
        <v>-126816.817891121</v>
      </c>
      <c r="H70" s="0" t="n">
        <f aca="false">ABS(G70)</f>
        <v>126816.817891121</v>
      </c>
    </row>
    <row r="71" customFormat="false" ht="15" hidden="false" customHeight="false" outlineLevel="0" collapsed="false">
      <c r="A71" s="0" t="str">
        <f aca="false">dummy_variables!A69</f>
        <v>STR-1017</v>
      </c>
      <c r="B71" s="0" t="str">
        <f aca="false">dummy_variables!B69</f>
        <v>2025-04-01</v>
      </c>
      <c r="C71" s="0" t="str">
        <f aca="false">dummy_variables!C69</f>
        <v>West</v>
      </c>
      <c r="D71" s="0" t="str">
        <f aca="false">dummy_variables!D69</f>
        <v>High Street</v>
      </c>
      <c r="E71" s="0" t="n">
        <f aca="false">dummy_variables!M69</f>
        <v>740496.65</v>
      </c>
      <c r="F71" s="0" t="n">
        <f aca="false">multiple_regression!$R$5+multiple_regression!$R$6*dummy_variables!E69+multiple_regression!$R$7*dummy_variables!F69+multiple_regression!$R$8*dummy_variables!G69+multiple_regression!$R$9*dummy_variables!I69+multiple_regression!$R$10*dummy_variables!J69+multiple_regression!$R$11*dummy_variables!K69+multiple_regression!$R$12*dummy_variables!L69+multiple_regression!$R$13*dummy_variables!O69+multiple_regression!$R$14*dummy_variables!P69+multiple_regression!$R$15*dummy_variables!Q69+multiple_regression!$R$16*dummy_variables!R69+multiple_regression!$R$17*dummy_variables!S69+multiple_regression!$R$18*dummy_variables!T69</f>
        <v>748992.674176952</v>
      </c>
      <c r="G71" s="0" t="n">
        <f aca="false">E71-F71</f>
        <v>-8496.0241769522</v>
      </c>
      <c r="H71" s="0" t="n">
        <f aca="false">ABS(G71)</f>
        <v>8496.0241769522</v>
      </c>
    </row>
    <row r="72" customFormat="false" ht="15" hidden="false" customHeight="false" outlineLevel="0" collapsed="false">
      <c r="A72" s="0" t="str">
        <f aca="false">dummy_variables!A70</f>
        <v>STR-1018</v>
      </c>
      <c r="B72" s="0" t="str">
        <f aca="false">dummy_variables!B70</f>
        <v>2025-01-01</v>
      </c>
      <c r="C72" s="0" t="str">
        <f aca="false">dummy_variables!C70</f>
        <v>East</v>
      </c>
      <c r="D72" s="0" t="str">
        <f aca="false">dummy_variables!D70</f>
        <v>High Street</v>
      </c>
      <c r="E72" s="0" t="n">
        <f aca="false">dummy_variables!M70</f>
        <v>661927.14</v>
      </c>
      <c r="F72" s="0" t="n">
        <f aca="false">multiple_regression!$R$5+multiple_regression!$R$6*dummy_variables!E70+multiple_regression!$R$7*dummy_variables!F70+multiple_regression!$R$8*dummy_variables!G70+multiple_regression!$R$9*dummy_variables!I70+multiple_regression!$R$10*dummy_variables!J70+multiple_regression!$R$11*dummy_variables!K70+multiple_regression!$R$12*dummy_variables!L70+multiple_regression!$R$13*dummy_variables!O70+multiple_regression!$R$14*dummy_variables!P70+multiple_regression!$R$15*dummy_variables!Q70+multiple_regression!$R$16*dummy_variables!R70+multiple_regression!$R$17*dummy_variables!S70+multiple_regression!$R$18*dummy_variables!T70</f>
        <v>597351.8857768</v>
      </c>
      <c r="G72" s="0" t="n">
        <f aca="false">E72-F72</f>
        <v>64575.2542231997</v>
      </c>
      <c r="H72" s="0" t="n">
        <f aca="false">ABS(G72)</f>
        <v>64575.2542231997</v>
      </c>
    </row>
    <row r="73" customFormat="false" ht="15" hidden="false" customHeight="false" outlineLevel="0" collapsed="false">
      <c r="A73" s="0" t="str">
        <f aca="false">dummy_variables!A71</f>
        <v>STR-1018</v>
      </c>
      <c r="B73" s="0" t="str">
        <f aca="false">dummy_variables!B71</f>
        <v>2025-02-01</v>
      </c>
      <c r="C73" s="0" t="str">
        <f aca="false">dummy_variables!C71</f>
        <v>East</v>
      </c>
      <c r="D73" s="0" t="str">
        <f aca="false">dummy_variables!D71</f>
        <v>High Street</v>
      </c>
      <c r="E73" s="0" t="n">
        <f aca="false">dummy_variables!M71</f>
        <v>479050.5</v>
      </c>
      <c r="F73" s="0" t="n">
        <f aca="false">multiple_regression!$R$5+multiple_regression!$R$6*dummy_variables!E71+multiple_regression!$R$7*dummy_variables!F71+multiple_regression!$R$8*dummy_variables!G71+multiple_regression!$R$9*dummy_variables!I71+multiple_regression!$R$10*dummy_variables!J71+multiple_regression!$R$11*dummy_variables!K71+multiple_regression!$R$12*dummy_variables!L71+multiple_regression!$R$13*dummy_variables!O71+multiple_regression!$R$14*dummy_variables!P71+multiple_regression!$R$15*dummy_variables!Q71+multiple_regression!$R$16*dummy_variables!R71+multiple_regression!$R$17*dummy_variables!S71+multiple_regression!$R$18*dummy_variables!T71</f>
        <v>494118.267358493</v>
      </c>
      <c r="G73" s="0" t="n">
        <f aca="false">E73-F73</f>
        <v>-15067.7673584932</v>
      </c>
      <c r="H73" s="0" t="n">
        <f aca="false">ABS(G73)</f>
        <v>15067.7673584932</v>
      </c>
    </row>
    <row r="74" customFormat="false" ht="15" hidden="false" customHeight="false" outlineLevel="0" collapsed="false">
      <c r="A74" s="0" t="str">
        <f aca="false">dummy_variables!A72</f>
        <v>STR-1018</v>
      </c>
      <c r="B74" s="0" t="str">
        <f aca="false">dummy_variables!B72</f>
        <v>2025-03-01</v>
      </c>
      <c r="C74" s="0" t="str">
        <f aca="false">dummy_variables!C72</f>
        <v>East</v>
      </c>
      <c r="D74" s="0" t="str">
        <f aca="false">dummy_variables!D72</f>
        <v>High Street</v>
      </c>
      <c r="E74" s="0" t="n">
        <f aca="false">dummy_variables!M72</f>
        <v>605023.87</v>
      </c>
      <c r="F74" s="0" t="n">
        <f aca="false">multiple_regression!$R$5+multiple_regression!$R$6*dummy_variables!E72+multiple_regression!$R$7*dummy_variables!F72+multiple_regression!$R$8*dummy_variables!G72+multiple_regression!$R$9*dummy_variables!I72+multiple_regression!$R$10*dummy_variables!J72+multiple_regression!$R$11*dummy_variables!K72+multiple_regression!$R$12*dummy_variables!L72+multiple_regression!$R$13*dummy_variables!O72+multiple_regression!$R$14*dummy_variables!P72+multiple_regression!$R$15*dummy_variables!Q72+multiple_regression!$R$16*dummy_variables!R72+multiple_regression!$R$17*dummy_variables!S72+multiple_regression!$R$18*dummy_variables!T72</f>
        <v>588708.191848444</v>
      </c>
      <c r="G74" s="0" t="n">
        <f aca="false">E74-F74</f>
        <v>16315.6781515559</v>
      </c>
      <c r="H74" s="0" t="n">
        <f aca="false">ABS(G74)</f>
        <v>16315.6781515559</v>
      </c>
    </row>
    <row r="75" customFormat="false" ht="15" hidden="false" customHeight="false" outlineLevel="0" collapsed="false">
      <c r="A75" s="0" t="str">
        <f aca="false">dummy_variables!A73</f>
        <v>STR-1018</v>
      </c>
      <c r="B75" s="0" t="str">
        <f aca="false">dummy_variables!B73</f>
        <v>2025-04-01</v>
      </c>
      <c r="C75" s="0" t="str">
        <f aca="false">dummy_variables!C73</f>
        <v>East</v>
      </c>
      <c r="D75" s="0" t="str">
        <f aca="false">dummy_variables!D73</f>
        <v>High Street</v>
      </c>
      <c r="E75" s="0" t="n">
        <f aca="false">dummy_variables!M73</f>
        <v>674774.09</v>
      </c>
      <c r="F75" s="0" t="n">
        <f aca="false">multiple_regression!$R$5+multiple_regression!$R$6*dummy_variables!E73+multiple_regression!$R$7*dummy_variables!F73+multiple_regression!$R$8*dummy_variables!G73+multiple_regression!$R$9*dummy_variables!I73+multiple_regression!$R$10*dummy_variables!J73+multiple_regression!$R$11*dummy_variables!K73+multiple_regression!$R$12*dummy_variables!L73+multiple_regression!$R$13*dummy_variables!O73+multiple_regression!$R$14*dummy_variables!P73+multiple_regression!$R$15*dummy_variables!Q73+multiple_regression!$R$16*dummy_variables!R73+multiple_regression!$R$17*dummy_variables!S73+multiple_regression!$R$18*dummy_variables!T73</f>
        <v>629141.161521838</v>
      </c>
      <c r="G75" s="0" t="n">
        <f aca="false">E75-F75</f>
        <v>45632.9284781617</v>
      </c>
      <c r="H75" s="0" t="n">
        <f aca="false">ABS(G75)</f>
        <v>45632.9284781617</v>
      </c>
    </row>
    <row r="76" customFormat="false" ht="15" hidden="false" customHeight="false" outlineLevel="0" collapsed="false">
      <c r="A76" s="0" t="str">
        <f aca="false">dummy_variables!A74</f>
        <v>STR-1019</v>
      </c>
      <c r="B76" s="0" t="str">
        <f aca="false">dummy_variables!B74</f>
        <v>2025-01-01</v>
      </c>
      <c r="C76" s="0" t="str">
        <f aca="false">dummy_variables!C74</f>
        <v>East</v>
      </c>
      <c r="D76" s="0" t="str">
        <f aca="false">dummy_variables!D74</f>
        <v>Residential</v>
      </c>
      <c r="E76" s="0" t="n">
        <f aca="false">dummy_variables!M74</f>
        <v>616069.41</v>
      </c>
      <c r="F76" s="0" t="n">
        <f aca="false">multiple_regression!$R$5+multiple_regression!$R$6*dummy_variables!E74+multiple_regression!$R$7*dummy_variables!F74+multiple_regression!$R$8*dummy_variables!G74+multiple_regression!$R$9*dummy_variables!I74+multiple_regression!$R$10*dummy_variables!J74+multiple_regression!$R$11*dummy_variables!K74+multiple_regression!$R$12*dummy_variables!L74+multiple_regression!$R$13*dummy_variables!O74+multiple_regression!$R$14*dummy_variables!P74+multiple_regression!$R$15*dummy_variables!Q74+multiple_regression!$R$16*dummy_variables!R74+multiple_regression!$R$17*dummy_variables!S74+multiple_regression!$R$18*dummy_variables!T74</f>
        <v>583821.191169697</v>
      </c>
      <c r="G76" s="0" t="n">
        <f aca="false">E76-F76</f>
        <v>32248.2188303029</v>
      </c>
      <c r="H76" s="0" t="n">
        <f aca="false">ABS(G76)</f>
        <v>32248.2188303029</v>
      </c>
    </row>
    <row r="77" customFormat="false" ht="15" hidden="false" customHeight="false" outlineLevel="0" collapsed="false">
      <c r="A77" s="0" t="str">
        <f aca="false">dummy_variables!A75</f>
        <v>STR-1019</v>
      </c>
      <c r="B77" s="0" t="str">
        <f aca="false">dummy_variables!B75</f>
        <v>2025-02-01</v>
      </c>
      <c r="C77" s="0" t="str">
        <f aca="false">dummy_variables!C75</f>
        <v>East</v>
      </c>
      <c r="D77" s="0" t="str">
        <f aca="false">dummy_variables!D75</f>
        <v>Residential</v>
      </c>
      <c r="E77" s="0" t="n">
        <f aca="false">dummy_variables!M75</f>
        <v>630829.94</v>
      </c>
      <c r="F77" s="0" t="n">
        <f aca="false">multiple_regression!$R$5+multiple_regression!$R$6*dummy_variables!E75+multiple_regression!$R$7*dummy_variables!F75+multiple_regression!$R$8*dummy_variables!G75+multiple_regression!$R$9*dummy_variables!I75+multiple_regression!$R$10*dummy_variables!J75+multiple_regression!$R$11*dummy_variables!K75+multiple_regression!$R$12*dummy_variables!L75+multiple_regression!$R$13*dummy_variables!O75+multiple_regression!$R$14*dummy_variables!P75+multiple_regression!$R$15*dummy_variables!Q75+multiple_regression!$R$16*dummy_variables!R75+multiple_regression!$R$17*dummy_variables!S75+multiple_regression!$R$18*dummy_variables!T75</f>
        <v>670544.722319036</v>
      </c>
      <c r="G77" s="0" t="n">
        <f aca="false">E77-F77</f>
        <v>-39714.7823190363</v>
      </c>
      <c r="H77" s="0" t="n">
        <f aca="false">ABS(G77)</f>
        <v>39714.7823190363</v>
      </c>
    </row>
    <row r="78" customFormat="false" ht="15" hidden="false" customHeight="false" outlineLevel="0" collapsed="false">
      <c r="A78" s="0" t="str">
        <f aca="false">dummy_variables!A76</f>
        <v>STR-1019</v>
      </c>
      <c r="B78" s="0" t="str">
        <f aca="false">dummy_variables!B76</f>
        <v>2025-03-01</v>
      </c>
      <c r="C78" s="0" t="str">
        <f aca="false">dummy_variables!C76</f>
        <v>East</v>
      </c>
      <c r="D78" s="0" t="str">
        <f aca="false">dummy_variables!D76</f>
        <v>Residential</v>
      </c>
      <c r="E78" s="0" t="n">
        <f aca="false">dummy_variables!M76</f>
        <v>788087.68</v>
      </c>
      <c r="F78" s="0" t="n">
        <f aca="false">multiple_regression!$R$5+multiple_regression!$R$6*dummy_variables!E76+multiple_regression!$R$7*dummy_variables!F76+multiple_regression!$R$8*dummy_variables!G76+multiple_regression!$R$9*dummy_variables!I76+multiple_regression!$R$10*dummy_variables!J76+multiple_regression!$R$11*dummy_variables!K76+multiple_regression!$R$12*dummy_variables!L76+multiple_regression!$R$13*dummy_variables!O76+multiple_regression!$R$14*dummy_variables!P76+multiple_regression!$R$15*dummy_variables!Q76+multiple_regression!$R$16*dummy_variables!R76+multiple_regression!$R$17*dummy_variables!S76+multiple_regression!$R$18*dummy_variables!T76</f>
        <v>717192.025161743</v>
      </c>
      <c r="G78" s="0" t="n">
        <f aca="false">E78-F78</f>
        <v>70895.654838257</v>
      </c>
      <c r="H78" s="0" t="n">
        <f aca="false">ABS(G78)</f>
        <v>70895.654838257</v>
      </c>
    </row>
    <row r="79" customFormat="false" ht="15" hidden="false" customHeight="false" outlineLevel="0" collapsed="false">
      <c r="A79" s="0" t="str">
        <f aca="false">dummy_variables!A77</f>
        <v>STR-1019</v>
      </c>
      <c r="B79" s="0" t="str">
        <f aca="false">dummy_variables!B77</f>
        <v>2025-04-01</v>
      </c>
      <c r="C79" s="0" t="str">
        <f aca="false">dummy_variables!C77</f>
        <v>East</v>
      </c>
      <c r="D79" s="0" t="str">
        <f aca="false">dummy_variables!D77</f>
        <v>Residential</v>
      </c>
      <c r="E79" s="0" t="n">
        <f aca="false">dummy_variables!M77</f>
        <v>680840.36</v>
      </c>
      <c r="F79" s="0" t="n">
        <f aca="false">multiple_regression!$R$5+multiple_regression!$R$6*dummy_variables!E77+multiple_regression!$R$7*dummy_variables!F77+multiple_regression!$R$8*dummy_variables!G77+multiple_regression!$R$9*dummy_variables!I77+multiple_regression!$R$10*dummy_variables!J77+multiple_regression!$R$11*dummy_variables!K77+multiple_regression!$R$12*dummy_variables!L77+multiple_regression!$R$13*dummy_variables!O77+multiple_regression!$R$14*dummy_variables!P77+multiple_regression!$R$15*dummy_variables!Q77+multiple_regression!$R$16*dummy_variables!R77+multiple_regression!$R$17*dummy_variables!S77+multiple_regression!$R$18*dummy_variables!T77</f>
        <v>704209.997540092</v>
      </c>
      <c r="G79" s="0" t="n">
        <f aca="false">E79-F79</f>
        <v>-23369.637540092</v>
      </c>
      <c r="H79" s="0" t="n">
        <f aca="false">ABS(G79)</f>
        <v>23369.637540092</v>
      </c>
    </row>
    <row r="80" customFormat="false" ht="15" hidden="false" customHeight="false" outlineLevel="0" collapsed="false">
      <c r="A80" s="0" t="str">
        <f aca="false">dummy_variables!A78</f>
        <v>STR-1020</v>
      </c>
      <c r="B80" s="0" t="str">
        <f aca="false">dummy_variables!B78</f>
        <v>2025-01-01</v>
      </c>
      <c r="C80" s="0" t="str">
        <f aca="false">dummy_variables!C78</f>
        <v>South</v>
      </c>
      <c r="D80" s="0" t="str">
        <f aca="false">dummy_variables!D78</f>
        <v>High Street</v>
      </c>
      <c r="E80" s="0" t="n">
        <f aca="false">dummy_variables!M78</f>
        <v>643657.47</v>
      </c>
      <c r="F80" s="0" t="n">
        <f aca="false">multiple_regression!$R$5+multiple_regression!$R$6*dummy_variables!E78+multiple_regression!$R$7*dummy_variables!F78+multiple_regression!$R$8*dummy_variables!G78+multiple_regression!$R$9*dummy_variables!I78+multiple_regression!$R$10*dummy_variables!J78+multiple_regression!$R$11*dummy_variables!K78+multiple_regression!$R$12*dummy_variables!L78+multiple_regression!$R$13*dummy_variables!O78+multiple_regression!$R$14*dummy_variables!P78+multiple_regression!$R$15*dummy_variables!Q78+multiple_regression!$R$16*dummy_variables!R78+multiple_regression!$R$17*dummy_variables!S78+multiple_regression!$R$18*dummy_variables!T78</f>
        <v>654728.176851828</v>
      </c>
      <c r="G80" s="0" t="n">
        <f aca="false">E80-F80</f>
        <v>-11070.7068518281</v>
      </c>
      <c r="H80" s="0" t="n">
        <f aca="false">ABS(G80)</f>
        <v>11070.7068518281</v>
      </c>
    </row>
    <row r="81" customFormat="false" ht="15" hidden="false" customHeight="false" outlineLevel="0" collapsed="false">
      <c r="A81" s="0" t="str">
        <f aca="false">dummy_variables!A79</f>
        <v>STR-1020</v>
      </c>
      <c r="B81" s="0" t="str">
        <f aca="false">dummy_variables!B79</f>
        <v>2025-02-01</v>
      </c>
      <c r="C81" s="0" t="str">
        <f aca="false">dummy_variables!C79</f>
        <v>South</v>
      </c>
      <c r="D81" s="0" t="str">
        <f aca="false">dummy_variables!D79</f>
        <v>High Street</v>
      </c>
      <c r="E81" s="0" t="n">
        <f aca="false">dummy_variables!M79</f>
        <v>691112.6</v>
      </c>
      <c r="F81" s="0" t="n">
        <f aca="false">multiple_regression!$R$5+multiple_regression!$R$6*dummy_variables!E79+multiple_regression!$R$7*dummy_variables!F79+multiple_regression!$R$8*dummy_variables!G79+multiple_regression!$R$9*dummy_variables!I79+multiple_regression!$R$10*dummy_variables!J79+multiple_regression!$R$11*dummy_variables!K79+multiple_regression!$R$12*dummy_variables!L79+multiple_regression!$R$13*dummy_variables!O79+multiple_regression!$R$14*dummy_variables!P79+multiple_regression!$R$15*dummy_variables!Q79+multiple_regression!$R$16*dummy_variables!R79+multiple_regression!$R$17*dummy_variables!S79+multiple_regression!$R$18*dummy_variables!T79</f>
        <v>651948.187548742</v>
      </c>
      <c r="G81" s="0" t="n">
        <f aca="false">E81-F81</f>
        <v>39164.4124512585</v>
      </c>
      <c r="H81" s="0" t="n">
        <f aca="false">ABS(G81)</f>
        <v>39164.4124512585</v>
      </c>
    </row>
    <row r="82" customFormat="false" ht="15" hidden="false" customHeight="false" outlineLevel="0" collapsed="false">
      <c r="A82" s="0" t="str">
        <f aca="false">dummy_variables!A80</f>
        <v>STR-1020</v>
      </c>
      <c r="B82" s="0" t="str">
        <f aca="false">dummy_variables!B80</f>
        <v>2025-03-01</v>
      </c>
      <c r="C82" s="0" t="str">
        <f aca="false">dummy_variables!C80</f>
        <v>South</v>
      </c>
      <c r="D82" s="0" t="str">
        <f aca="false">dummy_variables!D80</f>
        <v>High Street</v>
      </c>
      <c r="E82" s="0" t="n">
        <f aca="false">dummy_variables!M80</f>
        <v>776922.17</v>
      </c>
      <c r="F82" s="0" t="n">
        <f aca="false">multiple_regression!$R$5+multiple_regression!$R$6*dummy_variables!E80+multiple_regression!$R$7*dummy_variables!F80+multiple_regression!$R$8*dummy_variables!G80+multiple_regression!$R$9*dummy_variables!I80+multiple_regression!$R$10*dummy_variables!J80+multiple_regression!$R$11*dummy_variables!K80+multiple_regression!$R$12*dummy_variables!L80+multiple_regression!$R$13*dummy_variables!O80+multiple_regression!$R$14*dummy_variables!P80+multiple_regression!$R$15*dummy_variables!Q80+multiple_regression!$R$16*dummy_variables!R80+multiple_regression!$R$17*dummy_variables!S80+multiple_regression!$R$18*dummy_variables!T80</f>
        <v>730290.374030144</v>
      </c>
      <c r="G82" s="0" t="n">
        <f aca="false">E82-F82</f>
        <v>46631.795969856</v>
      </c>
      <c r="H82" s="0" t="n">
        <f aca="false">ABS(G82)</f>
        <v>46631.795969856</v>
      </c>
    </row>
    <row r="83" customFormat="false" ht="15" hidden="false" customHeight="false" outlineLevel="0" collapsed="false">
      <c r="A83" s="0" t="str">
        <f aca="false">dummy_variables!A81</f>
        <v>STR-1020</v>
      </c>
      <c r="B83" s="0" t="str">
        <f aca="false">dummy_variables!B81</f>
        <v>2025-04-01</v>
      </c>
      <c r="C83" s="0" t="str">
        <f aca="false">dummy_variables!C81</f>
        <v>South</v>
      </c>
      <c r="D83" s="0" t="str">
        <f aca="false">dummy_variables!D81</f>
        <v>High Street</v>
      </c>
      <c r="E83" s="0" t="n">
        <f aca="false">dummy_variables!M81</f>
        <v>636561.34</v>
      </c>
      <c r="F83" s="0" t="n">
        <f aca="false">multiple_regression!$R$5+multiple_regression!$R$6*dummy_variables!E81+multiple_regression!$R$7*dummy_variables!F81+multiple_regression!$R$8*dummy_variables!G81+multiple_regression!$R$9*dummy_variables!I81+multiple_regression!$R$10*dummy_variables!J81+multiple_regression!$R$11*dummy_variables!K81+multiple_regression!$R$12*dummy_variables!L81+multiple_regression!$R$13*dummy_variables!O81+multiple_regression!$R$14*dummy_variables!P81+multiple_regression!$R$15*dummy_variables!Q81+multiple_regression!$R$16*dummy_variables!R81+multiple_regression!$R$17*dummy_variables!S81+multiple_regression!$R$18*dummy_variables!T81</f>
        <v>665639.301345825</v>
      </c>
      <c r="G83" s="0" t="n">
        <f aca="false">E83-F83</f>
        <v>-29077.961345825</v>
      </c>
      <c r="H83" s="0" t="n">
        <f aca="false">ABS(G83)</f>
        <v>29077.961345825</v>
      </c>
    </row>
    <row r="84" customFormat="false" ht="15" hidden="false" customHeight="false" outlineLevel="0" collapsed="false">
      <c r="A84" s="0" t="str">
        <f aca="false">dummy_variables!A82</f>
        <v>STR-1021</v>
      </c>
      <c r="B84" s="0" t="str">
        <f aca="false">dummy_variables!B82</f>
        <v>2025-01-01</v>
      </c>
      <c r="C84" s="0" t="str">
        <f aca="false">dummy_variables!C82</f>
        <v>West</v>
      </c>
      <c r="D84" s="0" t="str">
        <f aca="false">dummy_variables!D82</f>
        <v>Mall</v>
      </c>
      <c r="E84" s="0" t="n">
        <f aca="false">dummy_variables!M82</f>
        <v>621369.58</v>
      </c>
      <c r="F84" s="0" t="n">
        <f aca="false">multiple_regression!$R$5+multiple_regression!$R$6*dummy_variables!E82+multiple_regression!$R$7*dummy_variables!F82+multiple_regression!$R$8*dummy_variables!G82+multiple_regression!$R$9*dummy_variables!I82+multiple_regression!$R$10*dummy_variables!J82+multiple_regression!$R$11*dummy_variables!K82+multiple_regression!$R$12*dummy_variables!L82+multiple_regression!$R$13*dummy_variables!O82+multiple_regression!$R$14*dummy_variables!P82+multiple_regression!$R$15*dummy_variables!Q82+multiple_regression!$R$16*dummy_variables!R82+multiple_regression!$R$17*dummy_variables!S82+multiple_regression!$R$18*dummy_variables!T82</f>
        <v>660846.397952141</v>
      </c>
      <c r="G84" s="0" t="n">
        <f aca="false">E84-F84</f>
        <v>-39476.8179521407</v>
      </c>
      <c r="H84" s="0" t="n">
        <f aca="false">ABS(G84)</f>
        <v>39476.8179521407</v>
      </c>
    </row>
    <row r="85" customFormat="false" ht="15" hidden="false" customHeight="false" outlineLevel="0" collapsed="false">
      <c r="A85" s="0" t="str">
        <f aca="false">dummy_variables!A83</f>
        <v>STR-1021</v>
      </c>
      <c r="B85" s="0" t="str">
        <f aca="false">dummy_variables!B83</f>
        <v>2025-02-01</v>
      </c>
      <c r="C85" s="0" t="str">
        <f aca="false">dummy_variables!C83</f>
        <v>West</v>
      </c>
      <c r="D85" s="0" t="str">
        <f aca="false">dummy_variables!D83</f>
        <v>Mall</v>
      </c>
      <c r="E85" s="0" t="n">
        <f aca="false">dummy_variables!M83</f>
        <v>682208.01</v>
      </c>
      <c r="F85" s="0" t="n">
        <f aca="false">multiple_regression!$R$5+multiple_regression!$R$6*dummy_variables!E83+multiple_regression!$R$7*dummy_variables!F83+multiple_regression!$R$8*dummy_variables!G83+multiple_regression!$R$9*dummy_variables!I83+multiple_regression!$R$10*dummy_variables!J83+multiple_regression!$R$11*dummy_variables!K83+multiple_regression!$R$12*dummy_variables!L83+multiple_regression!$R$13*dummy_variables!O83+multiple_regression!$R$14*dummy_variables!P83+multiple_regression!$R$15*dummy_variables!Q83+multiple_regression!$R$16*dummy_variables!R83+multiple_regression!$R$17*dummy_variables!S83+multiple_regression!$R$18*dummy_variables!T83</f>
        <v>655472.077308958</v>
      </c>
      <c r="G85" s="0" t="n">
        <f aca="false">E85-F85</f>
        <v>26735.9326910425</v>
      </c>
      <c r="H85" s="0" t="n">
        <f aca="false">ABS(G85)</f>
        <v>26735.9326910425</v>
      </c>
    </row>
    <row r="86" customFormat="false" ht="15" hidden="false" customHeight="false" outlineLevel="0" collapsed="false">
      <c r="A86" s="0" t="str">
        <f aca="false">dummy_variables!A84</f>
        <v>STR-1021</v>
      </c>
      <c r="B86" s="0" t="str">
        <f aca="false">dummy_variables!B84</f>
        <v>2025-03-01</v>
      </c>
      <c r="C86" s="0" t="str">
        <f aca="false">dummy_variables!C84</f>
        <v>West</v>
      </c>
      <c r="D86" s="0" t="str">
        <f aca="false">dummy_variables!D84</f>
        <v>Mall</v>
      </c>
      <c r="E86" s="0" t="n">
        <f aca="false">dummy_variables!M84</f>
        <v>727241.86</v>
      </c>
      <c r="F86" s="0" t="n">
        <f aca="false">multiple_regression!$R$5+multiple_regression!$R$6*dummy_variables!E84+multiple_regression!$R$7*dummy_variables!F84+multiple_regression!$R$8*dummy_variables!G84+multiple_regression!$R$9*dummy_variables!I84+multiple_regression!$R$10*dummy_variables!J84+multiple_regression!$R$11*dummy_variables!K84+multiple_regression!$R$12*dummy_variables!L84+multiple_regression!$R$13*dummy_variables!O84+multiple_regression!$R$14*dummy_variables!P84+multiple_regression!$R$15*dummy_variables!Q84+multiple_regression!$R$16*dummy_variables!R84+multiple_regression!$R$17*dummy_variables!S84+multiple_regression!$R$18*dummy_variables!T84</f>
        <v>671446.411305515</v>
      </c>
      <c r="G86" s="0" t="n">
        <f aca="false">E86-F86</f>
        <v>55795.4486944847</v>
      </c>
      <c r="H86" s="0" t="n">
        <f aca="false">ABS(G86)</f>
        <v>55795.4486944847</v>
      </c>
    </row>
    <row r="87" customFormat="false" ht="15" hidden="false" customHeight="false" outlineLevel="0" collapsed="false">
      <c r="A87" s="0" t="str">
        <f aca="false">dummy_variables!A85</f>
        <v>STR-1021</v>
      </c>
      <c r="B87" s="0" t="str">
        <f aca="false">dummy_variables!B85</f>
        <v>2025-04-01</v>
      </c>
      <c r="C87" s="0" t="str">
        <f aca="false">dummy_variables!C85</f>
        <v>West</v>
      </c>
      <c r="D87" s="0" t="str">
        <f aca="false">dummy_variables!D85</f>
        <v>Mall</v>
      </c>
      <c r="E87" s="0" t="n">
        <f aca="false">dummy_variables!M85</f>
        <v>569100.78</v>
      </c>
      <c r="F87" s="0" t="n">
        <f aca="false">multiple_regression!$R$5+multiple_regression!$R$6*dummy_variables!E85+multiple_regression!$R$7*dummy_variables!F85+multiple_regression!$R$8*dummy_variables!G85+multiple_regression!$R$9*dummy_variables!I85+multiple_regression!$R$10*dummy_variables!J85+multiple_regression!$R$11*dummy_variables!K85+multiple_regression!$R$12*dummy_variables!L85+multiple_regression!$R$13*dummy_variables!O85+multiple_regression!$R$14*dummy_variables!P85+multiple_regression!$R$15*dummy_variables!Q85+multiple_regression!$R$16*dummy_variables!R85+multiple_regression!$R$17*dummy_variables!S85+multiple_regression!$R$18*dummy_variables!T85</f>
        <v>581316.762913924</v>
      </c>
      <c r="G87" s="0" t="n">
        <f aca="false">E87-F87</f>
        <v>-12215.982913924</v>
      </c>
      <c r="H87" s="0" t="n">
        <f aca="false">ABS(G87)</f>
        <v>12215.982913924</v>
      </c>
    </row>
    <row r="88" customFormat="false" ht="15" hidden="false" customHeight="false" outlineLevel="0" collapsed="false">
      <c r="A88" s="0" t="str">
        <f aca="false">dummy_variables!A86</f>
        <v>STR-1022</v>
      </c>
      <c r="B88" s="0" t="str">
        <f aca="false">dummy_variables!B86</f>
        <v>2025-01-01</v>
      </c>
      <c r="C88" s="0" t="str">
        <f aca="false">dummy_variables!C86</f>
        <v>West</v>
      </c>
      <c r="D88" s="0" t="str">
        <f aca="false">dummy_variables!D86</f>
        <v>High Street</v>
      </c>
      <c r="E88" s="0" t="n">
        <f aca="false">dummy_variables!M86</f>
        <v>574436.29</v>
      </c>
      <c r="F88" s="0" t="n">
        <f aca="false">multiple_regression!$R$5+multiple_regression!$R$6*dummy_variables!E86+multiple_regression!$R$7*dummy_variables!F86+multiple_regression!$R$8*dummy_variables!G86+multiple_regression!$R$9*dummy_variables!I86+multiple_regression!$R$10*dummy_variables!J86+multiple_regression!$R$11*dummy_variables!K86+multiple_regression!$R$12*dummy_variables!L86+multiple_regression!$R$13*dummy_variables!O86+multiple_regression!$R$14*dummy_variables!P86+multiple_regression!$R$15*dummy_variables!Q86+multiple_regression!$R$16*dummy_variables!R86+multiple_regression!$R$17*dummy_variables!S86+multiple_regression!$R$18*dummy_variables!T86</f>
        <v>566873.245277896</v>
      </c>
      <c r="G88" s="0" t="n">
        <f aca="false">E88-F88</f>
        <v>7563.04472210421</v>
      </c>
      <c r="H88" s="0" t="n">
        <f aca="false">ABS(G88)</f>
        <v>7563.04472210421</v>
      </c>
    </row>
    <row r="89" customFormat="false" ht="15" hidden="false" customHeight="false" outlineLevel="0" collapsed="false">
      <c r="A89" s="0" t="str">
        <f aca="false">dummy_variables!A87</f>
        <v>STR-1022</v>
      </c>
      <c r="B89" s="0" t="str">
        <f aca="false">dummy_variables!B87</f>
        <v>2025-02-01</v>
      </c>
      <c r="C89" s="0" t="str">
        <f aca="false">dummy_variables!C87</f>
        <v>West</v>
      </c>
      <c r="D89" s="0" t="str">
        <f aca="false">dummy_variables!D87</f>
        <v>High Street</v>
      </c>
      <c r="E89" s="0" t="n">
        <f aca="false">dummy_variables!M87</f>
        <v>611766.72</v>
      </c>
      <c r="F89" s="0" t="n">
        <f aca="false">multiple_regression!$R$5+multiple_regression!$R$6*dummy_variables!E87+multiple_regression!$R$7*dummy_variables!F87+multiple_regression!$R$8*dummy_variables!G87+multiple_regression!$R$9*dummy_variables!I87+multiple_regression!$R$10*dummy_variables!J87+multiple_regression!$R$11*dummy_variables!K87+multiple_regression!$R$12*dummy_variables!L87+multiple_regression!$R$13*dummy_variables!O87+multiple_regression!$R$14*dummy_variables!P87+multiple_regression!$R$15*dummy_variables!Q87+multiple_regression!$R$16*dummy_variables!R87+multiple_regression!$R$17*dummy_variables!S87+multiple_regression!$R$18*dummy_variables!T87</f>
        <v>646879.330374081</v>
      </c>
      <c r="G89" s="0" t="n">
        <f aca="false">E89-F89</f>
        <v>-35112.6103740812</v>
      </c>
      <c r="H89" s="0" t="n">
        <f aca="false">ABS(G89)</f>
        <v>35112.6103740812</v>
      </c>
    </row>
    <row r="90" customFormat="false" ht="15" hidden="false" customHeight="false" outlineLevel="0" collapsed="false">
      <c r="A90" s="0" t="str">
        <f aca="false">dummy_variables!A88</f>
        <v>STR-1022</v>
      </c>
      <c r="B90" s="0" t="str">
        <f aca="false">dummy_variables!B88</f>
        <v>2025-03-01</v>
      </c>
      <c r="C90" s="0" t="str">
        <f aca="false">dummy_variables!C88</f>
        <v>West</v>
      </c>
      <c r="D90" s="0" t="str">
        <f aca="false">dummy_variables!D88</f>
        <v>High Street</v>
      </c>
      <c r="E90" s="0" t="n">
        <f aca="false">dummy_variables!M88</f>
        <v>614596.32</v>
      </c>
      <c r="F90" s="0" t="n">
        <f aca="false">multiple_regression!$R$5+multiple_regression!$R$6*dummy_variables!E88+multiple_regression!$R$7*dummy_variables!F88+multiple_regression!$R$8*dummy_variables!G88+multiple_regression!$R$9*dummy_variables!I88+multiple_regression!$R$10*dummy_variables!J88+multiple_regression!$R$11*dummy_variables!K88+multiple_regression!$R$12*dummy_variables!L88+multiple_regression!$R$13*dummy_variables!O88+multiple_regression!$R$14*dummy_variables!P88+multiple_regression!$R$15*dummy_variables!Q88+multiple_regression!$R$16*dummy_variables!R88+multiple_regression!$R$17*dummy_variables!S88+multiple_regression!$R$18*dummy_variables!T88</f>
        <v>594888.658566685</v>
      </c>
      <c r="G90" s="0" t="n">
        <f aca="false">E90-F90</f>
        <v>19707.6614333149</v>
      </c>
      <c r="H90" s="0" t="n">
        <f aca="false">ABS(G90)</f>
        <v>19707.6614333149</v>
      </c>
    </row>
    <row r="91" customFormat="false" ht="15" hidden="false" customHeight="false" outlineLevel="0" collapsed="false">
      <c r="A91" s="0" t="str">
        <f aca="false">dummy_variables!A89</f>
        <v>STR-1022</v>
      </c>
      <c r="B91" s="0" t="str">
        <f aca="false">dummy_variables!B89</f>
        <v>2025-04-01</v>
      </c>
      <c r="C91" s="0" t="str">
        <f aca="false">dummy_variables!C89</f>
        <v>West</v>
      </c>
      <c r="D91" s="0" t="str">
        <f aca="false">dummy_variables!D89</f>
        <v>High Street</v>
      </c>
      <c r="E91" s="0" t="n">
        <f aca="false">dummy_variables!M89</f>
        <v>450711.92</v>
      </c>
      <c r="F91" s="0" t="n">
        <f aca="false">multiple_regression!$R$5+multiple_regression!$R$6*dummy_variables!E89+multiple_regression!$R$7*dummy_variables!F89+multiple_regression!$R$8*dummy_variables!G89+multiple_regression!$R$9*dummy_variables!I89+multiple_regression!$R$10*dummy_variables!J89+multiple_regression!$R$11*dummy_variables!K89+multiple_regression!$R$12*dummy_variables!L89+multiple_regression!$R$13*dummy_variables!O89+multiple_regression!$R$14*dummy_variables!P89+multiple_regression!$R$15*dummy_variables!Q89+multiple_regression!$R$16*dummy_variables!R89+multiple_regression!$R$17*dummy_variables!S89+multiple_regression!$R$18*dummy_variables!T89</f>
        <v>468775.479544747</v>
      </c>
      <c r="G91" s="0" t="n">
        <f aca="false">E91-F91</f>
        <v>-18063.5595447466</v>
      </c>
      <c r="H91" s="0" t="n">
        <f aca="false">ABS(G91)</f>
        <v>18063.5595447466</v>
      </c>
    </row>
    <row r="92" customFormat="false" ht="15" hidden="false" customHeight="false" outlineLevel="0" collapsed="false">
      <c r="A92" s="0" t="str">
        <f aca="false">dummy_variables!A90</f>
        <v>STR-1023</v>
      </c>
      <c r="B92" s="0" t="str">
        <f aca="false">dummy_variables!B90</f>
        <v>2025-01-01</v>
      </c>
      <c r="C92" s="0" t="str">
        <f aca="false">dummy_variables!C90</f>
        <v>South</v>
      </c>
      <c r="D92" s="0" t="str">
        <f aca="false">dummy_variables!D90</f>
        <v>Mall</v>
      </c>
      <c r="E92" s="0" t="n">
        <f aca="false">dummy_variables!M90</f>
        <v>711213.46</v>
      </c>
      <c r="F92" s="0" t="n">
        <f aca="false">multiple_regression!$R$5+multiple_regression!$R$6*dummy_variables!E90+multiple_regression!$R$7*dummy_variables!F90+multiple_regression!$R$8*dummy_variables!G90+multiple_regression!$R$9*dummy_variables!I90+multiple_regression!$R$10*dummy_variables!J90+multiple_regression!$R$11*dummy_variables!K90+multiple_regression!$R$12*dummy_variables!L90+multiple_regression!$R$13*dummy_variables!O90+multiple_regression!$R$14*dummy_variables!P90+multiple_regression!$R$15*dummy_variables!Q90+multiple_regression!$R$16*dummy_variables!R90+multiple_regression!$R$17*dummy_variables!S90+multiple_regression!$R$18*dummy_variables!T90</f>
        <v>692708.171648823</v>
      </c>
      <c r="G92" s="0" t="n">
        <f aca="false">E92-F92</f>
        <v>18505.288351177</v>
      </c>
      <c r="H92" s="0" t="n">
        <f aca="false">ABS(G92)</f>
        <v>18505.288351177</v>
      </c>
    </row>
    <row r="93" customFormat="false" ht="15" hidden="false" customHeight="false" outlineLevel="0" collapsed="false">
      <c r="A93" s="0" t="str">
        <f aca="false">dummy_variables!A91</f>
        <v>STR-1023</v>
      </c>
      <c r="B93" s="0" t="str">
        <f aca="false">dummy_variables!B91</f>
        <v>2025-02-01</v>
      </c>
      <c r="C93" s="0" t="str">
        <f aca="false">dummy_variables!C91</f>
        <v>South</v>
      </c>
      <c r="D93" s="0" t="str">
        <f aca="false">dummy_variables!D91</f>
        <v>Mall</v>
      </c>
      <c r="E93" s="0" t="n">
        <f aca="false">dummy_variables!M91</f>
        <v>627171.9</v>
      </c>
      <c r="F93" s="0" t="n">
        <f aca="false">multiple_regression!$R$5+multiple_regression!$R$6*dummy_variables!E91+multiple_regression!$R$7*dummy_variables!F91+multiple_regression!$R$8*dummy_variables!G91+multiple_regression!$R$9*dummy_variables!I91+multiple_regression!$R$10*dummy_variables!J91+multiple_regression!$R$11*dummy_variables!K91+multiple_regression!$R$12*dummy_variables!L91+multiple_regression!$R$13*dummy_variables!O91+multiple_regression!$R$14*dummy_variables!P91+multiple_regression!$R$15*dummy_variables!Q91+multiple_regression!$R$16*dummy_variables!R91+multiple_regression!$R$17*dummy_variables!S91+multiple_regression!$R$18*dummy_variables!T91</f>
        <v>772338.553111166</v>
      </c>
      <c r="G93" s="0" t="n">
        <f aca="false">E93-F93</f>
        <v>-145166.653111166</v>
      </c>
      <c r="H93" s="0" t="n">
        <f aca="false">ABS(G93)</f>
        <v>145166.653111166</v>
      </c>
    </row>
    <row r="94" customFormat="false" ht="15" hidden="false" customHeight="false" outlineLevel="0" collapsed="false">
      <c r="A94" s="0" t="str">
        <f aca="false">dummy_variables!A92</f>
        <v>STR-1023</v>
      </c>
      <c r="B94" s="0" t="str">
        <f aca="false">dummy_variables!B92</f>
        <v>2025-03-01</v>
      </c>
      <c r="C94" s="0" t="str">
        <f aca="false">dummy_variables!C92</f>
        <v>South</v>
      </c>
      <c r="D94" s="0" t="str">
        <f aca="false">dummy_variables!D92</f>
        <v>Mall</v>
      </c>
      <c r="E94" s="0" t="n">
        <f aca="false">dummy_variables!M92</f>
        <v>739852.58</v>
      </c>
      <c r="F94" s="0" t="n">
        <f aca="false">multiple_regression!$R$5+multiple_regression!$R$6*dummy_variables!E92+multiple_regression!$R$7*dummy_variables!F92+multiple_regression!$R$8*dummy_variables!G92+multiple_regression!$R$9*dummy_variables!I92+multiple_regression!$R$10*dummy_variables!J92+multiple_regression!$R$11*dummy_variables!K92+multiple_regression!$R$12*dummy_variables!L92+multiple_regression!$R$13*dummy_variables!O92+multiple_regression!$R$14*dummy_variables!P92+multiple_regression!$R$15*dummy_variables!Q92+multiple_regression!$R$16*dummy_variables!R92+multiple_regression!$R$17*dummy_variables!S92+multiple_regression!$R$18*dummy_variables!T92</f>
        <v>729954.201596467</v>
      </c>
      <c r="G94" s="0" t="n">
        <f aca="false">E94-F94</f>
        <v>9898.37840353302</v>
      </c>
      <c r="H94" s="0" t="n">
        <f aca="false">ABS(G94)</f>
        <v>9898.37840353302</v>
      </c>
    </row>
    <row r="95" customFormat="false" ht="15" hidden="false" customHeight="false" outlineLevel="0" collapsed="false">
      <c r="A95" s="0" t="str">
        <f aca="false">dummy_variables!A93</f>
        <v>STR-1023</v>
      </c>
      <c r="B95" s="0" t="str">
        <f aca="false">dummy_variables!B93</f>
        <v>2025-04-01</v>
      </c>
      <c r="C95" s="0" t="str">
        <f aca="false">dummy_variables!C93</f>
        <v>South</v>
      </c>
      <c r="D95" s="0" t="str">
        <f aca="false">dummy_variables!D93</f>
        <v>Mall</v>
      </c>
      <c r="E95" s="0" t="n">
        <f aca="false">dummy_variables!M93</f>
        <v>586307.22</v>
      </c>
      <c r="F95" s="0" t="n">
        <f aca="false">multiple_regression!$R$5+multiple_regression!$R$6*dummy_variables!E93+multiple_regression!$R$7*dummy_variables!F93+multiple_regression!$R$8*dummy_variables!G93+multiple_regression!$R$9*dummy_variables!I93+multiple_regression!$R$10*dummy_variables!J93+multiple_regression!$R$11*dummy_variables!K93+multiple_regression!$R$12*dummy_variables!L93+multiple_regression!$R$13*dummy_variables!O93+multiple_regression!$R$14*dummy_variables!P93+multiple_regression!$R$15*dummy_variables!Q93+multiple_regression!$R$16*dummy_variables!R93+multiple_regression!$R$17*dummy_variables!S93+multiple_regression!$R$18*dummy_variables!T93</f>
        <v>582444.662899102</v>
      </c>
      <c r="G95" s="0" t="n">
        <f aca="false">E95-F95</f>
        <v>3862.55710089847</v>
      </c>
      <c r="H95" s="0" t="n">
        <f aca="false">ABS(G95)</f>
        <v>3862.55710089847</v>
      </c>
    </row>
    <row r="96" customFormat="false" ht="15" hidden="false" customHeight="false" outlineLevel="0" collapsed="false">
      <c r="A96" s="0" t="str">
        <f aca="false">dummy_variables!A94</f>
        <v>STR-1024</v>
      </c>
      <c r="B96" s="0" t="str">
        <f aca="false">dummy_variables!B94</f>
        <v>2025-01-01</v>
      </c>
      <c r="C96" s="0" t="str">
        <f aca="false">dummy_variables!C94</f>
        <v>West</v>
      </c>
      <c r="D96" s="0" t="str">
        <f aca="false">dummy_variables!D94</f>
        <v>Residential</v>
      </c>
      <c r="E96" s="0" t="n">
        <f aca="false">dummy_variables!M94</f>
        <v>585937.48</v>
      </c>
      <c r="F96" s="0" t="n">
        <f aca="false">multiple_regression!$R$5+multiple_regression!$R$6*dummy_variables!E94+multiple_regression!$R$7*dummy_variables!F94+multiple_regression!$R$8*dummy_variables!G94+multiple_regression!$R$9*dummy_variables!I94+multiple_regression!$R$10*dummy_variables!J94+multiple_regression!$R$11*dummy_variables!K94+multiple_regression!$R$12*dummy_variables!L94+multiple_regression!$R$13*dummy_variables!O94+multiple_regression!$R$14*dummy_variables!P94+multiple_regression!$R$15*dummy_variables!Q94+multiple_regression!$R$16*dummy_variables!R94+multiple_regression!$R$17*dummy_variables!S94+multiple_regression!$R$18*dummy_variables!T94</f>
        <v>600635.275712664</v>
      </c>
      <c r="G96" s="0" t="n">
        <f aca="false">E96-F96</f>
        <v>-14697.7957126637</v>
      </c>
      <c r="H96" s="0" t="n">
        <f aca="false">ABS(G96)</f>
        <v>14697.7957126637</v>
      </c>
    </row>
    <row r="97" customFormat="false" ht="15" hidden="false" customHeight="false" outlineLevel="0" collapsed="false">
      <c r="A97" s="0" t="str">
        <f aca="false">dummy_variables!A95</f>
        <v>STR-1024</v>
      </c>
      <c r="B97" s="0" t="str">
        <f aca="false">dummy_variables!B95</f>
        <v>2025-02-01</v>
      </c>
      <c r="C97" s="0" t="str">
        <f aca="false">dummy_variables!C95</f>
        <v>West</v>
      </c>
      <c r="D97" s="0" t="str">
        <f aca="false">dummy_variables!D95</f>
        <v>Residential</v>
      </c>
      <c r="E97" s="0" t="n">
        <f aca="false">dummy_variables!M95</f>
        <v>753473.55</v>
      </c>
      <c r="F97" s="0" t="n">
        <f aca="false">multiple_regression!$R$5+multiple_regression!$R$6*dummy_variables!E95+multiple_regression!$R$7*dummy_variables!F95+multiple_regression!$R$8*dummy_variables!G95+multiple_regression!$R$9*dummy_variables!I95+multiple_regression!$R$10*dummy_variables!J95+multiple_regression!$R$11*dummy_variables!K95+multiple_regression!$R$12*dummy_variables!L95+multiple_regression!$R$13*dummy_variables!O95+multiple_regression!$R$14*dummy_variables!P95+multiple_regression!$R$15*dummy_variables!Q95+multiple_regression!$R$16*dummy_variables!R95+multiple_regression!$R$17*dummy_variables!S95+multiple_regression!$R$18*dummy_variables!T95</f>
        <v>711623.672101068</v>
      </c>
      <c r="G97" s="0" t="n">
        <f aca="false">E97-F97</f>
        <v>41849.8778989317</v>
      </c>
      <c r="H97" s="0" t="n">
        <f aca="false">ABS(G97)</f>
        <v>41849.8778989317</v>
      </c>
    </row>
    <row r="98" customFormat="false" ht="15" hidden="false" customHeight="false" outlineLevel="0" collapsed="false">
      <c r="A98" s="0" t="str">
        <f aca="false">dummy_variables!A96</f>
        <v>STR-1024</v>
      </c>
      <c r="B98" s="0" t="str">
        <f aca="false">dummy_variables!B96</f>
        <v>2025-03-01</v>
      </c>
      <c r="C98" s="0" t="str">
        <f aca="false">dummy_variables!C96</f>
        <v>West</v>
      </c>
      <c r="D98" s="0" t="str">
        <f aca="false">dummy_variables!D96</f>
        <v>Residential</v>
      </c>
      <c r="E98" s="0" t="n">
        <f aca="false">dummy_variables!M96</f>
        <v>838250.32</v>
      </c>
      <c r="F98" s="0" t="n">
        <f aca="false">multiple_regression!$R$5+multiple_regression!$R$6*dummy_variables!E96+multiple_regression!$R$7*dummy_variables!F96+multiple_regression!$R$8*dummy_variables!G96+multiple_regression!$R$9*dummy_variables!I96+multiple_regression!$R$10*dummy_variables!J96+multiple_regression!$R$11*dummy_variables!K96+multiple_regression!$R$12*dummy_variables!L96+multiple_regression!$R$13*dummy_variables!O96+multiple_regression!$R$14*dummy_variables!P96+multiple_regression!$R$15*dummy_variables!Q96+multiple_regression!$R$16*dummy_variables!R96+multiple_regression!$R$17*dummy_variables!S96+multiple_regression!$R$18*dummy_variables!T96</f>
        <v>792484.084878273</v>
      </c>
      <c r="G98" s="0" t="n">
        <f aca="false">E98-F98</f>
        <v>45766.2351217275</v>
      </c>
      <c r="H98" s="0" t="n">
        <f aca="false">ABS(G98)</f>
        <v>45766.2351217275</v>
      </c>
    </row>
    <row r="99" customFormat="false" ht="15" hidden="false" customHeight="false" outlineLevel="0" collapsed="false">
      <c r="A99" s="0" t="str">
        <f aca="false">dummy_variables!A97</f>
        <v>STR-1024</v>
      </c>
      <c r="B99" s="0" t="str">
        <f aca="false">dummy_variables!B97</f>
        <v>2025-04-01</v>
      </c>
      <c r="C99" s="0" t="str">
        <f aca="false">dummy_variables!C97</f>
        <v>West</v>
      </c>
      <c r="D99" s="0" t="str">
        <f aca="false">dummy_variables!D97</f>
        <v>Residential</v>
      </c>
      <c r="E99" s="0" t="n">
        <f aca="false">dummy_variables!M97</f>
        <v>607898.12</v>
      </c>
      <c r="F99" s="0" t="n">
        <f aca="false">multiple_regression!$R$5+multiple_regression!$R$6*dummy_variables!E97+multiple_regression!$R$7*dummy_variables!F97+multiple_regression!$R$8*dummy_variables!G97+multiple_regression!$R$9*dummy_variables!I97+multiple_regression!$R$10*dummy_variables!J97+multiple_regression!$R$11*dummy_variables!K97+multiple_regression!$R$12*dummy_variables!L97+multiple_regression!$R$13*dummy_variables!O97+multiple_regression!$R$14*dummy_variables!P97+multiple_regression!$R$15*dummy_variables!Q97+multiple_regression!$R$16*dummy_variables!R97+multiple_regression!$R$17*dummy_variables!S97+multiple_regression!$R$18*dummy_variables!T97</f>
        <v>619258.248086206</v>
      </c>
      <c r="G99" s="0" t="n">
        <f aca="false">E99-F99</f>
        <v>-11360.1280862057</v>
      </c>
      <c r="H99" s="0" t="n">
        <f aca="false">ABS(G99)</f>
        <v>11360.1280862057</v>
      </c>
    </row>
    <row r="100" customFormat="false" ht="15" hidden="false" customHeight="false" outlineLevel="0" collapsed="false">
      <c r="A100" s="0" t="str">
        <f aca="false">dummy_variables!A98</f>
        <v>STR-1025</v>
      </c>
      <c r="B100" s="0" t="str">
        <f aca="false">dummy_variables!B98</f>
        <v>2025-01-01</v>
      </c>
      <c r="C100" s="0" t="str">
        <f aca="false">dummy_variables!C98</f>
        <v>West</v>
      </c>
      <c r="D100" s="0" t="str">
        <f aca="false">dummy_variables!D98</f>
        <v>Mall</v>
      </c>
      <c r="E100" s="0" t="n">
        <f aca="false">dummy_variables!M98</f>
        <v>691113.62</v>
      </c>
      <c r="F100" s="0" t="n">
        <f aca="false">multiple_regression!$R$5+multiple_regression!$R$6*dummy_variables!E98+multiple_regression!$R$7*dummy_variables!F98+multiple_regression!$R$8*dummy_variables!G98+multiple_regression!$R$9*dummy_variables!I98+multiple_regression!$R$10*dummy_variables!J98+multiple_regression!$R$11*dummy_variables!K98+multiple_regression!$R$12*dummy_variables!L98+multiple_regression!$R$13*dummy_variables!O98+multiple_regression!$R$14*dummy_variables!P98+multiple_regression!$R$15*dummy_variables!Q98+multiple_regression!$R$16*dummy_variables!R98+multiple_regression!$R$17*dummy_variables!S98+multiple_regression!$R$18*dummy_variables!T98</f>
        <v>665497.686505422</v>
      </c>
      <c r="G100" s="0" t="n">
        <f aca="false">E100-F100</f>
        <v>25615.933494578</v>
      </c>
      <c r="H100" s="0" t="n">
        <f aca="false">ABS(G100)</f>
        <v>25615.933494578</v>
      </c>
    </row>
    <row r="101" customFormat="false" ht="15" hidden="false" customHeight="false" outlineLevel="0" collapsed="false">
      <c r="A101" s="0" t="str">
        <f aca="false">dummy_variables!A99</f>
        <v>STR-1025</v>
      </c>
      <c r="B101" s="0" t="str">
        <f aca="false">dummy_variables!B99</f>
        <v>2025-02-01</v>
      </c>
      <c r="C101" s="0" t="str">
        <f aca="false">dummy_variables!C99</f>
        <v>West</v>
      </c>
      <c r="D101" s="0" t="str">
        <f aca="false">dummy_variables!D99</f>
        <v>Mall</v>
      </c>
      <c r="E101" s="0" t="n">
        <f aca="false">dummy_variables!M99</f>
        <v>735509.4</v>
      </c>
      <c r="F101" s="0" t="n">
        <f aca="false">multiple_regression!$R$5+multiple_regression!$R$6*dummy_variables!E99+multiple_regression!$R$7*dummy_variables!F99+multiple_regression!$R$8*dummy_variables!G99+multiple_regression!$R$9*dummy_variables!I99+multiple_regression!$R$10*dummy_variables!J99+multiple_regression!$R$11*dummy_variables!K99+multiple_regression!$R$12*dummy_variables!L99+multiple_regression!$R$13*dummy_variables!O99+multiple_regression!$R$14*dummy_variables!P99+multiple_regression!$R$15*dummy_variables!Q99+multiple_regression!$R$16*dummy_variables!R99+multiple_regression!$R$17*dummy_variables!S99+multiple_regression!$R$18*dummy_variables!T99</f>
        <v>668735.137581496</v>
      </c>
      <c r="G101" s="0" t="n">
        <f aca="false">E101-F101</f>
        <v>66774.2624185042</v>
      </c>
      <c r="H101" s="0" t="n">
        <f aca="false">ABS(G101)</f>
        <v>66774.2624185042</v>
      </c>
    </row>
    <row r="102" customFormat="false" ht="15" hidden="false" customHeight="false" outlineLevel="0" collapsed="false">
      <c r="A102" s="0" t="str">
        <f aca="false">dummy_variables!A100</f>
        <v>STR-1025</v>
      </c>
      <c r="B102" s="0" t="str">
        <f aca="false">dummy_variables!B100</f>
        <v>2025-03-01</v>
      </c>
      <c r="C102" s="0" t="str">
        <f aca="false">dummy_variables!C100</f>
        <v>West</v>
      </c>
      <c r="D102" s="0" t="str">
        <f aca="false">dummy_variables!D100</f>
        <v>Mall</v>
      </c>
      <c r="E102" s="0" t="n">
        <f aca="false">dummy_variables!M100</f>
        <v>605775.33</v>
      </c>
      <c r="F102" s="0" t="n">
        <f aca="false">multiple_regression!$R$5+multiple_regression!$R$6*dummy_variables!E100+multiple_regression!$R$7*dummy_variables!F100+multiple_regression!$R$8*dummy_variables!G100+multiple_regression!$R$9*dummy_variables!I100+multiple_regression!$R$10*dummy_variables!J100+multiple_regression!$R$11*dummy_variables!K100+multiple_regression!$R$12*dummy_variables!L100+multiple_regression!$R$13*dummy_variables!O100+multiple_regression!$R$14*dummy_variables!P100+multiple_regression!$R$15*dummy_variables!Q100+multiple_regression!$R$16*dummy_variables!R100+multiple_regression!$R$17*dummy_variables!S100+multiple_regression!$R$18*dummy_variables!T100</f>
        <v>634214.272093457</v>
      </c>
      <c r="G102" s="0" t="n">
        <f aca="false">E102-F102</f>
        <v>-28438.942093457</v>
      </c>
      <c r="H102" s="0" t="n">
        <f aca="false">ABS(G102)</f>
        <v>28438.942093457</v>
      </c>
    </row>
    <row r="103" customFormat="false" ht="15" hidden="false" customHeight="false" outlineLevel="0" collapsed="false">
      <c r="A103" s="0" t="str">
        <f aca="false">dummy_variables!A101</f>
        <v>STR-1025</v>
      </c>
      <c r="B103" s="0" t="str">
        <f aca="false">dummy_variables!B101</f>
        <v>2025-04-01</v>
      </c>
      <c r="C103" s="0" t="str">
        <f aca="false">dummy_variables!C101</f>
        <v>West</v>
      </c>
      <c r="D103" s="0" t="str">
        <f aca="false">dummy_variables!D101</f>
        <v>Mall</v>
      </c>
      <c r="E103" s="0" t="n">
        <f aca="false">dummy_variables!M101</f>
        <v>675177.68</v>
      </c>
      <c r="F103" s="0" t="n">
        <f aca="false">multiple_regression!$R$5+multiple_regression!$R$6*dummy_variables!E101+multiple_regression!$R$7*dummy_variables!F101+multiple_regression!$R$8*dummy_variables!G101+multiple_regression!$R$9*dummy_variables!I101+multiple_regression!$R$10*dummy_variables!J101+multiple_regression!$R$11*dummy_variables!K101+multiple_regression!$R$12*dummy_variables!L101+multiple_regression!$R$13*dummy_variables!O101+multiple_regression!$R$14*dummy_variables!P101+multiple_regression!$R$15*dummy_variables!Q101+multiple_regression!$R$16*dummy_variables!R101+multiple_regression!$R$17*dummy_variables!S101+multiple_regression!$R$18*dummy_variables!T101</f>
        <v>676546.786675582</v>
      </c>
      <c r="G103" s="0" t="n">
        <f aca="false">E103-F103</f>
        <v>-1369.10667558189</v>
      </c>
      <c r="H103" s="0" t="n">
        <f aca="false">ABS(G103)</f>
        <v>1369.10667558189</v>
      </c>
    </row>
    <row r="104" customFormat="false" ht="15" hidden="false" customHeight="false" outlineLevel="0" collapsed="false">
      <c r="A104" s="0" t="str">
        <f aca="false">dummy_variables!A102</f>
        <v>STR-1026</v>
      </c>
      <c r="B104" s="0" t="str">
        <f aca="false">dummy_variables!B102</f>
        <v>2025-01-01</v>
      </c>
      <c r="C104" s="0" t="str">
        <f aca="false">dummy_variables!C102</f>
        <v>East</v>
      </c>
      <c r="D104" s="0" t="str">
        <f aca="false">dummy_variables!D102</f>
        <v>Mall</v>
      </c>
      <c r="E104" s="0" t="n">
        <f aca="false">dummy_variables!M102</f>
        <v>635181.35</v>
      </c>
      <c r="F104" s="0" t="n">
        <f aca="false">multiple_regression!$R$5+multiple_regression!$R$6*dummy_variables!E102+multiple_regression!$R$7*dummy_variables!F102+multiple_regression!$R$8*dummy_variables!G102+multiple_regression!$R$9*dummy_variables!I102+multiple_regression!$R$10*dummy_variables!J102+multiple_regression!$R$11*dummy_variables!K102+multiple_regression!$R$12*dummy_variables!L102+multiple_regression!$R$13*dummy_variables!O102+multiple_regression!$R$14*dummy_variables!P102+multiple_regression!$R$15*dummy_variables!Q102+multiple_regression!$R$16*dummy_variables!R102+multiple_regression!$R$17*dummy_variables!S102+multiple_regression!$R$18*dummy_variables!T102</f>
        <v>604750.999527943</v>
      </c>
      <c r="G104" s="0" t="n">
        <f aca="false">E104-F104</f>
        <v>30430.3504720571</v>
      </c>
      <c r="H104" s="0" t="n">
        <f aca="false">ABS(G104)</f>
        <v>30430.3504720571</v>
      </c>
    </row>
    <row r="105" customFormat="false" ht="15" hidden="false" customHeight="false" outlineLevel="0" collapsed="false">
      <c r="A105" s="0" t="str">
        <f aca="false">dummy_variables!A103</f>
        <v>STR-1026</v>
      </c>
      <c r="B105" s="0" t="str">
        <f aca="false">dummy_variables!B103</f>
        <v>2025-02-01</v>
      </c>
      <c r="C105" s="0" t="str">
        <f aca="false">dummy_variables!C103</f>
        <v>East</v>
      </c>
      <c r="D105" s="0" t="str">
        <f aca="false">dummy_variables!D103</f>
        <v>Mall</v>
      </c>
      <c r="E105" s="0" t="n">
        <f aca="false">dummy_variables!M103</f>
        <v>586626.94</v>
      </c>
      <c r="F105" s="0" t="n">
        <f aca="false">multiple_regression!$R$5+multiple_regression!$R$6*dummy_variables!E103+multiple_regression!$R$7*dummy_variables!F103+multiple_regression!$R$8*dummy_variables!G103+multiple_regression!$R$9*dummy_variables!I103+multiple_regression!$R$10*dummy_variables!J103+multiple_regression!$R$11*dummy_variables!K103+multiple_regression!$R$12*dummy_variables!L103+multiple_regression!$R$13*dummy_variables!O103+multiple_regression!$R$14*dummy_variables!P103+multiple_regression!$R$15*dummy_variables!Q103+multiple_regression!$R$16*dummy_variables!R103+multiple_regression!$R$17*dummy_variables!S103+multiple_regression!$R$18*dummy_variables!T103</f>
        <v>615553.488773647</v>
      </c>
      <c r="G105" s="0" t="n">
        <f aca="false">E105-F105</f>
        <v>-28926.5487736474</v>
      </c>
      <c r="H105" s="0" t="n">
        <f aca="false">ABS(G105)</f>
        <v>28926.5487736474</v>
      </c>
    </row>
    <row r="106" customFormat="false" ht="15" hidden="false" customHeight="false" outlineLevel="0" collapsed="false">
      <c r="A106" s="0" t="str">
        <f aca="false">dummy_variables!A104</f>
        <v>STR-1026</v>
      </c>
      <c r="B106" s="0" t="str">
        <f aca="false">dummy_variables!B104</f>
        <v>2025-03-01</v>
      </c>
      <c r="C106" s="0" t="str">
        <f aca="false">dummy_variables!C104</f>
        <v>East</v>
      </c>
      <c r="D106" s="0" t="str">
        <f aca="false">dummy_variables!D104</f>
        <v>Mall</v>
      </c>
      <c r="E106" s="0" t="n">
        <f aca="false">dummy_variables!M104</f>
        <v>740102.64</v>
      </c>
      <c r="F106" s="0" t="n">
        <f aca="false">multiple_regression!$R$5+multiple_regression!$R$6*dummy_variables!E104+multiple_regression!$R$7*dummy_variables!F104+multiple_regression!$R$8*dummy_variables!G104+multiple_regression!$R$9*dummy_variables!I104+multiple_regression!$R$10*dummy_variables!J104+multiple_regression!$R$11*dummy_variables!K104+multiple_regression!$R$12*dummy_variables!L104+multiple_regression!$R$13*dummy_variables!O104+multiple_regression!$R$14*dummy_variables!P104+multiple_regression!$R$15*dummy_variables!Q104+multiple_regression!$R$16*dummy_variables!R104+multiple_regression!$R$17*dummy_variables!S104+multiple_regression!$R$18*dummy_variables!T104</f>
        <v>735809.471696843</v>
      </c>
      <c r="G106" s="0" t="n">
        <f aca="false">E106-F106</f>
        <v>4293.16830315755</v>
      </c>
      <c r="H106" s="0" t="n">
        <f aca="false">ABS(G106)</f>
        <v>4293.16830315755</v>
      </c>
    </row>
    <row r="107" customFormat="false" ht="15" hidden="false" customHeight="false" outlineLevel="0" collapsed="false">
      <c r="A107" s="0" t="str">
        <f aca="false">dummy_variables!A105</f>
        <v>STR-1026</v>
      </c>
      <c r="B107" s="0" t="str">
        <f aca="false">dummy_variables!B105</f>
        <v>2025-04-01</v>
      </c>
      <c r="C107" s="0" t="str">
        <f aca="false">dummy_variables!C105</f>
        <v>East</v>
      </c>
      <c r="D107" s="0" t="str">
        <f aca="false">dummy_variables!D105</f>
        <v>Mall</v>
      </c>
      <c r="E107" s="0" t="n">
        <f aca="false">dummy_variables!M105</f>
        <v>625514.04</v>
      </c>
      <c r="F107" s="0" t="n">
        <f aca="false">multiple_regression!$R$5+multiple_regression!$R$6*dummy_variables!E105+multiple_regression!$R$7*dummy_variables!F105+multiple_regression!$R$8*dummy_variables!G105+multiple_regression!$R$9*dummy_variables!I105+multiple_regression!$R$10*dummy_variables!J105+multiple_regression!$R$11*dummy_variables!K105+multiple_regression!$R$12*dummy_variables!L105+multiple_regression!$R$13*dummy_variables!O105+multiple_regression!$R$14*dummy_variables!P105+multiple_regression!$R$15*dummy_variables!Q105+multiple_regression!$R$16*dummy_variables!R105+multiple_regression!$R$17*dummy_variables!S105+multiple_regression!$R$18*dummy_variables!T105</f>
        <v>545373.497554662</v>
      </c>
      <c r="G107" s="0" t="n">
        <f aca="false">E107-F107</f>
        <v>80140.5424453378</v>
      </c>
      <c r="H107" s="0" t="n">
        <f aca="false">ABS(G107)</f>
        <v>80140.5424453378</v>
      </c>
    </row>
    <row r="108" customFormat="false" ht="15" hidden="false" customHeight="false" outlineLevel="0" collapsed="false">
      <c r="A108" s="0" t="str">
        <f aca="false">dummy_variables!A106</f>
        <v>STR-1027</v>
      </c>
      <c r="B108" s="0" t="str">
        <f aca="false">dummy_variables!B106</f>
        <v>2025-01-01</v>
      </c>
      <c r="C108" s="0" t="str">
        <f aca="false">dummy_variables!C106</f>
        <v>West</v>
      </c>
      <c r="D108" s="0" t="str">
        <f aca="false">dummy_variables!D106</f>
        <v>High Street</v>
      </c>
      <c r="E108" s="0" t="n">
        <f aca="false">dummy_variables!M106</f>
        <v>727227.2</v>
      </c>
      <c r="F108" s="0" t="n">
        <f aca="false">multiple_regression!$R$5+multiple_regression!$R$6*dummy_variables!E106+multiple_regression!$R$7*dummy_variables!F106+multiple_regression!$R$8*dummy_variables!G106+multiple_regression!$R$9*dummy_variables!I106+multiple_regression!$R$10*dummy_variables!J106+multiple_regression!$R$11*dummy_variables!K106+multiple_regression!$R$12*dummy_variables!L106+multiple_regression!$R$13*dummy_variables!O106+multiple_regression!$R$14*dummy_variables!P106+multiple_regression!$R$15*dummy_variables!Q106+multiple_regression!$R$16*dummy_variables!R106+multiple_regression!$R$17*dummy_variables!S106+multiple_regression!$R$18*dummy_variables!T106</f>
        <v>696330.485510606</v>
      </c>
      <c r="G108" s="0" t="n">
        <f aca="false">E108-F108</f>
        <v>30896.7144893945</v>
      </c>
      <c r="H108" s="0" t="n">
        <f aca="false">ABS(G108)</f>
        <v>30896.7144893945</v>
      </c>
    </row>
    <row r="109" customFormat="false" ht="15" hidden="false" customHeight="false" outlineLevel="0" collapsed="false">
      <c r="A109" s="0" t="str">
        <f aca="false">dummy_variables!A107</f>
        <v>STR-1027</v>
      </c>
      <c r="B109" s="0" t="str">
        <f aca="false">dummy_variables!B107</f>
        <v>2025-02-01</v>
      </c>
      <c r="C109" s="0" t="str">
        <f aca="false">dummy_variables!C107</f>
        <v>West</v>
      </c>
      <c r="D109" s="0" t="str">
        <f aca="false">dummy_variables!D107</f>
        <v>High Street</v>
      </c>
      <c r="E109" s="0" t="n">
        <f aca="false">dummy_variables!M107</f>
        <v>783797.89</v>
      </c>
      <c r="F109" s="0" t="n">
        <f aca="false">multiple_regression!$R$5+multiple_regression!$R$6*dummy_variables!E107+multiple_regression!$R$7*dummy_variables!F107+multiple_regression!$R$8*dummy_variables!G107+multiple_regression!$R$9*dummy_variables!I107+multiple_regression!$R$10*dummy_variables!J107+multiple_regression!$R$11*dummy_variables!K107+multiple_regression!$R$12*dummy_variables!L107+multiple_regression!$R$13*dummy_variables!O107+multiple_regression!$R$14*dummy_variables!P107+multiple_regression!$R$15*dummy_variables!Q107+multiple_regression!$R$16*dummy_variables!R107+multiple_regression!$R$17*dummy_variables!S107+multiple_regression!$R$18*dummy_variables!T107</f>
        <v>794518.945793838</v>
      </c>
      <c r="G109" s="0" t="n">
        <f aca="false">E109-F109</f>
        <v>-10721.0557938375</v>
      </c>
      <c r="H109" s="0" t="n">
        <f aca="false">ABS(G109)</f>
        <v>10721.0557938375</v>
      </c>
    </row>
    <row r="110" customFormat="false" ht="15" hidden="false" customHeight="false" outlineLevel="0" collapsed="false">
      <c r="A110" s="0" t="str">
        <f aca="false">dummy_variables!A108</f>
        <v>STR-1027</v>
      </c>
      <c r="B110" s="0" t="str">
        <f aca="false">dummy_variables!B108</f>
        <v>2025-03-01</v>
      </c>
      <c r="C110" s="0" t="str">
        <f aca="false">dummy_variables!C108</f>
        <v>West</v>
      </c>
      <c r="D110" s="0" t="str">
        <f aca="false">dummy_variables!D108</f>
        <v>High Street</v>
      </c>
      <c r="E110" s="0" t="n">
        <f aca="false">dummy_variables!M108</f>
        <v>795153.84</v>
      </c>
      <c r="F110" s="0" t="n">
        <f aca="false">multiple_regression!$R$5+multiple_regression!$R$6*dummy_variables!E108+multiple_regression!$R$7*dummy_variables!F108+multiple_regression!$R$8*dummy_variables!G108+multiple_regression!$R$9*dummy_variables!I108+multiple_regression!$R$10*dummy_variables!J108+multiple_regression!$R$11*dummy_variables!K108+multiple_regression!$R$12*dummy_variables!L108+multiple_regression!$R$13*dummy_variables!O108+multiple_regression!$R$14*dummy_variables!P108+multiple_regression!$R$15*dummy_variables!Q108+multiple_regression!$R$16*dummy_variables!R108+multiple_regression!$R$17*dummy_variables!S108+multiple_regression!$R$18*dummy_variables!T108</f>
        <v>735663.25842394</v>
      </c>
      <c r="G110" s="0" t="n">
        <f aca="false">E110-F110</f>
        <v>59490.58157606</v>
      </c>
      <c r="H110" s="0" t="n">
        <f aca="false">ABS(G110)</f>
        <v>59490.58157606</v>
      </c>
    </row>
    <row r="111" customFormat="false" ht="15" hidden="false" customHeight="false" outlineLevel="0" collapsed="false">
      <c r="A111" s="0" t="str">
        <f aca="false">dummy_variables!A109</f>
        <v>STR-1027</v>
      </c>
      <c r="B111" s="0" t="str">
        <f aca="false">dummy_variables!B109</f>
        <v>2025-04-01</v>
      </c>
      <c r="C111" s="0" t="str">
        <f aca="false">dummy_variables!C109</f>
        <v>West</v>
      </c>
      <c r="D111" s="0" t="str">
        <f aca="false">dummy_variables!D109</f>
        <v>High Street</v>
      </c>
      <c r="E111" s="0" t="n">
        <f aca="false">dummy_variables!M109</f>
        <v>665594.94</v>
      </c>
      <c r="F111" s="0" t="n">
        <f aca="false">multiple_regression!$R$5+multiple_regression!$R$6*dummy_variables!E109+multiple_regression!$R$7*dummy_variables!F109+multiple_regression!$R$8*dummy_variables!G109+multiple_regression!$R$9*dummy_variables!I109+multiple_regression!$R$10*dummy_variables!J109+multiple_regression!$R$11*dummy_variables!K109+multiple_regression!$R$12*dummy_variables!L109+multiple_regression!$R$13*dummy_variables!O109+multiple_regression!$R$14*dummy_variables!P109+multiple_regression!$R$15*dummy_variables!Q109+multiple_regression!$R$16*dummy_variables!R109+multiple_regression!$R$17*dummy_variables!S109+multiple_regression!$R$18*dummy_variables!T109</f>
        <v>638747.387599988</v>
      </c>
      <c r="G111" s="0" t="n">
        <f aca="false">E111-F111</f>
        <v>26847.5524000124</v>
      </c>
      <c r="H111" s="0" t="n">
        <f aca="false">ABS(G111)</f>
        <v>26847.5524000124</v>
      </c>
    </row>
    <row r="112" customFormat="false" ht="15" hidden="false" customHeight="false" outlineLevel="0" collapsed="false">
      <c r="A112" s="0" t="str">
        <f aca="false">dummy_variables!A110</f>
        <v>STR-1028</v>
      </c>
      <c r="B112" s="0" t="str">
        <f aca="false">dummy_variables!B110</f>
        <v>2025-01-01</v>
      </c>
      <c r="C112" s="0" t="str">
        <f aca="false">dummy_variables!C110</f>
        <v>East</v>
      </c>
      <c r="D112" s="0" t="str">
        <f aca="false">dummy_variables!D110</f>
        <v>Mall</v>
      </c>
      <c r="E112" s="0" t="n">
        <f aca="false">dummy_variables!M110</f>
        <v>709478.39</v>
      </c>
      <c r="F112" s="0" t="n">
        <f aca="false">multiple_regression!$R$5+multiple_regression!$R$6*dummy_variables!E110+multiple_regression!$R$7*dummy_variables!F110+multiple_regression!$R$8*dummy_variables!G110+multiple_regression!$R$9*dummy_variables!I110+multiple_regression!$R$10*dummy_variables!J110+multiple_regression!$R$11*dummy_variables!K110+multiple_regression!$R$12*dummy_variables!L110+multiple_regression!$R$13*dummy_variables!O110+multiple_regression!$R$14*dummy_variables!P110+multiple_regression!$R$15*dummy_variables!Q110+multiple_regression!$R$16*dummy_variables!R110+multiple_regression!$R$17*dummy_variables!S110+multiple_regression!$R$18*dummy_variables!T110</f>
        <v>677393.299858022</v>
      </c>
      <c r="G112" s="0" t="n">
        <f aca="false">E112-F112</f>
        <v>32085.0901419782</v>
      </c>
      <c r="H112" s="0" t="n">
        <f aca="false">ABS(G112)</f>
        <v>32085.0901419782</v>
      </c>
    </row>
    <row r="113" customFormat="false" ht="15" hidden="false" customHeight="false" outlineLevel="0" collapsed="false">
      <c r="A113" s="0" t="str">
        <f aca="false">dummy_variables!A111</f>
        <v>STR-1028</v>
      </c>
      <c r="B113" s="0" t="str">
        <f aca="false">dummy_variables!B111</f>
        <v>2025-02-01</v>
      </c>
      <c r="C113" s="0" t="str">
        <f aca="false">dummy_variables!C111</f>
        <v>East</v>
      </c>
      <c r="D113" s="0" t="str">
        <f aca="false">dummy_variables!D111</f>
        <v>Mall</v>
      </c>
      <c r="E113" s="0" t="n">
        <f aca="false">dummy_variables!M111</f>
        <v>664162.49</v>
      </c>
      <c r="F113" s="0" t="n">
        <f aca="false">multiple_regression!$R$5+multiple_regression!$R$6*dummy_variables!E111+multiple_regression!$R$7*dummy_variables!F111+multiple_regression!$R$8*dummy_variables!G111+multiple_regression!$R$9*dummy_variables!I111+multiple_regression!$R$10*dummy_variables!J111+multiple_regression!$R$11*dummy_variables!K111+multiple_regression!$R$12*dummy_variables!L111+multiple_regression!$R$13*dummy_variables!O111+multiple_regression!$R$14*dummy_variables!P111+multiple_regression!$R$15*dummy_variables!Q111+multiple_regression!$R$16*dummy_variables!R111+multiple_regression!$R$17*dummy_variables!S111+multiple_regression!$R$18*dummy_variables!T111</f>
        <v>638123.431718367</v>
      </c>
      <c r="G113" s="0" t="n">
        <f aca="false">E113-F113</f>
        <v>26039.0582816326</v>
      </c>
      <c r="H113" s="0" t="n">
        <f aca="false">ABS(G113)</f>
        <v>26039.0582816326</v>
      </c>
    </row>
    <row r="114" customFormat="false" ht="15" hidden="false" customHeight="false" outlineLevel="0" collapsed="false">
      <c r="A114" s="0" t="str">
        <f aca="false">dummy_variables!A112</f>
        <v>STR-1028</v>
      </c>
      <c r="B114" s="0" t="str">
        <f aca="false">dummy_variables!B112</f>
        <v>2025-03-01</v>
      </c>
      <c r="C114" s="0" t="str">
        <f aca="false">dummy_variables!C112</f>
        <v>East</v>
      </c>
      <c r="D114" s="0" t="str">
        <f aca="false">dummy_variables!D112</f>
        <v>Mall</v>
      </c>
      <c r="E114" s="0" t="n">
        <f aca="false">dummy_variables!M112</f>
        <v>633494.21</v>
      </c>
      <c r="F114" s="0" t="n">
        <f aca="false">multiple_regression!$R$5+multiple_regression!$R$6*dummy_variables!E112+multiple_regression!$R$7*dummy_variables!F112+multiple_regression!$R$8*dummy_variables!G112+multiple_regression!$R$9*dummy_variables!I112+multiple_regression!$R$10*dummy_variables!J112+multiple_regression!$R$11*dummy_variables!K112+multiple_regression!$R$12*dummy_variables!L112+multiple_regression!$R$13*dummy_variables!O112+multiple_regression!$R$14*dummy_variables!P112+multiple_regression!$R$15*dummy_variables!Q112+multiple_regression!$R$16*dummy_variables!R112+multiple_regression!$R$17*dummy_variables!S112+multiple_regression!$R$18*dummy_variables!T112</f>
        <v>662843.091332472</v>
      </c>
      <c r="G114" s="0" t="n">
        <f aca="false">E114-F114</f>
        <v>-29348.8813324722</v>
      </c>
      <c r="H114" s="0" t="n">
        <f aca="false">ABS(G114)</f>
        <v>29348.8813324722</v>
      </c>
    </row>
    <row r="115" customFormat="false" ht="15" hidden="false" customHeight="false" outlineLevel="0" collapsed="false">
      <c r="A115" s="0" t="str">
        <f aca="false">dummy_variables!A113</f>
        <v>STR-1028</v>
      </c>
      <c r="B115" s="0" t="str">
        <f aca="false">dummy_variables!B113</f>
        <v>2025-04-01</v>
      </c>
      <c r="C115" s="0" t="str">
        <f aca="false">dummy_variables!C113</f>
        <v>East</v>
      </c>
      <c r="D115" s="0" t="str">
        <f aca="false">dummy_variables!D113</f>
        <v>Mall</v>
      </c>
      <c r="E115" s="0" t="n">
        <f aca="false">dummy_variables!M113</f>
        <v>713611.16</v>
      </c>
      <c r="F115" s="0" t="n">
        <f aca="false">multiple_regression!$R$5+multiple_regression!$R$6*dummy_variables!E113+multiple_regression!$R$7*dummy_variables!F113+multiple_regression!$R$8*dummy_variables!G113+multiple_regression!$R$9*dummy_variables!I113+multiple_regression!$R$10*dummy_variables!J113+multiple_regression!$R$11*dummy_variables!K113+multiple_regression!$R$12*dummy_variables!L113+multiple_regression!$R$13*dummy_variables!O113+multiple_regression!$R$14*dummy_variables!P113+multiple_regression!$R$15*dummy_variables!Q113+multiple_regression!$R$16*dummy_variables!R113+multiple_regression!$R$17*dummy_variables!S113+multiple_regression!$R$18*dummy_variables!T113</f>
        <v>609752.006471394</v>
      </c>
      <c r="G115" s="0" t="n">
        <f aca="false">E115-F115</f>
        <v>103859.153528606</v>
      </c>
      <c r="H115" s="0" t="n">
        <f aca="false">ABS(G115)</f>
        <v>103859.153528606</v>
      </c>
    </row>
    <row r="116" customFormat="false" ht="15" hidden="false" customHeight="false" outlineLevel="0" collapsed="false">
      <c r="A116" s="0" t="str">
        <f aca="false">dummy_variables!A114</f>
        <v>STR-1029</v>
      </c>
      <c r="B116" s="0" t="str">
        <f aca="false">dummy_variables!B114</f>
        <v>2025-01-01</v>
      </c>
      <c r="C116" s="0" t="str">
        <f aca="false">dummy_variables!C114</f>
        <v>West</v>
      </c>
      <c r="D116" s="0" t="str">
        <f aca="false">dummy_variables!D114</f>
        <v>Mall</v>
      </c>
      <c r="E116" s="0" t="n">
        <f aca="false">dummy_variables!M114</f>
        <v>778397.97</v>
      </c>
      <c r="F116" s="0" t="n">
        <f aca="false">multiple_regression!$R$5+multiple_regression!$R$6*dummy_variables!E114+multiple_regression!$R$7*dummy_variables!F114+multiple_regression!$R$8*dummy_variables!G114+multiple_regression!$R$9*dummy_variables!I114+multiple_regression!$R$10*dummy_variables!J114+multiple_regression!$R$11*dummy_variables!K114+multiple_regression!$R$12*dummy_variables!L114+multiple_regression!$R$13*dummy_variables!O114+multiple_regression!$R$14*dummy_variables!P114+multiple_regression!$R$15*dummy_variables!Q114+multiple_regression!$R$16*dummy_variables!R114+multiple_regression!$R$17*dummy_variables!S114+multiple_regression!$R$18*dummy_variables!T114</f>
        <v>755201.531714783</v>
      </c>
      <c r="G116" s="0" t="n">
        <f aca="false">E116-F116</f>
        <v>23196.4382852173</v>
      </c>
      <c r="H116" s="0" t="n">
        <f aca="false">ABS(G116)</f>
        <v>23196.4382852173</v>
      </c>
    </row>
    <row r="117" customFormat="false" ht="15" hidden="false" customHeight="false" outlineLevel="0" collapsed="false">
      <c r="A117" s="0" t="str">
        <f aca="false">dummy_variables!A115</f>
        <v>STR-1029</v>
      </c>
      <c r="B117" s="0" t="str">
        <f aca="false">dummy_variables!B115</f>
        <v>2025-02-01</v>
      </c>
      <c r="C117" s="0" t="str">
        <f aca="false">dummy_variables!C115</f>
        <v>West</v>
      </c>
      <c r="D117" s="0" t="str">
        <f aca="false">dummy_variables!D115</f>
        <v>Mall</v>
      </c>
      <c r="E117" s="0" t="n">
        <f aca="false">dummy_variables!M115</f>
        <v>873380.02</v>
      </c>
      <c r="F117" s="0" t="n">
        <f aca="false">multiple_regression!$R$5+multiple_regression!$R$6*dummy_variables!E115+multiple_regression!$R$7*dummy_variables!F115+multiple_regression!$R$8*dummy_variables!G115+multiple_regression!$R$9*dummy_variables!I115+multiple_regression!$R$10*dummy_variables!J115+multiple_regression!$R$11*dummy_variables!K115+multiple_regression!$R$12*dummy_variables!L115+multiple_regression!$R$13*dummy_variables!O115+multiple_regression!$R$14*dummy_variables!P115+multiple_regression!$R$15*dummy_variables!Q115+multiple_regression!$R$16*dummy_variables!R115+multiple_regression!$R$17*dummy_variables!S115+multiple_regression!$R$18*dummy_variables!T115</f>
        <v>850115.070002404</v>
      </c>
      <c r="G117" s="0" t="n">
        <f aca="false">E117-F117</f>
        <v>23264.9499975957</v>
      </c>
      <c r="H117" s="0" t="n">
        <f aca="false">ABS(G117)</f>
        <v>23264.9499975957</v>
      </c>
    </row>
    <row r="118" customFormat="false" ht="15" hidden="false" customHeight="false" outlineLevel="0" collapsed="false">
      <c r="A118" s="0" t="str">
        <f aca="false">dummy_variables!A116</f>
        <v>STR-1029</v>
      </c>
      <c r="B118" s="0" t="str">
        <f aca="false">dummy_variables!B116</f>
        <v>2025-03-01</v>
      </c>
      <c r="C118" s="0" t="str">
        <f aca="false">dummy_variables!C116</f>
        <v>West</v>
      </c>
      <c r="D118" s="0" t="str">
        <f aca="false">dummy_variables!D116</f>
        <v>Mall</v>
      </c>
      <c r="E118" s="0" t="n">
        <f aca="false">dummy_variables!M116</f>
        <v>697287.9</v>
      </c>
      <c r="F118" s="0" t="n">
        <f aca="false">multiple_regression!$R$5+multiple_regression!$R$6*dummy_variables!E116+multiple_regression!$R$7*dummy_variables!F116+multiple_regression!$R$8*dummy_variables!G116+multiple_regression!$R$9*dummy_variables!I116+multiple_regression!$R$10*dummy_variables!J116+multiple_regression!$R$11*dummy_variables!K116+multiple_regression!$R$12*dummy_variables!L116+multiple_regression!$R$13*dummy_variables!O116+multiple_regression!$R$14*dummy_variables!P116+multiple_regression!$R$15*dummy_variables!Q116+multiple_regression!$R$16*dummy_variables!R116+multiple_regression!$R$17*dummy_variables!S116+multiple_regression!$R$18*dummy_variables!T116</f>
        <v>746416.759473482</v>
      </c>
      <c r="G118" s="0" t="n">
        <f aca="false">E118-F118</f>
        <v>-49128.8594734821</v>
      </c>
      <c r="H118" s="0" t="n">
        <f aca="false">ABS(G118)</f>
        <v>49128.8594734821</v>
      </c>
    </row>
    <row r="119" customFormat="false" ht="15" hidden="false" customHeight="false" outlineLevel="0" collapsed="false">
      <c r="A119" s="0" t="str">
        <f aca="false">dummy_variables!A117</f>
        <v>STR-1029</v>
      </c>
      <c r="B119" s="0" t="str">
        <f aca="false">dummy_variables!B117</f>
        <v>2025-04-01</v>
      </c>
      <c r="C119" s="0" t="str">
        <f aca="false">dummy_variables!C117</f>
        <v>West</v>
      </c>
      <c r="D119" s="0" t="str">
        <f aca="false">dummy_variables!D117</f>
        <v>Mall</v>
      </c>
      <c r="E119" s="0" t="n">
        <f aca="false">dummy_variables!M117</f>
        <v>718074.79</v>
      </c>
      <c r="F119" s="0" t="n">
        <f aca="false">multiple_regression!$R$5+multiple_regression!$R$6*dummy_variables!E117+multiple_regression!$R$7*dummy_variables!F117+multiple_regression!$R$8*dummy_variables!G117+multiple_regression!$R$9*dummy_variables!I117+multiple_regression!$R$10*dummy_variables!J117+multiple_regression!$R$11*dummy_variables!K117+multiple_regression!$R$12*dummy_variables!L117+multiple_regression!$R$13*dummy_variables!O117+multiple_regression!$R$14*dummy_variables!P117+multiple_regression!$R$15*dummy_variables!Q117+multiple_regression!$R$16*dummy_variables!R117+multiple_regression!$R$17*dummy_variables!S117+multiple_regression!$R$18*dummy_variables!T117</f>
        <v>755349.024340886</v>
      </c>
      <c r="G119" s="0" t="n">
        <f aca="false">E119-F119</f>
        <v>-37274.2343408858</v>
      </c>
      <c r="H119" s="0" t="n">
        <f aca="false">ABS(G119)</f>
        <v>37274.2343408858</v>
      </c>
    </row>
    <row r="120" customFormat="false" ht="15" hidden="false" customHeight="false" outlineLevel="0" collapsed="false">
      <c r="A120" s="0" t="str">
        <f aca="false">dummy_variables!A118</f>
        <v>STR-1030</v>
      </c>
      <c r="B120" s="0" t="str">
        <f aca="false">dummy_variables!B118</f>
        <v>2025-01-01</v>
      </c>
      <c r="C120" s="0" t="str">
        <f aca="false">dummy_variables!C118</f>
        <v>West</v>
      </c>
      <c r="D120" s="0" t="str">
        <f aca="false">dummy_variables!D118</f>
        <v>Residential</v>
      </c>
      <c r="E120" s="0" t="n">
        <f aca="false">dummy_variables!M118</f>
        <v>714942.43</v>
      </c>
      <c r="F120" s="0" t="n">
        <f aca="false">multiple_regression!$R$5+multiple_regression!$R$6*dummy_variables!E118+multiple_regression!$R$7*dummy_variables!F118+multiple_regression!$R$8*dummy_variables!G118+multiple_regression!$R$9*dummy_variables!I118+multiple_regression!$R$10*dummy_variables!J118+multiple_regression!$R$11*dummy_variables!K118+multiple_regression!$R$12*dummy_variables!L118+multiple_regression!$R$13*dummy_variables!O118+multiple_regression!$R$14*dummy_variables!P118+multiple_regression!$R$15*dummy_variables!Q118+multiple_regression!$R$16*dummy_variables!R118+multiple_regression!$R$17*dummy_variables!S118+multiple_regression!$R$18*dummy_variables!T118</f>
        <v>734636.98016394</v>
      </c>
      <c r="G120" s="0" t="n">
        <f aca="false">E120-F120</f>
        <v>-19694.5501639402</v>
      </c>
      <c r="H120" s="0" t="n">
        <f aca="false">ABS(G120)</f>
        <v>19694.5501639402</v>
      </c>
    </row>
    <row r="121" customFormat="false" ht="15" hidden="false" customHeight="false" outlineLevel="0" collapsed="false">
      <c r="A121" s="0" t="str">
        <f aca="false">dummy_variables!A119</f>
        <v>STR-1030</v>
      </c>
      <c r="B121" s="0" t="str">
        <f aca="false">dummy_variables!B119</f>
        <v>2025-02-01</v>
      </c>
      <c r="C121" s="0" t="str">
        <f aca="false">dummy_variables!C119</f>
        <v>West</v>
      </c>
      <c r="D121" s="0" t="str">
        <f aca="false">dummy_variables!D119</f>
        <v>Residential</v>
      </c>
      <c r="E121" s="0" t="n">
        <f aca="false">dummy_variables!M119</f>
        <v>820519.04</v>
      </c>
      <c r="F121" s="0" t="n">
        <f aca="false">multiple_regression!$R$5+multiple_regression!$R$6*dummy_variables!E119+multiple_regression!$R$7*dummy_variables!F119+multiple_regression!$R$8*dummy_variables!G119+multiple_regression!$R$9*dummy_variables!I119+multiple_regression!$R$10*dummy_variables!J119+multiple_regression!$R$11*dummy_variables!K119+multiple_regression!$R$12*dummy_variables!L119+multiple_regression!$R$13*dummy_variables!O119+multiple_regression!$R$14*dummy_variables!P119+multiple_regression!$R$15*dummy_variables!Q119+multiple_regression!$R$16*dummy_variables!R119+multiple_regression!$R$17*dummy_variables!S119+multiple_regression!$R$18*dummy_variables!T119</f>
        <v>741740.707989795</v>
      </c>
      <c r="G121" s="0" t="n">
        <f aca="false">E121-F121</f>
        <v>78778.332010205</v>
      </c>
      <c r="H121" s="0" t="n">
        <f aca="false">ABS(G121)</f>
        <v>78778.332010205</v>
      </c>
    </row>
    <row r="122" customFormat="false" ht="15" hidden="false" customHeight="false" outlineLevel="0" collapsed="false">
      <c r="A122" s="0" t="str">
        <f aca="false">dummy_variables!A120</f>
        <v>STR-1030</v>
      </c>
      <c r="B122" s="0" t="str">
        <f aca="false">dummy_variables!B120</f>
        <v>2025-03-01</v>
      </c>
      <c r="C122" s="0" t="str">
        <f aca="false">dummy_variables!C120</f>
        <v>West</v>
      </c>
      <c r="D122" s="0" t="str">
        <f aca="false">dummy_variables!D120</f>
        <v>Residential</v>
      </c>
      <c r="E122" s="0" t="n">
        <f aca="false">dummy_variables!M120</f>
        <v>684217.32</v>
      </c>
      <c r="F122" s="0" t="n">
        <f aca="false">multiple_regression!$R$5+multiple_regression!$R$6*dummy_variables!E120+multiple_regression!$R$7*dummy_variables!F120+multiple_regression!$R$8*dummy_variables!G120+multiple_regression!$R$9*dummy_variables!I120+multiple_regression!$R$10*dummy_variables!J120+multiple_regression!$R$11*dummy_variables!K120+multiple_regression!$R$12*dummy_variables!L120+multiple_regression!$R$13*dummy_variables!O120+multiple_regression!$R$14*dummy_variables!P120+multiple_regression!$R$15*dummy_variables!Q120+multiple_regression!$R$16*dummy_variables!R120+multiple_regression!$R$17*dummy_variables!S120+multiple_regression!$R$18*dummy_variables!T120</f>
        <v>718584.32493915</v>
      </c>
      <c r="G122" s="0" t="n">
        <f aca="false">E122-F122</f>
        <v>-34367.0049391498</v>
      </c>
      <c r="H122" s="0" t="n">
        <f aca="false">ABS(G122)</f>
        <v>34367.0049391498</v>
      </c>
    </row>
    <row r="123" customFormat="false" ht="15" hidden="false" customHeight="false" outlineLevel="0" collapsed="false">
      <c r="A123" s="0" t="str">
        <f aca="false">dummy_variables!A121</f>
        <v>STR-1030</v>
      </c>
      <c r="B123" s="0" t="str">
        <f aca="false">dummy_variables!B121</f>
        <v>2025-04-01</v>
      </c>
      <c r="C123" s="0" t="str">
        <f aca="false">dummy_variables!C121</f>
        <v>West</v>
      </c>
      <c r="D123" s="0" t="str">
        <f aca="false">dummy_variables!D121</f>
        <v>Residential</v>
      </c>
      <c r="E123" s="0" t="n">
        <f aca="false">dummy_variables!M121</f>
        <v>735480.19</v>
      </c>
      <c r="F123" s="0" t="n">
        <f aca="false">multiple_regression!$R$5+multiple_regression!$R$6*dummy_variables!E121+multiple_regression!$R$7*dummy_variables!F121+multiple_regression!$R$8*dummy_variables!G121+multiple_regression!$R$9*dummy_variables!I121+multiple_regression!$R$10*dummy_variables!J121+multiple_regression!$R$11*dummy_variables!K121+multiple_regression!$R$12*dummy_variables!L121+multiple_regression!$R$13*dummy_variables!O121+multiple_regression!$R$14*dummy_variables!P121+multiple_regression!$R$15*dummy_variables!Q121+multiple_regression!$R$16*dummy_variables!R121+multiple_regression!$R$17*dummy_variables!S121+multiple_regression!$R$18*dummy_variables!T121</f>
        <v>728665.674221012</v>
      </c>
      <c r="G123" s="0" t="n">
        <f aca="false">E123-F123</f>
        <v>6814.5157789879</v>
      </c>
      <c r="H123" s="0" t="n">
        <f aca="false">ABS(G123)</f>
        <v>6814.5157789879</v>
      </c>
    </row>
    <row r="124" customFormat="false" ht="15" hidden="false" customHeight="false" outlineLevel="0" collapsed="false">
      <c r="A124" s="0" t="str">
        <f aca="false">dummy_variables!A122</f>
        <v>STR-1031</v>
      </c>
      <c r="B124" s="0" t="str">
        <f aca="false">dummy_variables!B122</f>
        <v>2025-01-01</v>
      </c>
      <c r="C124" s="0" t="str">
        <f aca="false">dummy_variables!C122</f>
        <v>North</v>
      </c>
      <c r="D124" s="0" t="str">
        <f aca="false">dummy_variables!D122</f>
        <v>High Street</v>
      </c>
      <c r="E124" s="0" t="n">
        <f aca="false">dummy_variables!M122</f>
        <v>509484.81</v>
      </c>
      <c r="F124" s="0" t="n">
        <f aca="false">multiple_regression!$R$5+multiple_regression!$R$6*dummy_variables!E122+multiple_regression!$R$7*dummy_variables!F122+multiple_regression!$R$8*dummy_variables!G122+multiple_regression!$R$9*dummy_variables!I122+multiple_regression!$R$10*dummy_variables!J122+multiple_regression!$R$11*dummy_variables!K122+multiple_regression!$R$12*dummy_variables!L122+multiple_regression!$R$13*dummy_variables!O122+multiple_regression!$R$14*dummy_variables!P122+multiple_regression!$R$15*dummy_variables!Q122+multiple_regression!$R$16*dummy_variables!R122+multiple_regression!$R$17*dummy_variables!S122+multiple_regression!$R$18*dummy_variables!T122</f>
        <v>553520.999779319</v>
      </c>
      <c r="G124" s="0" t="n">
        <f aca="false">E124-F124</f>
        <v>-44036.1897793192</v>
      </c>
      <c r="H124" s="0" t="n">
        <f aca="false">ABS(G124)</f>
        <v>44036.1897793192</v>
      </c>
    </row>
    <row r="125" customFormat="false" ht="15" hidden="false" customHeight="false" outlineLevel="0" collapsed="false">
      <c r="A125" s="0" t="str">
        <f aca="false">dummy_variables!A123</f>
        <v>STR-1031</v>
      </c>
      <c r="B125" s="0" t="str">
        <f aca="false">dummy_variables!B123</f>
        <v>2025-02-01</v>
      </c>
      <c r="C125" s="0" t="str">
        <f aca="false">dummy_variables!C123</f>
        <v>North</v>
      </c>
      <c r="D125" s="0" t="str">
        <f aca="false">dummy_variables!D123</f>
        <v>High Street</v>
      </c>
      <c r="E125" s="0" t="n">
        <f aca="false">dummy_variables!M123</f>
        <v>654317.09</v>
      </c>
      <c r="F125" s="0" t="n">
        <f aca="false">multiple_regression!$R$5+multiple_regression!$R$6*dummy_variables!E123+multiple_regression!$R$7*dummy_variables!F123+multiple_regression!$R$8*dummy_variables!G123+multiple_regression!$R$9*dummy_variables!I123+multiple_regression!$R$10*dummy_variables!J123+multiple_regression!$R$11*dummy_variables!K123+multiple_regression!$R$12*dummy_variables!L123+multiple_regression!$R$13*dummy_variables!O123+multiple_regression!$R$14*dummy_variables!P123+multiple_regression!$R$15*dummy_variables!Q123+multiple_regression!$R$16*dummy_variables!R123+multiple_regression!$R$17*dummy_variables!S123+multiple_regression!$R$18*dummy_variables!T123</f>
        <v>625912.830387993</v>
      </c>
      <c r="G125" s="0" t="n">
        <f aca="false">E125-F125</f>
        <v>28404.2596120071</v>
      </c>
      <c r="H125" s="0" t="n">
        <f aca="false">ABS(G125)</f>
        <v>28404.2596120071</v>
      </c>
    </row>
    <row r="126" customFormat="false" ht="15" hidden="false" customHeight="false" outlineLevel="0" collapsed="false">
      <c r="A126" s="0" t="str">
        <f aca="false">dummy_variables!A124</f>
        <v>STR-1031</v>
      </c>
      <c r="B126" s="0" t="str">
        <f aca="false">dummy_variables!B124</f>
        <v>2025-03-01</v>
      </c>
      <c r="C126" s="0" t="str">
        <f aca="false">dummy_variables!C124</f>
        <v>North</v>
      </c>
      <c r="D126" s="0" t="str">
        <f aca="false">dummy_variables!D124</f>
        <v>High Street</v>
      </c>
      <c r="E126" s="0" t="n">
        <f aca="false">dummy_variables!M124</f>
        <v>557487.26</v>
      </c>
      <c r="F126" s="0" t="n">
        <f aca="false">multiple_regression!$R$5+multiple_regression!$R$6*dummy_variables!E124+multiple_regression!$R$7*dummy_variables!F124+multiple_regression!$R$8*dummy_variables!G124+multiple_regression!$R$9*dummy_variables!I124+multiple_regression!$R$10*dummy_variables!J124+multiple_regression!$R$11*dummy_variables!K124+multiple_regression!$R$12*dummy_variables!L124+multiple_regression!$R$13*dummy_variables!O124+multiple_regression!$R$14*dummy_variables!P124+multiple_regression!$R$15*dummy_variables!Q124+multiple_regression!$R$16*dummy_variables!R124+multiple_regression!$R$17*dummy_variables!S124+multiple_regression!$R$18*dummy_variables!T124</f>
        <v>597681.71254385</v>
      </c>
      <c r="G126" s="0" t="n">
        <f aca="false">E126-F126</f>
        <v>-40194.4525438498</v>
      </c>
      <c r="H126" s="0" t="n">
        <f aca="false">ABS(G126)</f>
        <v>40194.4525438498</v>
      </c>
    </row>
    <row r="127" customFormat="false" ht="15" hidden="false" customHeight="false" outlineLevel="0" collapsed="false">
      <c r="A127" s="0" t="str">
        <f aca="false">dummy_variables!A125</f>
        <v>STR-1031</v>
      </c>
      <c r="B127" s="0" t="str">
        <f aca="false">dummy_variables!B125</f>
        <v>2025-04-01</v>
      </c>
      <c r="C127" s="0" t="str">
        <f aca="false">dummy_variables!C125</f>
        <v>North</v>
      </c>
      <c r="D127" s="0" t="str">
        <f aca="false">dummy_variables!D125</f>
        <v>High Street</v>
      </c>
      <c r="E127" s="0" t="n">
        <f aca="false">dummy_variables!M125</f>
        <v>441275.42</v>
      </c>
      <c r="F127" s="0" t="n">
        <f aca="false">multiple_regression!$R$5+multiple_regression!$R$6*dummy_variables!E125+multiple_regression!$R$7*dummy_variables!F125+multiple_regression!$R$8*dummy_variables!G125+multiple_regression!$R$9*dummy_variables!I125+multiple_regression!$R$10*dummy_variables!J125+multiple_regression!$R$11*dummy_variables!K125+multiple_regression!$R$12*dummy_variables!L125+multiple_regression!$R$13*dummy_variables!O125+multiple_regression!$R$14*dummy_variables!P125+multiple_regression!$R$15*dummy_variables!Q125+multiple_regression!$R$16*dummy_variables!R125+multiple_regression!$R$17*dummy_variables!S125+multiple_regression!$R$18*dummy_variables!T125</f>
        <v>466905.165815512</v>
      </c>
      <c r="G127" s="0" t="n">
        <f aca="false">E127-F127</f>
        <v>-25629.7458155119</v>
      </c>
      <c r="H127" s="0" t="n">
        <f aca="false">ABS(G127)</f>
        <v>25629.7458155119</v>
      </c>
    </row>
    <row r="128" customFormat="false" ht="15" hidden="false" customHeight="false" outlineLevel="0" collapsed="false">
      <c r="A128" s="0" t="str">
        <f aca="false">dummy_variables!A126</f>
        <v>STR-1032</v>
      </c>
      <c r="B128" s="0" t="str">
        <f aca="false">dummy_variables!B126</f>
        <v>2025-01-01</v>
      </c>
      <c r="C128" s="0" t="str">
        <f aca="false">dummy_variables!C126</f>
        <v>South</v>
      </c>
      <c r="D128" s="0" t="str">
        <f aca="false">dummy_variables!D126</f>
        <v>High Street</v>
      </c>
      <c r="E128" s="0" t="n">
        <f aca="false">dummy_variables!M126</f>
        <v>914544.17</v>
      </c>
      <c r="F128" s="0" t="n">
        <f aca="false">multiple_regression!$R$5+multiple_regression!$R$6*dummy_variables!E126+multiple_regression!$R$7*dummy_variables!F126+multiple_regression!$R$8*dummy_variables!G126+multiple_regression!$R$9*dummy_variables!I126+multiple_regression!$R$10*dummy_variables!J126+multiple_regression!$R$11*dummy_variables!K126+multiple_regression!$R$12*dummy_variables!L126+multiple_regression!$R$13*dummy_variables!O126+multiple_regression!$R$14*dummy_variables!P126+multiple_regression!$R$15*dummy_variables!Q126+multiple_regression!$R$16*dummy_variables!R126+multiple_regression!$R$17*dummy_variables!S126+multiple_regression!$R$18*dummy_variables!T126</f>
        <v>852997.616791526</v>
      </c>
      <c r="G128" s="0" t="n">
        <f aca="false">E128-F128</f>
        <v>61546.5532084742</v>
      </c>
      <c r="H128" s="0" t="n">
        <f aca="false">ABS(G128)</f>
        <v>61546.5532084742</v>
      </c>
    </row>
    <row r="129" customFormat="false" ht="15" hidden="false" customHeight="false" outlineLevel="0" collapsed="false">
      <c r="A129" s="0" t="str">
        <f aca="false">dummy_variables!A127</f>
        <v>STR-1032</v>
      </c>
      <c r="B129" s="0" t="str">
        <f aca="false">dummy_variables!B127</f>
        <v>2025-02-01</v>
      </c>
      <c r="C129" s="0" t="str">
        <f aca="false">dummy_variables!C127</f>
        <v>South</v>
      </c>
      <c r="D129" s="0" t="str">
        <f aca="false">dummy_variables!D127</f>
        <v>High Street</v>
      </c>
      <c r="E129" s="0" t="n">
        <f aca="false">dummy_variables!M127</f>
        <v>842439.67</v>
      </c>
      <c r="F129" s="0" t="n">
        <f aca="false">multiple_regression!$R$5+multiple_regression!$R$6*dummy_variables!E127+multiple_regression!$R$7*dummy_variables!F127+multiple_regression!$R$8*dummy_variables!G127+multiple_regression!$R$9*dummy_variables!I127+multiple_regression!$R$10*dummy_variables!J127+multiple_regression!$R$11*dummy_variables!K127+multiple_regression!$R$12*dummy_variables!L127+multiple_regression!$R$13*dummy_variables!O127+multiple_regression!$R$14*dummy_variables!P127+multiple_regression!$R$15*dummy_variables!Q127+multiple_regression!$R$16*dummy_variables!R127+multiple_regression!$R$17*dummy_variables!S127+multiple_regression!$R$18*dummy_variables!T127</f>
        <v>871086.293575497</v>
      </c>
      <c r="G129" s="0" t="n">
        <f aca="false">E129-F129</f>
        <v>-28646.623575497</v>
      </c>
      <c r="H129" s="0" t="n">
        <f aca="false">ABS(G129)</f>
        <v>28646.623575497</v>
      </c>
    </row>
    <row r="130" customFormat="false" ht="15" hidden="false" customHeight="false" outlineLevel="0" collapsed="false">
      <c r="A130" s="0" t="str">
        <f aca="false">dummy_variables!A128</f>
        <v>STR-1032</v>
      </c>
      <c r="B130" s="0" t="str">
        <f aca="false">dummy_variables!B128</f>
        <v>2025-03-01</v>
      </c>
      <c r="C130" s="0" t="str">
        <f aca="false">dummy_variables!C128</f>
        <v>South</v>
      </c>
      <c r="D130" s="0" t="str">
        <f aca="false">dummy_variables!D128</f>
        <v>High Street</v>
      </c>
      <c r="E130" s="0" t="n">
        <f aca="false">dummy_variables!M128</f>
        <v>842157.92</v>
      </c>
      <c r="F130" s="0" t="n">
        <f aca="false">multiple_regression!$R$5+multiple_regression!$R$6*dummy_variables!E128+multiple_regression!$R$7*dummy_variables!F128+multiple_regression!$R$8*dummy_variables!G128+multiple_regression!$R$9*dummy_variables!I128+multiple_regression!$R$10*dummy_variables!J128+multiple_regression!$R$11*dummy_variables!K128+multiple_regression!$R$12*dummy_variables!L128+multiple_regression!$R$13*dummy_variables!O128+multiple_regression!$R$14*dummy_variables!P128+multiple_regression!$R$15*dummy_variables!Q128+multiple_regression!$R$16*dummy_variables!R128+multiple_regression!$R$17*dummy_variables!S128+multiple_regression!$R$18*dummy_variables!T128</f>
        <v>807416.756656673</v>
      </c>
      <c r="G130" s="0" t="n">
        <f aca="false">E130-F130</f>
        <v>34741.1633433274</v>
      </c>
      <c r="H130" s="0" t="n">
        <f aca="false">ABS(G130)</f>
        <v>34741.1633433274</v>
      </c>
    </row>
    <row r="131" customFormat="false" ht="15" hidden="false" customHeight="false" outlineLevel="0" collapsed="false">
      <c r="A131" s="0" t="str">
        <f aca="false">dummy_variables!A129</f>
        <v>STR-1032</v>
      </c>
      <c r="B131" s="0" t="str">
        <f aca="false">dummy_variables!B129</f>
        <v>2025-04-01</v>
      </c>
      <c r="C131" s="0" t="str">
        <f aca="false">dummy_variables!C129</f>
        <v>South</v>
      </c>
      <c r="D131" s="0" t="str">
        <f aca="false">dummy_variables!D129</f>
        <v>High Street</v>
      </c>
      <c r="E131" s="0" t="n">
        <f aca="false">dummy_variables!M129</f>
        <v>697155.3</v>
      </c>
      <c r="F131" s="0" t="n">
        <f aca="false">multiple_regression!$R$5+multiple_regression!$R$6*dummy_variables!E129+multiple_regression!$R$7*dummy_variables!F129+multiple_regression!$R$8*dummy_variables!G129+multiple_regression!$R$9*dummy_variables!I129+multiple_regression!$R$10*dummy_variables!J129+multiple_regression!$R$11*dummy_variables!K129+multiple_regression!$R$12*dummy_variables!L129+multiple_regression!$R$13*dummy_variables!O129+multiple_regression!$R$14*dummy_variables!P129+multiple_regression!$R$15*dummy_variables!Q129+multiple_regression!$R$16*dummy_variables!R129+multiple_regression!$R$17*dummy_variables!S129+multiple_regression!$R$18*dummy_variables!T129</f>
        <v>714752.302769678</v>
      </c>
      <c r="G131" s="0" t="n">
        <f aca="false">E131-F131</f>
        <v>-17597.0027696781</v>
      </c>
      <c r="H131" s="0" t="n">
        <f aca="false">ABS(G131)</f>
        <v>17597.0027696781</v>
      </c>
    </row>
    <row r="132" customFormat="false" ht="15" hidden="false" customHeight="false" outlineLevel="0" collapsed="false">
      <c r="A132" s="0" t="str">
        <f aca="false">dummy_variables!A130</f>
        <v>STR-1033</v>
      </c>
      <c r="B132" s="0" t="str">
        <f aca="false">dummy_variables!B130</f>
        <v>2025-01-01</v>
      </c>
      <c r="C132" s="0" t="str">
        <f aca="false">dummy_variables!C130</f>
        <v>East</v>
      </c>
      <c r="D132" s="0" t="str">
        <f aca="false">dummy_variables!D130</f>
        <v>High Street</v>
      </c>
      <c r="E132" s="0" t="n">
        <f aca="false">dummy_variables!M130</f>
        <v>849018.3</v>
      </c>
      <c r="F132" s="0" t="n">
        <f aca="false">multiple_regression!$R$5+multiple_regression!$R$6*dummy_variables!E130+multiple_regression!$R$7*dummy_variables!F130+multiple_regression!$R$8*dummy_variables!G130+multiple_regression!$R$9*dummy_variables!I130+multiple_regression!$R$10*dummy_variables!J130+multiple_regression!$R$11*dummy_variables!K130+multiple_regression!$R$12*dummy_variables!L130+multiple_regression!$R$13*dummy_variables!O130+multiple_regression!$R$14*dummy_variables!P130+multiple_regression!$R$15*dummy_variables!Q130+multiple_regression!$R$16*dummy_variables!R130+multiple_regression!$R$17*dummy_variables!S130+multiple_regression!$R$18*dummy_variables!T130</f>
        <v>845205.253390164</v>
      </c>
      <c r="G132" s="0" t="n">
        <f aca="false">E132-F132</f>
        <v>3813.0466098364</v>
      </c>
      <c r="H132" s="0" t="n">
        <f aca="false">ABS(G132)</f>
        <v>3813.0466098364</v>
      </c>
    </row>
    <row r="133" customFormat="false" ht="15" hidden="false" customHeight="false" outlineLevel="0" collapsed="false">
      <c r="A133" s="0" t="str">
        <f aca="false">dummy_variables!A131</f>
        <v>STR-1033</v>
      </c>
      <c r="B133" s="0" t="str">
        <f aca="false">dummy_variables!B131</f>
        <v>2025-02-01</v>
      </c>
      <c r="C133" s="0" t="str">
        <f aca="false">dummy_variables!C131</f>
        <v>East</v>
      </c>
      <c r="D133" s="0" t="str">
        <f aca="false">dummy_variables!D131</f>
        <v>High Street</v>
      </c>
      <c r="E133" s="0" t="n">
        <f aca="false">dummy_variables!M131</f>
        <v>801830.35</v>
      </c>
      <c r="F133" s="0" t="n">
        <f aca="false">multiple_regression!$R$5+multiple_regression!$R$6*dummy_variables!E131+multiple_regression!$R$7*dummy_variables!F131+multiple_regression!$R$8*dummy_variables!G131+multiple_regression!$R$9*dummy_variables!I131+multiple_regression!$R$10*dummy_variables!J131+multiple_regression!$R$11*dummy_variables!K131+multiple_regression!$R$12*dummy_variables!L131+multiple_regression!$R$13*dummy_variables!O131+multiple_regression!$R$14*dummy_variables!P131+multiple_regression!$R$15*dummy_variables!Q131+multiple_regression!$R$16*dummy_variables!R131+multiple_regression!$R$17*dummy_variables!S131+multiple_regression!$R$18*dummy_variables!T131</f>
        <v>807410.566312815</v>
      </c>
      <c r="G133" s="0" t="n">
        <f aca="false">E133-F133</f>
        <v>-5580.21631281485</v>
      </c>
      <c r="H133" s="0" t="n">
        <f aca="false">ABS(G133)</f>
        <v>5580.21631281485</v>
      </c>
    </row>
    <row r="134" customFormat="false" ht="15" hidden="false" customHeight="false" outlineLevel="0" collapsed="false">
      <c r="A134" s="0" t="str">
        <f aca="false">dummy_variables!A132</f>
        <v>STR-1033</v>
      </c>
      <c r="B134" s="0" t="str">
        <f aca="false">dummy_variables!B132</f>
        <v>2025-03-01</v>
      </c>
      <c r="C134" s="0" t="str">
        <f aca="false">dummy_variables!C132</f>
        <v>East</v>
      </c>
      <c r="D134" s="0" t="str">
        <f aca="false">dummy_variables!D132</f>
        <v>High Street</v>
      </c>
      <c r="E134" s="0" t="n">
        <f aca="false">dummy_variables!M132</f>
        <v>725235.28</v>
      </c>
      <c r="F134" s="0" t="n">
        <f aca="false">multiple_regression!$R$5+multiple_regression!$R$6*dummy_variables!E132+multiple_regression!$R$7*dummy_variables!F132+multiple_regression!$R$8*dummy_variables!G132+multiple_regression!$R$9*dummy_variables!I132+multiple_regression!$R$10*dummy_variables!J132+multiple_regression!$R$11*dummy_variables!K132+multiple_regression!$R$12*dummy_variables!L132+multiple_regression!$R$13*dummy_variables!O132+multiple_regression!$R$14*dummy_variables!P132+multiple_regression!$R$15*dummy_variables!Q132+multiple_regression!$R$16*dummy_variables!R132+multiple_regression!$R$17*dummy_variables!S132+multiple_regression!$R$18*dummy_variables!T132</f>
        <v>796620.726037857</v>
      </c>
      <c r="G134" s="0" t="n">
        <f aca="false">E134-F134</f>
        <v>-71385.4460378568</v>
      </c>
      <c r="H134" s="0" t="n">
        <f aca="false">ABS(G134)</f>
        <v>71385.4460378568</v>
      </c>
    </row>
    <row r="135" customFormat="false" ht="15" hidden="false" customHeight="false" outlineLevel="0" collapsed="false">
      <c r="A135" s="0" t="str">
        <f aca="false">dummy_variables!A133</f>
        <v>STR-1033</v>
      </c>
      <c r="B135" s="0" t="str">
        <f aca="false">dummy_variables!B133</f>
        <v>2025-04-01</v>
      </c>
      <c r="C135" s="0" t="str">
        <f aca="false">dummy_variables!C133</f>
        <v>East</v>
      </c>
      <c r="D135" s="0" t="str">
        <f aca="false">dummy_variables!D133</f>
        <v>High Street</v>
      </c>
      <c r="E135" s="0" t="n">
        <f aca="false">dummy_variables!M133</f>
        <v>811452.72</v>
      </c>
      <c r="F135" s="0" t="n">
        <f aca="false">multiple_regression!$R$5+multiple_regression!$R$6*dummy_variables!E133+multiple_regression!$R$7*dummy_variables!F133+multiple_regression!$R$8*dummy_variables!G133+multiple_regression!$R$9*dummy_variables!I133+multiple_regression!$R$10*dummy_variables!J133+multiple_regression!$R$11*dummy_variables!K133+multiple_regression!$R$12*dummy_variables!L133+multiple_regression!$R$13*dummy_variables!O133+multiple_regression!$R$14*dummy_variables!P133+multiple_regression!$R$15*dummy_variables!Q133+multiple_regression!$R$16*dummy_variables!R133+multiple_regression!$R$17*dummy_variables!S133+multiple_regression!$R$18*dummy_variables!T133</f>
        <v>802672.447513381</v>
      </c>
      <c r="G135" s="0" t="n">
        <f aca="false">E135-F135</f>
        <v>8780.2724866186</v>
      </c>
      <c r="H135" s="0" t="n">
        <f aca="false">ABS(G135)</f>
        <v>8780.2724866186</v>
      </c>
    </row>
    <row r="136" customFormat="false" ht="15" hidden="false" customHeight="false" outlineLevel="0" collapsed="false">
      <c r="A136" s="0" t="str">
        <f aca="false">dummy_variables!A134</f>
        <v>STR-1034</v>
      </c>
      <c r="B136" s="0" t="str">
        <f aca="false">dummy_variables!B134</f>
        <v>2025-01-01</v>
      </c>
      <c r="C136" s="0" t="str">
        <f aca="false">dummy_variables!C134</f>
        <v>North</v>
      </c>
      <c r="D136" s="0" t="str">
        <f aca="false">dummy_variables!D134</f>
        <v>High Street</v>
      </c>
      <c r="E136" s="0" t="n">
        <f aca="false">dummy_variables!M134</f>
        <v>527300.13</v>
      </c>
      <c r="F136" s="0" t="n">
        <f aca="false">multiple_regression!$R$5+multiple_regression!$R$6*dummy_variables!E134+multiple_regression!$R$7*dummy_variables!F134+multiple_regression!$R$8*dummy_variables!G134+multiple_regression!$R$9*dummy_variables!I134+multiple_regression!$R$10*dummy_variables!J134+multiple_regression!$R$11*dummy_variables!K134+multiple_regression!$R$12*dummy_variables!L134+multiple_regression!$R$13*dummy_variables!O134+multiple_regression!$R$14*dummy_variables!P134+multiple_regression!$R$15*dummy_variables!Q134+multiple_regression!$R$16*dummy_variables!R134+multiple_regression!$R$17*dummy_variables!S134+multiple_regression!$R$18*dummy_variables!T134</f>
        <v>583905.95354188</v>
      </c>
      <c r="G136" s="0" t="n">
        <f aca="false">E136-F136</f>
        <v>-56605.8235418799</v>
      </c>
      <c r="H136" s="0" t="n">
        <f aca="false">ABS(G136)</f>
        <v>56605.8235418799</v>
      </c>
    </row>
    <row r="137" customFormat="false" ht="15" hidden="false" customHeight="false" outlineLevel="0" collapsed="false">
      <c r="A137" s="0" t="str">
        <f aca="false">dummy_variables!A135</f>
        <v>STR-1034</v>
      </c>
      <c r="B137" s="0" t="str">
        <f aca="false">dummy_variables!B135</f>
        <v>2025-02-01</v>
      </c>
      <c r="C137" s="0" t="str">
        <f aca="false">dummy_variables!C135</f>
        <v>North</v>
      </c>
      <c r="D137" s="0" t="str">
        <f aca="false">dummy_variables!D135</f>
        <v>High Street</v>
      </c>
      <c r="E137" s="0" t="n">
        <f aca="false">dummy_variables!M135</f>
        <v>400831.65</v>
      </c>
      <c r="F137" s="0" t="n">
        <f aca="false">multiple_regression!$R$5+multiple_regression!$R$6*dummy_variables!E135+multiple_regression!$R$7*dummy_variables!F135+multiple_regression!$R$8*dummy_variables!G135+multiple_regression!$R$9*dummy_variables!I135+multiple_regression!$R$10*dummy_variables!J135+multiple_regression!$R$11*dummy_variables!K135+multiple_regression!$R$12*dummy_variables!L135+multiple_regression!$R$13*dummy_variables!O135+multiple_regression!$R$14*dummy_variables!P135+multiple_regression!$R$15*dummy_variables!Q135+multiple_regression!$R$16*dummy_variables!R135+multiple_regression!$R$17*dummy_variables!S135+multiple_regression!$R$18*dummy_variables!T135</f>
        <v>462632.258897651</v>
      </c>
      <c r="G137" s="0" t="n">
        <f aca="false">E137-F137</f>
        <v>-61800.6088976513</v>
      </c>
      <c r="H137" s="0" t="n">
        <f aca="false">ABS(G137)</f>
        <v>61800.6088976513</v>
      </c>
    </row>
    <row r="138" customFormat="false" ht="15" hidden="false" customHeight="false" outlineLevel="0" collapsed="false">
      <c r="A138" s="0" t="str">
        <f aca="false">dummy_variables!A136</f>
        <v>STR-1034</v>
      </c>
      <c r="B138" s="0" t="str">
        <f aca="false">dummy_variables!B136</f>
        <v>2025-03-01</v>
      </c>
      <c r="C138" s="0" t="str">
        <f aca="false">dummy_variables!C136</f>
        <v>North</v>
      </c>
      <c r="D138" s="0" t="str">
        <f aca="false">dummy_variables!D136</f>
        <v>High Street</v>
      </c>
      <c r="E138" s="0" t="n">
        <f aca="false">dummy_variables!M136</f>
        <v>593247.25</v>
      </c>
      <c r="F138" s="0" t="n">
        <f aca="false">multiple_regression!$R$5+multiple_regression!$R$6*dummy_variables!E136+multiple_regression!$R$7*dummy_variables!F136+multiple_regression!$R$8*dummy_variables!G136+multiple_regression!$R$9*dummy_variables!I136+multiple_regression!$R$10*dummy_variables!J136+multiple_regression!$R$11*dummy_variables!K136+multiple_regression!$R$12*dummy_variables!L136+multiple_regression!$R$13*dummy_variables!O136+multiple_regression!$R$14*dummy_variables!P136+multiple_regression!$R$15*dummy_variables!Q136+multiple_regression!$R$16*dummy_variables!R136+multiple_regression!$R$17*dummy_variables!S136+multiple_regression!$R$18*dummy_variables!T136</f>
        <v>613526.288146895</v>
      </c>
      <c r="G138" s="0" t="n">
        <f aca="false">E138-F138</f>
        <v>-20279.0381468952</v>
      </c>
      <c r="H138" s="0" t="n">
        <f aca="false">ABS(G138)</f>
        <v>20279.0381468952</v>
      </c>
    </row>
    <row r="139" customFormat="false" ht="15" hidden="false" customHeight="false" outlineLevel="0" collapsed="false">
      <c r="A139" s="0" t="str">
        <f aca="false">dummy_variables!A137</f>
        <v>STR-1034</v>
      </c>
      <c r="B139" s="0" t="str">
        <f aca="false">dummy_variables!B137</f>
        <v>2025-04-01</v>
      </c>
      <c r="C139" s="0" t="str">
        <f aca="false">dummy_variables!C137</f>
        <v>North</v>
      </c>
      <c r="D139" s="0" t="str">
        <f aca="false">dummy_variables!D137</f>
        <v>High Street</v>
      </c>
      <c r="E139" s="0" t="n">
        <f aca="false">dummy_variables!M137</f>
        <v>529075.95</v>
      </c>
      <c r="F139" s="0" t="n">
        <f aca="false">multiple_regression!$R$5+multiple_regression!$R$6*dummy_variables!E137+multiple_regression!$R$7*dummy_variables!F137+multiple_regression!$R$8*dummy_variables!G137+multiple_regression!$R$9*dummy_variables!I137+multiple_regression!$R$10*dummy_variables!J137+multiple_regression!$R$11*dummy_variables!K137+multiple_regression!$R$12*dummy_variables!L137+multiple_regression!$R$13*dummy_variables!O137+multiple_regression!$R$14*dummy_variables!P137+multiple_regression!$R$15*dummy_variables!Q137+multiple_regression!$R$16*dummy_variables!R137+multiple_regression!$R$17*dummy_variables!S137+multiple_regression!$R$18*dummy_variables!T137</f>
        <v>553821.067558357</v>
      </c>
      <c r="G139" s="0" t="n">
        <f aca="false">E139-F139</f>
        <v>-24745.1175583568</v>
      </c>
      <c r="H139" s="0" t="n">
        <f aca="false">ABS(G139)</f>
        <v>24745.1175583568</v>
      </c>
    </row>
    <row r="140" customFormat="false" ht="15" hidden="false" customHeight="false" outlineLevel="0" collapsed="false">
      <c r="A140" s="0" t="str">
        <f aca="false">dummy_variables!A138</f>
        <v>STR-1035</v>
      </c>
      <c r="B140" s="0" t="str">
        <f aca="false">dummy_variables!B138</f>
        <v>2025-01-01</v>
      </c>
      <c r="C140" s="0" t="str">
        <f aca="false">dummy_variables!C138</f>
        <v>South</v>
      </c>
      <c r="D140" s="0" t="str">
        <f aca="false">dummy_variables!D138</f>
        <v>Residential</v>
      </c>
      <c r="E140" s="0" t="n">
        <f aca="false">dummy_variables!M138</f>
        <v>633638.03</v>
      </c>
      <c r="F140" s="0" t="n">
        <f aca="false">multiple_regression!$R$5+multiple_regression!$R$6*dummy_variables!E138+multiple_regression!$R$7*dummy_variables!F138+multiple_regression!$R$8*dummy_variables!G138+multiple_regression!$R$9*dummy_variables!I138+multiple_regression!$R$10*dummy_variables!J138+multiple_regression!$R$11*dummy_variables!K138+multiple_regression!$R$12*dummy_variables!L138+multiple_regression!$R$13*dummy_variables!O138+multiple_regression!$R$14*dummy_variables!P138+multiple_regression!$R$15*dummy_variables!Q138+multiple_regression!$R$16*dummy_variables!R138+multiple_regression!$R$17*dummy_variables!S138+multiple_regression!$R$18*dummy_variables!T138</f>
        <v>705737.816223869</v>
      </c>
      <c r="G140" s="0" t="n">
        <f aca="false">E140-F140</f>
        <v>-72099.7862238686</v>
      </c>
      <c r="H140" s="0" t="n">
        <f aca="false">ABS(G140)</f>
        <v>72099.7862238686</v>
      </c>
    </row>
    <row r="141" customFormat="false" ht="15" hidden="false" customHeight="false" outlineLevel="0" collapsed="false">
      <c r="A141" s="0" t="str">
        <f aca="false">dummy_variables!A139</f>
        <v>STR-1035</v>
      </c>
      <c r="B141" s="0" t="str">
        <f aca="false">dummy_variables!B139</f>
        <v>2025-02-01</v>
      </c>
      <c r="C141" s="0" t="str">
        <f aca="false">dummy_variables!C139</f>
        <v>South</v>
      </c>
      <c r="D141" s="0" t="str">
        <f aca="false">dummy_variables!D139</f>
        <v>Residential</v>
      </c>
      <c r="E141" s="0" t="n">
        <f aca="false">dummy_variables!M139</f>
        <v>743348.84</v>
      </c>
      <c r="F141" s="0" t="n">
        <f aca="false">multiple_regression!$R$5+multiple_regression!$R$6*dummy_variables!E139+multiple_regression!$R$7*dummy_variables!F139+multiple_regression!$R$8*dummy_variables!G139+multiple_regression!$R$9*dummy_variables!I139+multiple_regression!$R$10*dummy_variables!J139+multiple_regression!$R$11*dummy_variables!K139+multiple_regression!$R$12*dummy_variables!L139+multiple_regression!$R$13*dummy_variables!O139+multiple_regression!$R$14*dummy_variables!P139+multiple_regression!$R$15*dummy_variables!Q139+multiple_regression!$R$16*dummy_variables!R139+multiple_regression!$R$17*dummy_variables!S139+multiple_regression!$R$18*dummy_variables!T139</f>
        <v>692797.623240622</v>
      </c>
      <c r="G141" s="0" t="n">
        <f aca="false">E141-F141</f>
        <v>50551.2167593777</v>
      </c>
      <c r="H141" s="0" t="n">
        <f aca="false">ABS(G141)</f>
        <v>50551.2167593777</v>
      </c>
    </row>
    <row r="142" customFormat="false" ht="15" hidden="false" customHeight="false" outlineLevel="0" collapsed="false">
      <c r="A142" s="0" t="str">
        <f aca="false">dummy_variables!A140</f>
        <v>STR-1035</v>
      </c>
      <c r="B142" s="0" t="str">
        <f aca="false">dummy_variables!B140</f>
        <v>2025-03-01</v>
      </c>
      <c r="C142" s="0" t="str">
        <f aca="false">dummy_variables!C140</f>
        <v>South</v>
      </c>
      <c r="D142" s="0" t="str">
        <f aca="false">dummy_variables!D140</f>
        <v>Residential</v>
      </c>
      <c r="E142" s="0" t="n">
        <f aca="false">dummy_variables!M140</f>
        <v>758827.64</v>
      </c>
      <c r="F142" s="0" t="n">
        <f aca="false">multiple_regression!$R$5+multiple_regression!$R$6*dummy_variables!E140+multiple_regression!$R$7*dummy_variables!F140+multiple_regression!$R$8*dummy_variables!G140+multiple_regression!$R$9*dummy_variables!I140+multiple_regression!$R$10*dummy_variables!J140+multiple_regression!$R$11*dummy_variables!K140+multiple_regression!$R$12*dummy_variables!L140+multiple_regression!$R$13*dummy_variables!O140+multiple_regression!$R$14*dummy_variables!P140+multiple_regression!$R$15*dummy_variables!Q140+multiple_regression!$R$16*dummy_variables!R140+multiple_regression!$R$17*dummy_variables!S140+multiple_regression!$R$18*dummy_variables!T140</f>
        <v>706700.312892015</v>
      </c>
      <c r="G142" s="0" t="n">
        <f aca="false">E142-F142</f>
        <v>52127.3271079846</v>
      </c>
      <c r="H142" s="0" t="n">
        <f aca="false">ABS(G142)</f>
        <v>52127.3271079846</v>
      </c>
    </row>
    <row r="143" customFormat="false" ht="15" hidden="false" customHeight="false" outlineLevel="0" collapsed="false">
      <c r="A143" s="0" t="str">
        <f aca="false">dummy_variables!A141</f>
        <v>STR-1035</v>
      </c>
      <c r="B143" s="0" t="str">
        <f aca="false">dummy_variables!B141</f>
        <v>2025-04-01</v>
      </c>
      <c r="C143" s="0" t="str">
        <f aca="false">dummy_variables!C141</f>
        <v>South</v>
      </c>
      <c r="D143" s="0" t="str">
        <f aca="false">dummy_variables!D141</f>
        <v>Residential</v>
      </c>
      <c r="E143" s="0" t="n">
        <f aca="false">dummy_variables!M141</f>
        <v>646559.71</v>
      </c>
      <c r="F143" s="0" t="n">
        <f aca="false">multiple_regression!$R$5+multiple_regression!$R$6*dummy_variables!E141+multiple_regression!$R$7*dummy_variables!F141+multiple_regression!$R$8*dummy_variables!G141+multiple_regression!$R$9*dummy_variables!I141+multiple_regression!$R$10*dummy_variables!J141+multiple_regression!$R$11*dummy_variables!K141+multiple_regression!$R$12*dummy_variables!L141+multiple_regression!$R$13*dummy_variables!O141+multiple_regression!$R$14*dummy_variables!P141+multiple_regression!$R$15*dummy_variables!Q141+multiple_regression!$R$16*dummy_variables!R141+multiple_regression!$R$17*dummy_variables!S141+multiple_regression!$R$18*dummy_variables!T141</f>
        <v>619585.592280552</v>
      </c>
      <c r="G143" s="0" t="n">
        <f aca="false">E143-F143</f>
        <v>26974.1177194482</v>
      </c>
      <c r="H143" s="0" t="n">
        <f aca="false">ABS(G143)</f>
        <v>26974.1177194482</v>
      </c>
    </row>
    <row r="144" customFormat="false" ht="15" hidden="false" customHeight="false" outlineLevel="0" collapsed="false">
      <c r="A144" s="0" t="str">
        <f aca="false">dummy_variables!A142</f>
        <v>STR-1036</v>
      </c>
      <c r="B144" s="0" t="str">
        <f aca="false">dummy_variables!B142</f>
        <v>2025-01-01</v>
      </c>
      <c r="C144" s="0" t="str">
        <f aca="false">dummy_variables!C142</f>
        <v>West</v>
      </c>
      <c r="D144" s="0" t="str">
        <f aca="false">dummy_variables!D142</f>
        <v>High Street</v>
      </c>
      <c r="E144" s="0" t="n">
        <f aca="false">dummy_variables!M142</f>
        <v>715890.53</v>
      </c>
      <c r="F144" s="0" t="n">
        <f aca="false">multiple_regression!$R$5+multiple_regression!$R$6*dummy_variables!E142+multiple_regression!$R$7*dummy_variables!F142+multiple_regression!$R$8*dummy_variables!G142+multiple_regression!$R$9*dummy_variables!I142+multiple_regression!$R$10*dummy_variables!J142+multiple_regression!$R$11*dummy_variables!K142+multiple_regression!$R$12*dummy_variables!L142+multiple_regression!$R$13*dummy_variables!O142+multiple_regression!$R$14*dummy_variables!P142+multiple_regression!$R$15*dummy_variables!Q142+multiple_regression!$R$16*dummy_variables!R142+multiple_regression!$R$17*dummy_variables!S142+multiple_regression!$R$18*dummy_variables!T142</f>
        <v>692490.927761201</v>
      </c>
      <c r="G144" s="0" t="n">
        <f aca="false">E144-F144</f>
        <v>23399.602238799</v>
      </c>
      <c r="H144" s="0" t="n">
        <f aca="false">ABS(G144)</f>
        <v>23399.602238799</v>
      </c>
    </row>
    <row r="145" customFormat="false" ht="15" hidden="false" customHeight="false" outlineLevel="0" collapsed="false">
      <c r="A145" s="0" t="str">
        <f aca="false">dummy_variables!A143</f>
        <v>STR-1036</v>
      </c>
      <c r="B145" s="0" t="str">
        <f aca="false">dummy_variables!B143</f>
        <v>2025-02-01</v>
      </c>
      <c r="C145" s="0" t="str">
        <f aca="false">dummy_variables!C143</f>
        <v>West</v>
      </c>
      <c r="D145" s="0" t="str">
        <f aca="false">dummy_variables!D143</f>
        <v>High Street</v>
      </c>
      <c r="E145" s="0" t="n">
        <f aca="false">dummy_variables!M143</f>
        <v>715097.57</v>
      </c>
      <c r="F145" s="0" t="n">
        <f aca="false">multiple_regression!$R$5+multiple_regression!$R$6*dummy_variables!E143+multiple_regression!$R$7*dummy_variables!F143+multiple_regression!$R$8*dummy_variables!G143+multiple_regression!$R$9*dummy_variables!I143+multiple_regression!$R$10*dummy_variables!J143+multiple_regression!$R$11*dummy_variables!K143+multiple_regression!$R$12*dummy_variables!L143+multiple_regression!$R$13*dummy_variables!O143+multiple_regression!$R$14*dummy_variables!P143+multiple_regression!$R$15*dummy_variables!Q143+multiple_regression!$R$16*dummy_variables!R143+multiple_regression!$R$17*dummy_variables!S143+multiple_regression!$R$18*dummy_variables!T143</f>
        <v>712274.217385681</v>
      </c>
      <c r="G145" s="0" t="n">
        <f aca="false">E145-F145</f>
        <v>2823.3526143186</v>
      </c>
      <c r="H145" s="0" t="n">
        <f aca="false">ABS(G145)</f>
        <v>2823.3526143186</v>
      </c>
    </row>
    <row r="146" customFormat="false" ht="15" hidden="false" customHeight="false" outlineLevel="0" collapsed="false">
      <c r="A146" s="0" t="str">
        <f aca="false">dummy_variables!A144</f>
        <v>STR-1036</v>
      </c>
      <c r="B146" s="0" t="str">
        <f aca="false">dummy_variables!B144</f>
        <v>2025-03-01</v>
      </c>
      <c r="C146" s="0" t="str">
        <f aca="false">dummy_variables!C144</f>
        <v>West</v>
      </c>
      <c r="D146" s="0" t="str">
        <f aca="false">dummy_variables!D144</f>
        <v>High Street</v>
      </c>
      <c r="E146" s="0" t="n">
        <f aca="false">dummy_variables!M144</f>
        <v>682639.28</v>
      </c>
      <c r="F146" s="0" t="n">
        <f aca="false">multiple_regression!$R$5+multiple_regression!$R$6*dummy_variables!E144+multiple_regression!$R$7*dummy_variables!F144+multiple_regression!$R$8*dummy_variables!G144+multiple_regression!$R$9*dummy_variables!I144+multiple_regression!$R$10*dummy_variables!J144+multiple_regression!$R$11*dummy_variables!K144+multiple_regression!$R$12*dummy_variables!L144+multiple_regression!$R$13*dummy_variables!O144+multiple_regression!$R$14*dummy_variables!P144+multiple_regression!$R$15*dummy_variables!Q144+multiple_regression!$R$16*dummy_variables!R144+multiple_regression!$R$17*dummy_variables!S144+multiple_regression!$R$18*dummy_variables!T144</f>
        <v>650997.32233954</v>
      </c>
      <c r="G146" s="0" t="n">
        <f aca="false">E146-F146</f>
        <v>31641.9576604599</v>
      </c>
      <c r="H146" s="0" t="n">
        <f aca="false">ABS(G146)</f>
        <v>31641.9576604599</v>
      </c>
    </row>
    <row r="147" customFormat="false" ht="15" hidden="false" customHeight="false" outlineLevel="0" collapsed="false">
      <c r="A147" s="0" t="str">
        <f aca="false">dummy_variables!A145</f>
        <v>STR-1036</v>
      </c>
      <c r="B147" s="0" t="str">
        <f aca="false">dummy_variables!B145</f>
        <v>2025-04-01</v>
      </c>
      <c r="C147" s="0" t="str">
        <f aca="false">dummy_variables!C145</f>
        <v>West</v>
      </c>
      <c r="D147" s="0" t="str">
        <f aca="false">dummy_variables!D145</f>
        <v>High Street</v>
      </c>
      <c r="E147" s="0" t="n">
        <f aca="false">dummy_variables!M145</f>
        <v>695098.51</v>
      </c>
      <c r="F147" s="0" t="n">
        <f aca="false">multiple_regression!$R$5+multiple_regression!$R$6*dummy_variables!E145+multiple_regression!$R$7*dummy_variables!F145+multiple_regression!$R$8*dummy_variables!G145+multiple_regression!$R$9*dummy_variables!I145+multiple_regression!$R$10*dummy_variables!J145+multiple_regression!$R$11*dummy_variables!K145+multiple_regression!$R$12*dummy_variables!L145+multiple_regression!$R$13*dummy_variables!O145+multiple_regression!$R$14*dummy_variables!P145+multiple_regression!$R$15*dummy_variables!Q145+multiple_regression!$R$16*dummy_variables!R145+multiple_regression!$R$17*dummy_variables!S145+multiple_regression!$R$18*dummy_variables!T145</f>
        <v>664711.007807324</v>
      </c>
      <c r="G147" s="0" t="n">
        <f aca="false">E147-F147</f>
        <v>30387.502192676</v>
      </c>
      <c r="H147" s="0" t="n">
        <f aca="false">ABS(G147)</f>
        <v>30387.502192676</v>
      </c>
    </row>
    <row r="148" customFormat="false" ht="15" hidden="false" customHeight="false" outlineLevel="0" collapsed="false">
      <c r="A148" s="0" t="str">
        <f aca="false">dummy_variables!A146</f>
        <v>STR-1037</v>
      </c>
      <c r="B148" s="0" t="str">
        <f aca="false">dummy_variables!B146</f>
        <v>2025-01-01</v>
      </c>
      <c r="C148" s="0" t="str">
        <f aca="false">dummy_variables!C146</f>
        <v>North</v>
      </c>
      <c r="D148" s="0" t="str">
        <f aca="false">dummy_variables!D146</f>
        <v>Residential</v>
      </c>
      <c r="E148" s="0" t="n">
        <f aca="false">dummy_variables!M146</f>
        <v>577732.57</v>
      </c>
      <c r="F148" s="0" t="n">
        <f aca="false">multiple_regression!$R$5+multiple_regression!$R$6*dummy_variables!E146+multiple_regression!$R$7*dummy_variables!F146+multiple_regression!$R$8*dummy_variables!G146+multiple_regression!$R$9*dummy_variables!I146+multiple_regression!$R$10*dummy_variables!J146+multiple_regression!$R$11*dummy_variables!K146+multiple_regression!$R$12*dummy_variables!L146+multiple_regression!$R$13*dummy_variables!O146+multiple_regression!$R$14*dummy_variables!P146+multiple_regression!$R$15*dummy_variables!Q146+multiple_regression!$R$16*dummy_variables!R146+multiple_regression!$R$17*dummy_variables!S146+multiple_regression!$R$18*dummy_variables!T146</f>
        <v>597307.835340672</v>
      </c>
      <c r="G148" s="0" t="n">
        <f aca="false">E148-F148</f>
        <v>-19575.2653406715</v>
      </c>
      <c r="H148" s="0" t="n">
        <f aca="false">ABS(G148)</f>
        <v>19575.2653406715</v>
      </c>
    </row>
    <row r="149" customFormat="false" ht="15" hidden="false" customHeight="false" outlineLevel="0" collapsed="false">
      <c r="A149" s="0" t="str">
        <f aca="false">dummy_variables!A147</f>
        <v>STR-1037</v>
      </c>
      <c r="B149" s="0" t="str">
        <f aca="false">dummy_variables!B147</f>
        <v>2025-02-01</v>
      </c>
      <c r="C149" s="0" t="str">
        <f aca="false">dummy_variables!C147</f>
        <v>North</v>
      </c>
      <c r="D149" s="0" t="str">
        <f aca="false">dummy_variables!D147</f>
        <v>Residential</v>
      </c>
      <c r="E149" s="0" t="n">
        <f aca="false">dummy_variables!M147</f>
        <v>537058.33</v>
      </c>
      <c r="F149" s="0" t="n">
        <f aca="false">multiple_regression!$R$5+multiple_regression!$R$6*dummy_variables!E147+multiple_regression!$R$7*dummy_variables!F147+multiple_regression!$R$8*dummy_variables!G147+multiple_regression!$R$9*dummy_variables!I147+multiple_regression!$R$10*dummy_variables!J147+multiple_regression!$R$11*dummy_variables!K147+multiple_regression!$R$12*dummy_variables!L147+multiple_regression!$R$13*dummy_variables!O147+multiple_regression!$R$14*dummy_variables!P147+multiple_regression!$R$15*dummy_variables!Q147+multiple_regression!$R$16*dummy_variables!R147+multiple_regression!$R$17*dummy_variables!S147+multiple_regression!$R$18*dummy_variables!T147</f>
        <v>528508.980037706</v>
      </c>
      <c r="G149" s="0" t="n">
        <f aca="false">E149-F149</f>
        <v>8549.34996229434</v>
      </c>
      <c r="H149" s="0" t="n">
        <f aca="false">ABS(G149)</f>
        <v>8549.34996229434</v>
      </c>
    </row>
    <row r="150" customFormat="false" ht="15" hidden="false" customHeight="false" outlineLevel="0" collapsed="false">
      <c r="A150" s="0" t="str">
        <f aca="false">dummy_variables!A148</f>
        <v>STR-1037</v>
      </c>
      <c r="B150" s="0" t="str">
        <f aca="false">dummy_variables!B148</f>
        <v>2025-03-01</v>
      </c>
      <c r="C150" s="0" t="str">
        <f aca="false">dummy_variables!C148</f>
        <v>North</v>
      </c>
      <c r="D150" s="0" t="str">
        <f aca="false">dummy_variables!D148</f>
        <v>Residential</v>
      </c>
      <c r="E150" s="0" t="n">
        <f aca="false">dummy_variables!M148</f>
        <v>601568.87</v>
      </c>
      <c r="F150" s="0" t="n">
        <f aca="false">multiple_regression!$R$5+multiple_regression!$R$6*dummy_variables!E148+multiple_regression!$R$7*dummy_variables!F148+multiple_regression!$R$8*dummy_variables!G148+multiple_regression!$R$9*dummy_variables!I148+multiple_regression!$R$10*dummy_variables!J148+multiple_regression!$R$11*dummy_variables!K148+multiple_regression!$R$12*dummy_variables!L148+multiple_regression!$R$13*dummy_variables!O148+multiple_regression!$R$14*dummy_variables!P148+multiple_regression!$R$15*dummy_variables!Q148+multiple_regression!$R$16*dummy_variables!R148+multiple_regression!$R$17*dummy_variables!S148+multiple_regression!$R$18*dummy_variables!T148</f>
        <v>580053.468154466</v>
      </c>
      <c r="G150" s="0" t="n">
        <f aca="false">E150-F150</f>
        <v>21515.401845534</v>
      </c>
      <c r="H150" s="0" t="n">
        <f aca="false">ABS(G150)</f>
        <v>21515.401845534</v>
      </c>
    </row>
    <row r="151" customFormat="false" ht="15" hidden="false" customHeight="false" outlineLevel="0" collapsed="false">
      <c r="A151" s="0" t="str">
        <f aca="false">dummy_variables!A149</f>
        <v>STR-1037</v>
      </c>
      <c r="B151" s="0" t="str">
        <f aca="false">dummy_variables!B149</f>
        <v>2025-04-01</v>
      </c>
      <c r="C151" s="0" t="str">
        <f aca="false">dummy_variables!C149</f>
        <v>North</v>
      </c>
      <c r="D151" s="0" t="str">
        <f aca="false">dummy_variables!D149</f>
        <v>Residential</v>
      </c>
      <c r="E151" s="0" t="n">
        <f aca="false">dummy_variables!M149</f>
        <v>570964.84</v>
      </c>
      <c r="F151" s="0" t="n">
        <f aca="false">multiple_regression!$R$5+multiple_regression!$R$6*dummy_variables!E149+multiple_regression!$R$7*dummy_variables!F149+multiple_regression!$R$8*dummy_variables!G149+multiple_regression!$R$9*dummy_variables!I149+multiple_regression!$R$10*dummy_variables!J149+multiple_regression!$R$11*dummy_variables!K149+multiple_regression!$R$12*dummy_variables!L149+multiple_regression!$R$13*dummy_variables!O149+multiple_regression!$R$14*dummy_variables!P149+multiple_regression!$R$15*dummy_variables!Q149+multiple_regression!$R$16*dummy_variables!R149+multiple_regression!$R$17*dummy_variables!S149+multiple_regression!$R$18*dummy_variables!T149</f>
        <v>550598.574856276</v>
      </c>
      <c r="G151" s="0" t="n">
        <f aca="false">E151-F151</f>
        <v>20366.2651437244</v>
      </c>
      <c r="H151" s="0" t="n">
        <f aca="false">ABS(G151)</f>
        <v>20366.2651437244</v>
      </c>
    </row>
    <row r="152" customFormat="false" ht="15" hidden="false" customHeight="false" outlineLevel="0" collapsed="false">
      <c r="A152" s="0" t="str">
        <f aca="false">dummy_variables!A150</f>
        <v>STR-1038</v>
      </c>
      <c r="B152" s="0" t="str">
        <f aca="false">dummy_variables!B150</f>
        <v>2025-01-01</v>
      </c>
      <c r="C152" s="0" t="str">
        <f aca="false">dummy_variables!C150</f>
        <v>South</v>
      </c>
      <c r="D152" s="0" t="str">
        <f aca="false">dummy_variables!D150</f>
        <v>Mall</v>
      </c>
      <c r="E152" s="0" t="n">
        <f aca="false">dummy_variables!M150</f>
        <v>614024.91</v>
      </c>
      <c r="F152" s="0" t="n">
        <f aca="false">multiple_regression!$R$5+multiple_regression!$R$6*dummy_variables!E150+multiple_regression!$R$7*dummy_variables!F150+multiple_regression!$R$8*dummy_variables!G150+multiple_regression!$R$9*dummy_variables!I150+multiple_regression!$R$10*dummy_variables!J150+multiple_regression!$R$11*dummy_variables!K150+multiple_regression!$R$12*dummy_variables!L150+multiple_regression!$R$13*dummy_variables!O150+multiple_regression!$R$14*dummy_variables!P150+multiple_regression!$R$15*dummy_variables!Q150+multiple_regression!$R$16*dummy_variables!R150+multiple_regression!$R$17*dummy_variables!S150+multiple_regression!$R$18*dummy_variables!T150</f>
        <v>600910.061910449</v>
      </c>
      <c r="G152" s="0" t="n">
        <f aca="false">E152-F152</f>
        <v>13114.8480895511</v>
      </c>
      <c r="H152" s="0" t="n">
        <f aca="false">ABS(G152)</f>
        <v>13114.8480895511</v>
      </c>
    </row>
    <row r="153" customFormat="false" ht="15" hidden="false" customHeight="false" outlineLevel="0" collapsed="false">
      <c r="A153" s="0" t="str">
        <f aca="false">dummy_variables!A151</f>
        <v>STR-1038</v>
      </c>
      <c r="B153" s="0" t="str">
        <f aca="false">dummy_variables!B151</f>
        <v>2025-02-01</v>
      </c>
      <c r="C153" s="0" t="str">
        <f aca="false">dummy_variables!C151</f>
        <v>South</v>
      </c>
      <c r="D153" s="0" t="str">
        <f aca="false">dummy_variables!D151</f>
        <v>Mall</v>
      </c>
      <c r="E153" s="0" t="n">
        <f aca="false">dummy_variables!M151</f>
        <v>712868.35</v>
      </c>
      <c r="F153" s="0" t="n">
        <f aca="false">multiple_regression!$R$5+multiple_regression!$R$6*dummy_variables!E151+multiple_regression!$R$7*dummy_variables!F151+multiple_regression!$R$8*dummy_variables!G151+multiple_regression!$R$9*dummy_variables!I151+multiple_regression!$R$10*dummy_variables!J151+multiple_regression!$R$11*dummy_variables!K151+multiple_regression!$R$12*dummy_variables!L151+multiple_regression!$R$13*dummy_variables!O151+multiple_regression!$R$14*dummy_variables!P151+multiple_regression!$R$15*dummy_variables!Q151+multiple_regression!$R$16*dummy_variables!R151+multiple_regression!$R$17*dummy_variables!S151+multiple_regression!$R$18*dummy_variables!T151</f>
        <v>716632.507196003</v>
      </c>
      <c r="G153" s="0" t="n">
        <f aca="false">E153-F153</f>
        <v>-3764.15719600325</v>
      </c>
      <c r="H153" s="0" t="n">
        <f aca="false">ABS(G153)</f>
        <v>3764.15719600325</v>
      </c>
    </row>
    <row r="154" customFormat="false" ht="15" hidden="false" customHeight="false" outlineLevel="0" collapsed="false">
      <c r="A154" s="0" t="str">
        <f aca="false">dummy_variables!A152</f>
        <v>STR-1038</v>
      </c>
      <c r="B154" s="0" t="str">
        <f aca="false">dummy_variables!B152</f>
        <v>2025-03-01</v>
      </c>
      <c r="C154" s="0" t="str">
        <f aca="false">dummy_variables!C152</f>
        <v>South</v>
      </c>
      <c r="D154" s="0" t="str">
        <f aca="false">dummy_variables!D152</f>
        <v>Mall</v>
      </c>
      <c r="E154" s="0" t="n">
        <f aca="false">dummy_variables!M152</f>
        <v>696744.15</v>
      </c>
      <c r="F154" s="0" t="n">
        <f aca="false">multiple_regression!$R$5+multiple_regression!$R$6*dummy_variables!E152+multiple_regression!$R$7*dummy_variables!F152+multiple_regression!$R$8*dummy_variables!G152+multiple_regression!$R$9*dummy_variables!I152+multiple_regression!$R$10*dummy_variables!J152+multiple_regression!$R$11*dummy_variables!K152+multiple_regression!$R$12*dummy_variables!L152+multiple_regression!$R$13*dummy_variables!O152+multiple_regression!$R$14*dummy_variables!P152+multiple_regression!$R$15*dummy_variables!Q152+multiple_regression!$R$16*dummy_variables!R152+multiple_regression!$R$17*dummy_variables!S152+multiple_regression!$R$18*dummy_variables!T152</f>
        <v>693363.149685349</v>
      </c>
      <c r="G154" s="0" t="n">
        <f aca="false">E154-F154</f>
        <v>3381.00031465094</v>
      </c>
      <c r="H154" s="0" t="n">
        <f aca="false">ABS(G154)</f>
        <v>3381.00031465094</v>
      </c>
    </row>
    <row r="155" customFormat="false" ht="15" hidden="false" customHeight="false" outlineLevel="0" collapsed="false">
      <c r="A155" s="0" t="str">
        <f aca="false">dummy_variables!A153</f>
        <v>STR-1038</v>
      </c>
      <c r="B155" s="0" t="str">
        <f aca="false">dummy_variables!B153</f>
        <v>2025-04-01</v>
      </c>
      <c r="C155" s="0" t="str">
        <f aca="false">dummy_variables!C153</f>
        <v>South</v>
      </c>
      <c r="D155" s="0" t="str">
        <f aca="false">dummy_variables!D153</f>
        <v>Mall</v>
      </c>
      <c r="E155" s="0" t="n">
        <f aca="false">dummy_variables!M153</f>
        <v>725847.99</v>
      </c>
      <c r="F155" s="0" t="n">
        <f aca="false">multiple_regression!$R$5+multiple_regression!$R$6*dummy_variables!E153+multiple_regression!$R$7*dummy_variables!F153+multiple_regression!$R$8*dummy_variables!G153+multiple_regression!$R$9*dummy_variables!I153+multiple_regression!$R$10*dummy_variables!J153+multiple_regression!$R$11*dummy_variables!K153+multiple_regression!$R$12*dummy_variables!L153+multiple_regression!$R$13*dummy_variables!O153+multiple_regression!$R$14*dummy_variables!P153+multiple_regression!$R$15*dummy_variables!Q153+multiple_regression!$R$16*dummy_variables!R153+multiple_regression!$R$17*dummy_variables!S153+multiple_regression!$R$18*dummy_variables!T153</f>
        <v>716691.952248289</v>
      </c>
      <c r="G155" s="0" t="n">
        <f aca="false">E155-F155</f>
        <v>9156.03775171074</v>
      </c>
      <c r="H155" s="0" t="n">
        <f aca="false">ABS(G155)</f>
        <v>9156.03775171074</v>
      </c>
    </row>
    <row r="156" customFormat="false" ht="15" hidden="false" customHeight="false" outlineLevel="0" collapsed="false">
      <c r="A156" s="0" t="str">
        <f aca="false">dummy_variables!A154</f>
        <v>STR-1039</v>
      </c>
      <c r="B156" s="0" t="str">
        <f aca="false">dummy_variables!B154</f>
        <v>2025-01-01</v>
      </c>
      <c r="C156" s="0" t="str">
        <f aca="false">dummy_variables!C154</f>
        <v>East</v>
      </c>
      <c r="D156" s="0" t="str">
        <f aca="false">dummy_variables!D154</f>
        <v>High Street</v>
      </c>
      <c r="E156" s="0" t="n">
        <f aca="false">dummy_variables!M154</f>
        <v>785028.25</v>
      </c>
      <c r="F156" s="0" t="n">
        <f aca="false">multiple_regression!$R$5+multiple_regression!$R$6*dummy_variables!E154+multiple_regression!$R$7*dummy_variables!F154+multiple_regression!$R$8*dummy_variables!G154+multiple_regression!$R$9*dummy_variables!I154+multiple_regression!$R$10*dummy_variables!J154+multiple_regression!$R$11*dummy_variables!K154+multiple_regression!$R$12*dummy_variables!L154+multiple_regression!$R$13*dummy_variables!O154+multiple_regression!$R$14*dummy_variables!P154+multiple_regression!$R$15*dummy_variables!Q154+multiple_regression!$R$16*dummy_variables!R154+multiple_regression!$R$17*dummy_variables!S154+multiple_regression!$R$18*dummy_variables!T154</f>
        <v>808863.401682282</v>
      </c>
      <c r="G156" s="0" t="n">
        <f aca="false">E156-F156</f>
        <v>-23835.1516822822</v>
      </c>
      <c r="H156" s="0" t="n">
        <f aca="false">ABS(G156)</f>
        <v>23835.1516822822</v>
      </c>
    </row>
    <row r="157" customFormat="false" ht="15" hidden="false" customHeight="false" outlineLevel="0" collapsed="false">
      <c r="A157" s="0" t="str">
        <f aca="false">dummy_variables!A155</f>
        <v>STR-1039</v>
      </c>
      <c r="B157" s="0" t="str">
        <f aca="false">dummy_variables!B155</f>
        <v>2025-02-01</v>
      </c>
      <c r="C157" s="0" t="str">
        <f aca="false">dummy_variables!C155</f>
        <v>East</v>
      </c>
      <c r="D157" s="0" t="str">
        <f aca="false">dummy_variables!D155</f>
        <v>High Street</v>
      </c>
      <c r="E157" s="0" t="n">
        <f aca="false">dummy_variables!M155</f>
        <v>698492.67</v>
      </c>
      <c r="F157" s="0" t="n">
        <f aca="false">multiple_regression!$R$5+multiple_regression!$R$6*dummy_variables!E155+multiple_regression!$R$7*dummy_variables!F155+multiple_regression!$R$8*dummy_variables!G155+multiple_regression!$R$9*dummy_variables!I155+multiple_regression!$R$10*dummy_variables!J155+multiple_regression!$R$11*dummy_variables!K155+multiple_regression!$R$12*dummy_variables!L155+multiple_regression!$R$13*dummy_variables!O155+multiple_regression!$R$14*dummy_variables!P155+multiple_regression!$R$15*dummy_variables!Q155+multiple_regression!$R$16*dummy_variables!R155+multiple_regression!$R$17*dummy_variables!S155+multiple_regression!$R$18*dummy_variables!T155</f>
        <v>687490.783329639</v>
      </c>
      <c r="G157" s="0" t="n">
        <f aca="false">E157-F157</f>
        <v>11001.8866703607</v>
      </c>
      <c r="H157" s="0" t="n">
        <f aca="false">ABS(G157)</f>
        <v>11001.8866703607</v>
      </c>
    </row>
    <row r="158" customFormat="false" ht="15" hidden="false" customHeight="false" outlineLevel="0" collapsed="false">
      <c r="A158" s="0" t="str">
        <f aca="false">dummy_variables!A156</f>
        <v>STR-1039</v>
      </c>
      <c r="B158" s="0" t="str">
        <f aca="false">dummy_variables!B156</f>
        <v>2025-03-01</v>
      </c>
      <c r="C158" s="0" t="str">
        <f aca="false">dummy_variables!C156</f>
        <v>East</v>
      </c>
      <c r="D158" s="0" t="str">
        <f aca="false">dummy_variables!D156</f>
        <v>High Street</v>
      </c>
      <c r="E158" s="0" t="n">
        <f aca="false">dummy_variables!M156</f>
        <v>685830.24</v>
      </c>
      <c r="F158" s="0" t="n">
        <f aca="false">multiple_regression!$R$5+multiple_regression!$R$6*dummy_variables!E156+multiple_regression!$R$7*dummy_variables!F156+multiple_regression!$R$8*dummy_variables!G156+multiple_regression!$R$9*dummy_variables!I156+multiple_regression!$R$10*dummy_variables!J156+multiple_regression!$R$11*dummy_variables!K156+multiple_regression!$R$12*dummy_variables!L156+multiple_regression!$R$13*dummy_variables!O156+multiple_regression!$R$14*dummy_variables!P156+multiple_regression!$R$15*dummy_variables!Q156+multiple_regression!$R$16*dummy_variables!R156+multiple_regression!$R$17*dummy_variables!S156+multiple_regression!$R$18*dummy_variables!T156</f>
        <v>727265.857772678</v>
      </c>
      <c r="G158" s="0" t="n">
        <f aca="false">E158-F158</f>
        <v>-41435.6177726781</v>
      </c>
      <c r="H158" s="0" t="n">
        <f aca="false">ABS(G158)</f>
        <v>41435.6177726781</v>
      </c>
    </row>
    <row r="159" customFormat="false" ht="15" hidden="false" customHeight="false" outlineLevel="0" collapsed="false">
      <c r="A159" s="0" t="str">
        <f aca="false">dummy_variables!A157</f>
        <v>STR-1039</v>
      </c>
      <c r="B159" s="0" t="str">
        <f aca="false">dummy_variables!B157</f>
        <v>2025-04-01</v>
      </c>
      <c r="C159" s="0" t="str">
        <f aca="false">dummy_variables!C157</f>
        <v>East</v>
      </c>
      <c r="D159" s="0" t="str">
        <f aca="false">dummy_variables!D157</f>
        <v>High Street</v>
      </c>
      <c r="E159" s="0" t="n">
        <f aca="false">dummy_variables!M157</f>
        <v>702318.94</v>
      </c>
      <c r="F159" s="0" t="n">
        <f aca="false">multiple_regression!$R$5+multiple_regression!$R$6*dummy_variables!E157+multiple_regression!$R$7*dummy_variables!F157+multiple_regression!$R$8*dummy_variables!G157+multiple_regression!$R$9*dummy_variables!I157+multiple_regression!$R$10*dummy_variables!J157+multiple_regression!$R$11*dummy_variables!K157+multiple_regression!$R$12*dummy_variables!L157+multiple_regression!$R$13*dummy_variables!O157+multiple_regression!$R$14*dummy_variables!P157+multiple_regression!$R$15*dummy_variables!Q157+multiple_regression!$R$16*dummy_variables!R157+multiple_regression!$R$17*dummy_variables!S157+multiple_regression!$R$18*dummy_variables!T157</f>
        <v>709553.148013341</v>
      </c>
      <c r="G159" s="0" t="n">
        <f aca="false">E159-F159</f>
        <v>-7234.20801334071</v>
      </c>
      <c r="H159" s="0" t="n">
        <f aca="false">ABS(G159)</f>
        <v>7234.20801334071</v>
      </c>
    </row>
    <row r="160" customFormat="false" ht="15" hidden="false" customHeight="false" outlineLevel="0" collapsed="false">
      <c r="A160" s="0" t="str">
        <f aca="false">dummy_variables!A158</f>
        <v>STR-1040</v>
      </c>
      <c r="B160" s="0" t="str">
        <f aca="false">dummy_variables!B158</f>
        <v>2025-01-01</v>
      </c>
      <c r="C160" s="0" t="str">
        <f aca="false">dummy_variables!C158</f>
        <v>North</v>
      </c>
      <c r="D160" s="0" t="str">
        <f aca="false">dummy_variables!D158</f>
        <v>Mall</v>
      </c>
      <c r="E160" s="0" t="n">
        <f aca="false">dummy_variables!M158</f>
        <v>700078.32</v>
      </c>
      <c r="F160" s="0" t="n">
        <f aca="false">multiple_regression!$R$5+multiple_regression!$R$6*dummy_variables!E158+multiple_regression!$R$7*dummy_variables!F158+multiple_regression!$R$8*dummy_variables!G158+multiple_regression!$R$9*dummy_variables!I158+multiple_regression!$R$10*dummy_variables!J158+multiple_regression!$R$11*dummy_variables!K158+multiple_regression!$R$12*dummy_variables!L158+multiple_regression!$R$13*dummy_variables!O158+multiple_regression!$R$14*dummy_variables!P158+multiple_regression!$R$15*dummy_variables!Q158+multiple_regression!$R$16*dummy_variables!R158+multiple_regression!$R$17*dummy_variables!S158+multiple_regression!$R$18*dummy_variables!T158</f>
        <v>720020.982017347</v>
      </c>
      <c r="G160" s="0" t="n">
        <f aca="false">E160-F160</f>
        <v>-19942.6620173471</v>
      </c>
      <c r="H160" s="0" t="n">
        <f aca="false">ABS(G160)</f>
        <v>19942.6620173471</v>
      </c>
    </row>
    <row r="161" customFormat="false" ht="15" hidden="false" customHeight="false" outlineLevel="0" collapsed="false">
      <c r="A161" s="0" t="str">
        <f aca="false">dummy_variables!A159</f>
        <v>STR-1040</v>
      </c>
      <c r="B161" s="0" t="str">
        <f aca="false">dummy_variables!B159</f>
        <v>2025-02-01</v>
      </c>
      <c r="C161" s="0" t="str">
        <f aca="false">dummy_variables!C159</f>
        <v>North</v>
      </c>
      <c r="D161" s="0" t="str">
        <f aca="false">dummy_variables!D159</f>
        <v>Mall</v>
      </c>
      <c r="E161" s="0" t="n">
        <f aca="false">dummy_variables!M159</f>
        <v>602002.32</v>
      </c>
      <c r="F161" s="0" t="n">
        <f aca="false">multiple_regression!$R$5+multiple_regression!$R$6*dummy_variables!E159+multiple_regression!$R$7*dummy_variables!F159+multiple_regression!$R$8*dummy_variables!G159+multiple_regression!$R$9*dummy_variables!I159+multiple_regression!$R$10*dummy_variables!J159+multiple_regression!$R$11*dummy_variables!K159+multiple_regression!$R$12*dummy_variables!L159+multiple_regression!$R$13*dummy_variables!O159+multiple_regression!$R$14*dummy_variables!P159+multiple_regression!$R$15*dummy_variables!Q159+multiple_regression!$R$16*dummy_variables!R159+multiple_regression!$R$17*dummy_variables!S159+multiple_regression!$R$18*dummy_variables!T159</f>
        <v>620112.894578651</v>
      </c>
      <c r="G161" s="0" t="n">
        <f aca="false">E161-F161</f>
        <v>-18110.5745786508</v>
      </c>
      <c r="H161" s="0" t="n">
        <f aca="false">ABS(G161)</f>
        <v>18110.5745786508</v>
      </c>
    </row>
    <row r="162" customFormat="false" ht="15" hidden="false" customHeight="false" outlineLevel="0" collapsed="false">
      <c r="A162" s="0" t="str">
        <f aca="false">dummy_variables!A160</f>
        <v>STR-1040</v>
      </c>
      <c r="B162" s="0" t="str">
        <f aca="false">dummy_variables!B160</f>
        <v>2025-03-01</v>
      </c>
      <c r="C162" s="0" t="str">
        <f aca="false">dummy_variables!C160</f>
        <v>North</v>
      </c>
      <c r="D162" s="0" t="str">
        <f aca="false">dummy_variables!D160</f>
        <v>Mall</v>
      </c>
      <c r="E162" s="0" t="n">
        <f aca="false">dummy_variables!M160</f>
        <v>724216.07</v>
      </c>
      <c r="F162" s="0" t="n">
        <f aca="false">multiple_regression!$R$5+multiple_regression!$R$6*dummy_variables!E160+multiple_regression!$R$7*dummy_variables!F160+multiple_regression!$R$8*dummy_variables!G160+multiple_regression!$R$9*dummy_variables!I160+multiple_regression!$R$10*dummy_variables!J160+multiple_regression!$R$11*dummy_variables!K160+multiple_regression!$R$12*dummy_variables!L160+multiple_regression!$R$13*dummy_variables!O160+multiple_regression!$R$14*dummy_variables!P160+multiple_regression!$R$15*dummy_variables!Q160+multiple_regression!$R$16*dummy_variables!R160+multiple_regression!$R$17*dummy_variables!S160+multiple_regression!$R$18*dummy_variables!T160</f>
        <v>670041.044910958</v>
      </c>
      <c r="G162" s="0" t="n">
        <f aca="false">E162-F162</f>
        <v>54175.0250890419</v>
      </c>
      <c r="H162" s="0" t="n">
        <f aca="false">ABS(G162)</f>
        <v>54175.0250890419</v>
      </c>
    </row>
    <row r="163" customFormat="false" ht="15" hidden="false" customHeight="false" outlineLevel="0" collapsed="false">
      <c r="A163" s="0" t="str">
        <f aca="false">dummy_variables!A161</f>
        <v>STR-1040</v>
      </c>
      <c r="B163" s="0" t="str">
        <f aca="false">dummy_variables!B161</f>
        <v>2025-04-01</v>
      </c>
      <c r="C163" s="0" t="str">
        <f aca="false">dummy_variables!C161</f>
        <v>North</v>
      </c>
      <c r="D163" s="0" t="str">
        <f aca="false">dummy_variables!D161</f>
        <v>Mall</v>
      </c>
      <c r="E163" s="0" t="n">
        <f aca="false">dummy_variables!M161</f>
        <v>620973.03</v>
      </c>
      <c r="F163" s="0" t="n">
        <f aca="false">multiple_regression!$R$5+multiple_regression!$R$6*dummy_variables!E161+multiple_regression!$R$7*dummy_variables!F161+multiple_regression!$R$8*dummy_variables!G161+multiple_regression!$R$9*dummy_variables!I161+multiple_regression!$R$10*dummy_variables!J161+multiple_regression!$R$11*dummy_variables!K161+multiple_regression!$R$12*dummy_variables!L161+multiple_regression!$R$13*dummy_variables!O161+multiple_regression!$R$14*dummy_variables!P161+multiple_regression!$R$15*dummy_variables!Q161+multiple_regression!$R$16*dummy_variables!R161+multiple_regression!$R$17*dummy_variables!S161+multiple_regression!$R$18*dummy_variables!T161</f>
        <v>559582.254469142</v>
      </c>
      <c r="G163" s="0" t="n">
        <f aca="false">E163-F163</f>
        <v>61390.7755308576</v>
      </c>
      <c r="H163" s="0" t="n">
        <f aca="false">ABS(G163)</f>
        <v>61390.7755308576</v>
      </c>
    </row>
    <row r="164" customFormat="false" ht="15" hidden="false" customHeight="false" outlineLevel="0" collapsed="false">
      <c r="A164" s="0" t="str">
        <f aca="false">dummy_variables!A162</f>
        <v>STR-1041</v>
      </c>
      <c r="B164" s="0" t="str">
        <f aca="false">dummy_variables!B162</f>
        <v>2025-01-01</v>
      </c>
      <c r="C164" s="0" t="str">
        <f aca="false">dummy_variables!C162</f>
        <v>South</v>
      </c>
      <c r="D164" s="0" t="str">
        <f aca="false">dummy_variables!D162</f>
        <v>High Street</v>
      </c>
      <c r="E164" s="0" t="n">
        <f aca="false">dummy_variables!M162</f>
        <v>650480.06</v>
      </c>
      <c r="F164" s="0" t="n">
        <f aca="false">multiple_regression!$R$5+multiple_regression!$R$6*dummy_variables!E162+multiple_regression!$R$7*dummy_variables!F162+multiple_regression!$R$8*dummy_variables!G162+multiple_regression!$R$9*dummy_variables!I162+multiple_regression!$R$10*dummy_variables!J162+multiple_regression!$R$11*dummy_variables!K162+multiple_regression!$R$12*dummy_variables!L162+multiple_regression!$R$13*dummy_variables!O162+multiple_regression!$R$14*dummy_variables!P162+multiple_regression!$R$15*dummy_variables!Q162+multiple_regression!$R$16*dummy_variables!R162+multiple_regression!$R$17*dummy_variables!S162+multiple_regression!$R$18*dummy_variables!T162</f>
        <v>703882.668533278</v>
      </c>
      <c r="G164" s="0" t="n">
        <f aca="false">E164-F164</f>
        <v>-53402.6085332778</v>
      </c>
      <c r="H164" s="0" t="n">
        <f aca="false">ABS(G164)</f>
        <v>53402.6085332778</v>
      </c>
    </row>
    <row r="165" customFormat="false" ht="15" hidden="false" customHeight="false" outlineLevel="0" collapsed="false">
      <c r="A165" s="0" t="str">
        <f aca="false">dummy_variables!A163</f>
        <v>STR-1041</v>
      </c>
      <c r="B165" s="0" t="str">
        <f aca="false">dummy_variables!B163</f>
        <v>2025-02-01</v>
      </c>
      <c r="C165" s="0" t="str">
        <f aca="false">dummy_variables!C163</f>
        <v>South</v>
      </c>
      <c r="D165" s="0" t="str">
        <f aca="false">dummy_variables!D163</f>
        <v>High Street</v>
      </c>
      <c r="E165" s="0" t="n">
        <f aca="false">dummy_variables!M163</f>
        <v>778298.88</v>
      </c>
      <c r="F165" s="0" t="n">
        <f aca="false">multiple_regression!$R$5+multiple_regression!$R$6*dummy_variables!E163+multiple_regression!$R$7*dummy_variables!F163+multiple_regression!$R$8*dummy_variables!G163+multiple_regression!$R$9*dummy_variables!I163+multiple_regression!$R$10*dummy_variables!J163+multiple_regression!$R$11*dummy_variables!K163+multiple_regression!$R$12*dummy_variables!L163+multiple_regression!$R$13*dummy_variables!O163+multiple_regression!$R$14*dummy_variables!P163+multiple_regression!$R$15*dummy_variables!Q163+multiple_regression!$R$16*dummy_variables!R163+multiple_regression!$R$17*dummy_variables!S163+multiple_regression!$R$18*dummy_variables!T163</f>
        <v>706174.301086535</v>
      </c>
      <c r="G165" s="0" t="n">
        <f aca="false">E165-F165</f>
        <v>72124.5789134651</v>
      </c>
      <c r="H165" s="0" t="n">
        <f aca="false">ABS(G165)</f>
        <v>72124.5789134651</v>
      </c>
    </row>
    <row r="166" customFormat="false" ht="15" hidden="false" customHeight="false" outlineLevel="0" collapsed="false">
      <c r="A166" s="0" t="str">
        <f aca="false">dummy_variables!A164</f>
        <v>STR-1041</v>
      </c>
      <c r="B166" s="0" t="str">
        <f aca="false">dummy_variables!B164</f>
        <v>2025-03-01</v>
      </c>
      <c r="C166" s="0" t="str">
        <f aca="false">dummy_variables!C164</f>
        <v>South</v>
      </c>
      <c r="D166" s="0" t="str">
        <f aca="false">dummy_variables!D164</f>
        <v>High Street</v>
      </c>
      <c r="E166" s="0" t="n">
        <f aca="false">dummy_variables!M164</f>
        <v>677096.71</v>
      </c>
      <c r="F166" s="0" t="n">
        <f aca="false">multiple_regression!$R$5+multiple_regression!$R$6*dummy_variables!E164+multiple_regression!$R$7*dummy_variables!F164+multiple_regression!$R$8*dummy_variables!G164+multiple_regression!$R$9*dummy_variables!I164+multiple_regression!$R$10*dummy_variables!J164+multiple_regression!$R$11*dummy_variables!K164+multiple_regression!$R$12*dummy_variables!L164+multiple_regression!$R$13*dummy_variables!O164+multiple_regression!$R$14*dummy_variables!P164+multiple_regression!$R$15*dummy_variables!Q164+multiple_regression!$R$16*dummy_variables!R164+multiple_regression!$R$17*dummy_variables!S164+multiple_regression!$R$18*dummy_variables!T164</f>
        <v>694207.308889946</v>
      </c>
      <c r="G166" s="0" t="n">
        <f aca="false">E166-F166</f>
        <v>-17110.5988899459</v>
      </c>
      <c r="H166" s="0" t="n">
        <f aca="false">ABS(G166)</f>
        <v>17110.5988899459</v>
      </c>
    </row>
    <row r="167" customFormat="false" ht="15" hidden="false" customHeight="false" outlineLevel="0" collapsed="false">
      <c r="A167" s="0" t="str">
        <f aca="false">dummy_variables!A165</f>
        <v>STR-1041</v>
      </c>
      <c r="B167" s="0" t="str">
        <f aca="false">dummy_variables!B165</f>
        <v>2025-04-01</v>
      </c>
      <c r="C167" s="0" t="str">
        <f aca="false">dummy_variables!C165</f>
        <v>South</v>
      </c>
      <c r="D167" s="0" t="str">
        <f aca="false">dummy_variables!D165</f>
        <v>High Street</v>
      </c>
      <c r="E167" s="0" t="n">
        <f aca="false">dummy_variables!M165</f>
        <v>692008.64</v>
      </c>
      <c r="F167" s="0" t="n">
        <f aca="false">multiple_regression!$R$5+multiple_regression!$R$6*dummy_variables!E165+multiple_regression!$R$7*dummy_variables!F165+multiple_regression!$R$8*dummy_variables!G165+multiple_regression!$R$9*dummy_variables!I165+multiple_regression!$R$10*dummy_variables!J165+multiple_regression!$R$11*dummy_variables!K165+multiple_regression!$R$12*dummy_variables!L165+multiple_regression!$R$13*dummy_variables!O165+multiple_regression!$R$14*dummy_variables!P165+multiple_regression!$R$15*dummy_variables!Q165+multiple_regression!$R$16*dummy_variables!R165+multiple_regression!$R$17*dummy_variables!S165+multiple_regression!$R$18*dummy_variables!T165</f>
        <v>718197.043326269</v>
      </c>
      <c r="G167" s="0" t="n">
        <f aca="false">E167-F167</f>
        <v>-26188.4033262687</v>
      </c>
      <c r="H167" s="0" t="n">
        <f aca="false">ABS(G167)</f>
        <v>26188.4033262687</v>
      </c>
    </row>
    <row r="168" customFormat="false" ht="15" hidden="false" customHeight="false" outlineLevel="0" collapsed="false">
      <c r="A168" s="0" t="str">
        <f aca="false">dummy_variables!A166</f>
        <v>STR-1042</v>
      </c>
      <c r="B168" s="0" t="str">
        <f aca="false">dummy_variables!B166</f>
        <v>2025-01-01</v>
      </c>
      <c r="C168" s="0" t="str">
        <f aca="false">dummy_variables!C166</f>
        <v>North</v>
      </c>
      <c r="D168" s="0" t="str">
        <f aca="false">dummy_variables!D166</f>
        <v>Mall</v>
      </c>
      <c r="E168" s="0" t="n">
        <f aca="false">dummy_variables!M166</f>
        <v>825797.91</v>
      </c>
      <c r="F168" s="0" t="n">
        <f aca="false">multiple_regression!$R$5+multiple_regression!$R$6*dummy_variables!E166+multiple_regression!$R$7*dummy_variables!F166+multiple_regression!$R$8*dummy_variables!G166+multiple_regression!$R$9*dummy_variables!I166+multiple_regression!$R$10*dummy_variables!J166+multiple_regression!$R$11*dummy_variables!K166+multiple_regression!$R$12*dummy_variables!L166+multiple_regression!$R$13*dummy_variables!O166+multiple_regression!$R$14*dummy_variables!P166+multiple_regression!$R$15*dummy_variables!Q166+multiple_regression!$R$16*dummy_variables!R166+multiple_regression!$R$17*dummy_variables!S166+multiple_regression!$R$18*dummy_variables!T166</f>
        <v>779948.724870194</v>
      </c>
      <c r="G168" s="0" t="n">
        <f aca="false">E168-F168</f>
        <v>45849.1851298058</v>
      </c>
      <c r="H168" s="0" t="n">
        <f aca="false">ABS(G168)</f>
        <v>45849.1851298058</v>
      </c>
    </row>
    <row r="169" customFormat="false" ht="15" hidden="false" customHeight="false" outlineLevel="0" collapsed="false">
      <c r="A169" s="0" t="str">
        <f aca="false">dummy_variables!A167</f>
        <v>STR-1042</v>
      </c>
      <c r="B169" s="0" t="str">
        <f aca="false">dummy_variables!B167</f>
        <v>2025-02-01</v>
      </c>
      <c r="C169" s="0" t="str">
        <f aca="false">dummy_variables!C167</f>
        <v>North</v>
      </c>
      <c r="D169" s="0" t="str">
        <f aca="false">dummy_variables!D167</f>
        <v>Mall</v>
      </c>
      <c r="E169" s="0" t="n">
        <f aca="false">dummy_variables!M167</f>
        <v>706285.52</v>
      </c>
      <c r="F169" s="0" t="n">
        <f aca="false">multiple_regression!$R$5+multiple_regression!$R$6*dummy_variables!E167+multiple_regression!$R$7*dummy_variables!F167+multiple_regression!$R$8*dummy_variables!G167+multiple_regression!$R$9*dummy_variables!I167+multiple_regression!$R$10*dummy_variables!J167+multiple_regression!$R$11*dummy_variables!K167+multiple_regression!$R$12*dummy_variables!L167+multiple_regression!$R$13*dummy_variables!O167+multiple_regression!$R$14*dummy_variables!P167+multiple_regression!$R$15*dummy_variables!Q167+multiple_regression!$R$16*dummy_variables!R167+multiple_regression!$R$17*dummy_variables!S167+multiple_regression!$R$18*dummy_variables!T167</f>
        <v>718765.685165596</v>
      </c>
      <c r="G169" s="0" t="n">
        <f aca="false">E169-F169</f>
        <v>-12480.1651655964</v>
      </c>
      <c r="H169" s="0" t="n">
        <f aca="false">ABS(G169)</f>
        <v>12480.1651655964</v>
      </c>
    </row>
    <row r="170" customFormat="false" ht="15" hidden="false" customHeight="false" outlineLevel="0" collapsed="false">
      <c r="A170" s="0" t="str">
        <f aca="false">dummy_variables!A168</f>
        <v>STR-1042</v>
      </c>
      <c r="B170" s="0" t="str">
        <f aca="false">dummy_variables!B168</f>
        <v>2025-03-01</v>
      </c>
      <c r="C170" s="0" t="str">
        <f aca="false">dummy_variables!C168</f>
        <v>North</v>
      </c>
      <c r="D170" s="0" t="str">
        <f aca="false">dummy_variables!D168</f>
        <v>Mall</v>
      </c>
      <c r="E170" s="0" t="n">
        <f aca="false">dummy_variables!M168</f>
        <v>665534.7</v>
      </c>
      <c r="F170" s="0" t="n">
        <f aca="false">multiple_regression!$R$5+multiple_regression!$R$6*dummy_variables!E168+multiple_regression!$R$7*dummy_variables!F168+multiple_regression!$R$8*dummy_variables!G168+multiple_regression!$R$9*dummy_variables!I168+multiple_regression!$R$10*dummy_variables!J168+multiple_regression!$R$11*dummy_variables!K168+multiple_regression!$R$12*dummy_variables!L168+multiple_regression!$R$13*dummy_variables!O168+multiple_regression!$R$14*dummy_variables!P168+multiple_regression!$R$15*dummy_variables!Q168+multiple_regression!$R$16*dummy_variables!R168+multiple_regression!$R$17*dummy_variables!S168+multiple_regression!$R$18*dummy_variables!T168</f>
        <v>681793.358182129</v>
      </c>
      <c r="G170" s="0" t="n">
        <f aca="false">E170-F170</f>
        <v>-16258.6581821288</v>
      </c>
      <c r="H170" s="0" t="n">
        <f aca="false">ABS(G170)</f>
        <v>16258.6581821288</v>
      </c>
    </row>
    <row r="171" customFormat="false" ht="15" hidden="false" customHeight="false" outlineLevel="0" collapsed="false">
      <c r="A171" s="0" t="str">
        <f aca="false">dummy_variables!A169</f>
        <v>STR-1042</v>
      </c>
      <c r="B171" s="0" t="str">
        <f aca="false">dummy_variables!B169</f>
        <v>2025-04-01</v>
      </c>
      <c r="C171" s="0" t="str">
        <f aca="false">dummy_variables!C169</f>
        <v>North</v>
      </c>
      <c r="D171" s="0" t="str">
        <f aca="false">dummy_variables!D169</f>
        <v>Mall</v>
      </c>
      <c r="E171" s="0" t="n">
        <f aca="false">dummy_variables!M169</f>
        <v>820729.29</v>
      </c>
      <c r="F171" s="0" t="n">
        <f aca="false">multiple_regression!$R$5+multiple_regression!$R$6*dummy_variables!E169+multiple_regression!$R$7*dummy_variables!F169+multiple_regression!$R$8*dummy_variables!G169+multiple_regression!$R$9*dummy_variables!I169+multiple_regression!$R$10*dummy_variables!J169+multiple_regression!$R$11*dummy_variables!K169+multiple_regression!$R$12*dummy_variables!L169+multiple_regression!$R$13*dummy_variables!O169+multiple_regression!$R$14*dummy_variables!P169+multiple_regression!$R$15*dummy_variables!Q169+multiple_regression!$R$16*dummy_variables!R169+multiple_regression!$R$17*dummy_variables!S169+multiple_regression!$R$18*dummy_variables!T169</f>
        <v>806958.37592463</v>
      </c>
      <c r="G171" s="0" t="n">
        <f aca="false">E171-F171</f>
        <v>13770.9140753705</v>
      </c>
      <c r="H171" s="0" t="n">
        <f aca="false">ABS(G171)</f>
        <v>13770.9140753705</v>
      </c>
    </row>
    <row r="172" customFormat="false" ht="15" hidden="false" customHeight="false" outlineLevel="0" collapsed="false">
      <c r="A172" s="0" t="str">
        <f aca="false">dummy_variables!A170</f>
        <v>STR-1043</v>
      </c>
      <c r="B172" s="0" t="str">
        <f aca="false">dummy_variables!B170</f>
        <v>2025-01-01</v>
      </c>
      <c r="C172" s="0" t="str">
        <f aca="false">dummy_variables!C170</f>
        <v>East</v>
      </c>
      <c r="D172" s="0" t="str">
        <f aca="false">dummy_variables!D170</f>
        <v>Residential</v>
      </c>
      <c r="E172" s="0" t="n">
        <f aca="false">dummy_variables!M170</f>
        <v>739831.73</v>
      </c>
      <c r="F172" s="0" t="n">
        <f aca="false">multiple_regression!$R$5+multiple_regression!$R$6*dummy_variables!E170+multiple_regression!$R$7*dummy_variables!F170+multiple_regression!$R$8*dummy_variables!G170+multiple_regression!$R$9*dummy_variables!I170+multiple_regression!$R$10*dummy_variables!J170+multiple_regression!$R$11*dummy_variables!K170+multiple_regression!$R$12*dummy_variables!L170+multiple_regression!$R$13*dummy_variables!O170+multiple_regression!$R$14*dummy_variables!P170+multiple_regression!$R$15*dummy_variables!Q170+multiple_regression!$R$16*dummy_variables!R170+multiple_regression!$R$17*dummy_variables!S170+multiple_regression!$R$18*dummy_variables!T170</f>
        <v>728927.774618768</v>
      </c>
      <c r="G172" s="0" t="n">
        <f aca="false">E172-F172</f>
        <v>10903.955381232</v>
      </c>
      <c r="H172" s="0" t="n">
        <f aca="false">ABS(G172)</f>
        <v>10903.955381232</v>
      </c>
    </row>
    <row r="173" customFormat="false" ht="15" hidden="false" customHeight="false" outlineLevel="0" collapsed="false">
      <c r="A173" s="0" t="str">
        <f aca="false">dummy_variables!A171</f>
        <v>STR-1043</v>
      </c>
      <c r="B173" s="0" t="str">
        <f aca="false">dummy_variables!B171</f>
        <v>2025-02-01</v>
      </c>
      <c r="C173" s="0" t="str">
        <f aca="false">dummy_variables!C171</f>
        <v>East</v>
      </c>
      <c r="D173" s="0" t="str">
        <f aca="false">dummy_variables!D171</f>
        <v>Residential</v>
      </c>
      <c r="E173" s="0" t="n">
        <f aca="false">dummy_variables!M171</f>
        <v>593637.14</v>
      </c>
      <c r="F173" s="0" t="n">
        <f aca="false">multiple_regression!$R$5+multiple_regression!$R$6*dummy_variables!E171+multiple_regression!$R$7*dummy_variables!F171+multiple_regression!$R$8*dummy_variables!G171+multiple_regression!$R$9*dummy_variables!I171+multiple_regression!$R$10*dummy_variables!J171+multiple_regression!$R$11*dummy_variables!K171+multiple_regression!$R$12*dummy_variables!L171+multiple_regression!$R$13*dummy_variables!O171+multiple_regression!$R$14*dummy_variables!P171+multiple_regression!$R$15*dummy_variables!Q171+multiple_regression!$R$16*dummy_variables!R171+multiple_regression!$R$17*dummy_variables!S171+multiple_regression!$R$18*dummy_variables!T171</f>
        <v>656575.911598994</v>
      </c>
      <c r="G173" s="0" t="n">
        <f aca="false">E173-F173</f>
        <v>-62938.7715989943</v>
      </c>
      <c r="H173" s="0" t="n">
        <f aca="false">ABS(G173)</f>
        <v>62938.7715989943</v>
      </c>
    </row>
    <row r="174" customFormat="false" ht="15" hidden="false" customHeight="false" outlineLevel="0" collapsed="false">
      <c r="A174" s="0" t="str">
        <f aca="false">dummy_variables!A172</f>
        <v>STR-1043</v>
      </c>
      <c r="B174" s="0" t="str">
        <f aca="false">dummy_variables!B172</f>
        <v>2025-03-01</v>
      </c>
      <c r="C174" s="0" t="str">
        <f aca="false">dummy_variables!C172</f>
        <v>East</v>
      </c>
      <c r="D174" s="0" t="str">
        <f aca="false">dummy_variables!D172</f>
        <v>Residential</v>
      </c>
      <c r="E174" s="0" t="n">
        <f aca="false">dummy_variables!M172</f>
        <v>769702.76</v>
      </c>
      <c r="F174" s="0" t="n">
        <f aca="false">multiple_regression!$R$5+multiple_regression!$R$6*dummy_variables!E172+multiple_regression!$R$7*dummy_variables!F172+multiple_regression!$R$8*dummy_variables!G172+multiple_regression!$R$9*dummy_variables!I172+multiple_regression!$R$10*dummy_variables!J172+multiple_regression!$R$11*dummy_variables!K172+multiple_regression!$R$12*dummy_variables!L172+multiple_regression!$R$13*dummy_variables!O172+multiple_regression!$R$14*dummy_variables!P172+multiple_regression!$R$15*dummy_variables!Q172+multiple_regression!$R$16*dummy_variables!R172+multiple_regression!$R$17*dummy_variables!S172+multiple_regression!$R$18*dummy_variables!T172</f>
        <v>709051.971253674</v>
      </c>
      <c r="G174" s="0" t="n">
        <f aca="false">E174-F174</f>
        <v>60650.7887463257</v>
      </c>
      <c r="H174" s="0" t="n">
        <f aca="false">ABS(G174)</f>
        <v>60650.7887463257</v>
      </c>
    </row>
    <row r="175" customFormat="false" ht="15" hidden="false" customHeight="false" outlineLevel="0" collapsed="false">
      <c r="A175" s="0" t="str">
        <f aca="false">dummy_variables!A173</f>
        <v>STR-1043</v>
      </c>
      <c r="B175" s="0" t="str">
        <f aca="false">dummy_variables!B173</f>
        <v>2025-04-01</v>
      </c>
      <c r="C175" s="0" t="str">
        <f aca="false">dummy_variables!C173</f>
        <v>East</v>
      </c>
      <c r="D175" s="0" t="str">
        <f aca="false">dummy_variables!D173</f>
        <v>Residential</v>
      </c>
      <c r="E175" s="0" t="n">
        <f aca="false">dummy_variables!M173</f>
        <v>679731.57</v>
      </c>
      <c r="F175" s="0" t="n">
        <f aca="false">multiple_regression!$R$5+multiple_regression!$R$6*dummy_variables!E173+multiple_regression!$R$7*dummy_variables!F173+multiple_regression!$R$8*dummy_variables!G173+multiple_regression!$R$9*dummy_variables!I173+multiple_regression!$R$10*dummy_variables!J173+multiple_regression!$R$11*dummy_variables!K173+multiple_regression!$R$12*dummy_variables!L173+multiple_regression!$R$13*dummy_variables!O173+multiple_regression!$R$14*dummy_variables!P173+multiple_regression!$R$15*dummy_variables!Q173+multiple_regression!$R$16*dummy_variables!R173+multiple_regression!$R$17*dummy_variables!S173+multiple_regression!$R$18*dummy_variables!T173</f>
        <v>684567.082847857</v>
      </c>
      <c r="G175" s="0" t="n">
        <f aca="false">E175-F175</f>
        <v>-4835.5128478565</v>
      </c>
      <c r="H175" s="0" t="n">
        <f aca="false">ABS(G175)</f>
        <v>4835.5128478565</v>
      </c>
    </row>
    <row r="176" customFormat="false" ht="15" hidden="false" customHeight="false" outlineLevel="0" collapsed="false">
      <c r="A176" s="0" t="str">
        <f aca="false">dummy_variables!A174</f>
        <v>STR-1044</v>
      </c>
      <c r="B176" s="0" t="str">
        <f aca="false">dummy_variables!B174</f>
        <v>2025-01-01</v>
      </c>
      <c r="C176" s="0" t="str">
        <f aca="false">dummy_variables!C174</f>
        <v>East</v>
      </c>
      <c r="D176" s="0" t="str">
        <f aca="false">dummy_variables!D174</f>
        <v>Residential</v>
      </c>
      <c r="E176" s="0" t="n">
        <f aca="false">dummy_variables!M174</f>
        <v>780344.18</v>
      </c>
      <c r="F176" s="0" t="n">
        <f aca="false">multiple_regression!$R$5+multiple_regression!$R$6*dummy_variables!E174+multiple_regression!$R$7*dummy_variables!F174+multiple_regression!$R$8*dummy_variables!G174+multiple_regression!$R$9*dummy_variables!I174+multiple_regression!$R$10*dummy_variables!J174+multiple_regression!$R$11*dummy_variables!K174+multiple_regression!$R$12*dummy_variables!L174+multiple_regression!$R$13*dummy_variables!O174+multiple_regression!$R$14*dummy_variables!P174+multiple_regression!$R$15*dummy_variables!Q174+multiple_regression!$R$16*dummy_variables!R174+multiple_regression!$R$17*dummy_variables!S174+multiple_regression!$R$18*dummy_variables!T174</f>
        <v>734231.184363783</v>
      </c>
      <c r="G176" s="0" t="n">
        <f aca="false">E176-F176</f>
        <v>46112.995636217</v>
      </c>
      <c r="H176" s="0" t="n">
        <f aca="false">ABS(G176)</f>
        <v>46112.995636217</v>
      </c>
    </row>
    <row r="177" customFormat="false" ht="15" hidden="false" customHeight="false" outlineLevel="0" collapsed="false">
      <c r="A177" s="0" t="str">
        <f aca="false">dummy_variables!A175</f>
        <v>STR-1044</v>
      </c>
      <c r="B177" s="0" t="str">
        <f aca="false">dummy_variables!B175</f>
        <v>2025-02-01</v>
      </c>
      <c r="C177" s="0" t="str">
        <f aca="false">dummy_variables!C175</f>
        <v>East</v>
      </c>
      <c r="D177" s="0" t="str">
        <f aca="false">dummy_variables!D175</f>
        <v>Residential</v>
      </c>
      <c r="E177" s="0" t="n">
        <f aca="false">dummy_variables!M175</f>
        <v>721364.11</v>
      </c>
      <c r="F177" s="0" t="n">
        <f aca="false">multiple_regression!$R$5+multiple_regression!$R$6*dummy_variables!E175+multiple_regression!$R$7*dummy_variables!F175+multiple_regression!$R$8*dummy_variables!G175+multiple_regression!$R$9*dummy_variables!I175+multiple_regression!$R$10*dummy_variables!J175+multiple_regression!$R$11*dummy_variables!K175+multiple_regression!$R$12*dummy_variables!L175+multiple_regression!$R$13*dummy_variables!O175+multiple_regression!$R$14*dummy_variables!P175+multiple_regression!$R$15*dummy_variables!Q175+multiple_regression!$R$16*dummy_variables!R175+multiple_regression!$R$17*dummy_variables!S175+multiple_regression!$R$18*dummy_variables!T175</f>
        <v>730323.33806042</v>
      </c>
      <c r="G177" s="0" t="n">
        <f aca="false">E177-F177</f>
        <v>-8959.22806042037</v>
      </c>
      <c r="H177" s="0" t="n">
        <f aca="false">ABS(G177)</f>
        <v>8959.22806042037</v>
      </c>
    </row>
    <row r="178" customFormat="false" ht="15" hidden="false" customHeight="false" outlineLevel="0" collapsed="false">
      <c r="A178" s="0" t="str">
        <f aca="false">dummy_variables!A176</f>
        <v>STR-1044</v>
      </c>
      <c r="B178" s="0" t="str">
        <f aca="false">dummy_variables!B176</f>
        <v>2025-03-01</v>
      </c>
      <c r="C178" s="0" t="str">
        <f aca="false">dummy_variables!C176</f>
        <v>East</v>
      </c>
      <c r="D178" s="0" t="str">
        <f aca="false">dummy_variables!D176</f>
        <v>Residential</v>
      </c>
      <c r="E178" s="0" t="n">
        <f aca="false">dummy_variables!M176</f>
        <v>758138.29</v>
      </c>
      <c r="F178" s="0" t="n">
        <f aca="false">multiple_regression!$R$5+multiple_regression!$R$6*dummy_variables!E176+multiple_regression!$R$7*dummy_variables!F176+multiple_regression!$R$8*dummy_variables!G176+multiple_regression!$R$9*dummy_variables!I176+multiple_regression!$R$10*dummy_variables!J176+multiple_regression!$R$11*dummy_variables!K176+multiple_regression!$R$12*dummy_variables!L176+multiple_regression!$R$13*dummy_variables!O176+multiple_regression!$R$14*dummy_variables!P176+multiple_regression!$R$15*dummy_variables!Q176+multiple_regression!$R$16*dummy_variables!R176+multiple_regression!$R$17*dummy_variables!S176+multiple_regression!$R$18*dummy_variables!T176</f>
        <v>738355.002823564</v>
      </c>
      <c r="G178" s="0" t="n">
        <f aca="false">E178-F178</f>
        <v>19783.2871764362</v>
      </c>
      <c r="H178" s="0" t="n">
        <f aca="false">ABS(G178)</f>
        <v>19783.2871764362</v>
      </c>
    </row>
    <row r="179" customFormat="false" ht="15" hidden="false" customHeight="false" outlineLevel="0" collapsed="false">
      <c r="A179" s="0" t="str">
        <f aca="false">dummy_variables!A177</f>
        <v>STR-1044</v>
      </c>
      <c r="B179" s="0" t="str">
        <f aca="false">dummy_variables!B177</f>
        <v>2025-04-01</v>
      </c>
      <c r="C179" s="0" t="str">
        <f aca="false">dummy_variables!C177</f>
        <v>East</v>
      </c>
      <c r="D179" s="0" t="str">
        <f aca="false">dummy_variables!D177</f>
        <v>Residential</v>
      </c>
      <c r="E179" s="0" t="n">
        <f aca="false">dummy_variables!M177</f>
        <v>804264</v>
      </c>
      <c r="F179" s="0" t="n">
        <f aca="false">multiple_regression!$R$5+multiple_regression!$R$6*dummy_variables!E177+multiple_regression!$R$7*dummy_variables!F177+multiple_regression!$R$8*dummy_variables!G177+multiple_regression!$R$9*dummy_variables!I177+multiple_regression!$R$10*dummy_variables!J177+multiple_regression!$R$11*dummy_variables!K177+multiple_regression!$R$12*dummy_variables!L177+multiple_regression!$R$13*dummy_variables!O177+multiple_regression!$R$14*dummy_variables!P177+multiple_regression!$R$15*dummy_variables!Q177+multiple_regression!$R$16*dummy_variables!R177+multiple_regression!$R$17*dummy_variables!S177+multiple_regression!$R$18*dummy_variables!T177</f>
        <v>796044.71846672</v>
      </c>
      <c r="G179" s="0" t="n">
        <f aca="false">E179-F179</f>
        <v>8219.28153327969</v>
      </c>
      <c r="H179" s="0" t="n">
        <f aca="false">ABS(G179)</f>
        <v>8219.28153327969</v>
      </c>
    </row>
    <row r="180" customFormat="false" ht="15" hidden="false" customHeight="false" outlineLevel="0" collapsed="false">
      <c r="A180" s="0" t="str">
        <f aca="false">dummy_variables!A178</f>
        <v>STR-1045</v>
      </c>
      <c r="B180" s="0" t="str">
        <f aca="false">dummy_variables!B178</f>
        <v>2025-01-01</v>
      </c>
      <c r="C180" s="0" t="str">
        <f aca="false">dummy_variables!C178</f>
        <v>West</v>
      </c>
      <c r="D180" s="0" t="str">
        <f aca="false">dummy_variables!D178</f>
        <v>Airport</v>
      </c>
      <c r="E180" s="0" t="n">
        <f aca="false">dummy_variables!M178</f>
        <v>887537.75</v>
      </c>
      <c r="F180" s="0" t="n">
        <f aca="false">multiple_regression!$R$5+multiple_regression!$R$6*dummy_variables!E178+multiple_regression!$R$7*dummy_variables!F178+multiple_regression!$R$8*dummy_variables!G178+multiple_regression!$R$9*dummy_variables!I178+multiple_regression!$R$10*dummy_variables!J178+multiple_regression!$R$11*dummy_variables!K178+multiple_regression!$R$12*dummy_variables!L178+multiple_regression!$R$13*dummy_variables!O178+multiple_regression!$R$14*dummy_variables!P178+multiple_regression!$R$15*dummy_variables!Q178+multiple_regression!$R$16*dummy_variables!R178+multiple_regression!$R$17*dummy_variables!S178+multiple_regression!$R$18*dummy_variables!T178</f>
        <v>907232.205392455</v>
      </c>
      <c r="G180" s="0" t="n">
        <f aca="false">E180-F180</f>
        <v>-19694.4553924548</v>
      </c>
      <c r="H180" s="0" t="n">
        <f aca="false">ABS(G180)</f>
        <v>19694.4553924548</v>
      </c>
    </row>
    <row r="181" customFormat="false" ht="15" hidden="false" customHeight="false" outlineLevel="0" collapsed="false">
      <c r="A181" s="0" t="str">
        <f aca="false">dummy_variables!A179</f>
        <v>STR-1045</v>
      </c>
      <c r="B181" s="0" t="str">
        <f aca="false">dummy_variables!B179</f>
        <v>2025-02-01</v>
      </c>
      <c r="C181" s="0" t="str">
        <f aca="false">dummy_variables!C179</f>
        <v>West</v>
      </c>
      <c r="D181" s="0" t="str">
        <f aca="false">dummy_variables!D179</f>
        <v>Airport</v>
      </c>
      <c r="E181" s="0" t="n">
        <f aca="false">dummy_variables!M179</f>
        <v>783582</v>
      </c>
      <c r="F181" s="0" t="n">
        <f aca="false">multiple_regression!$R$5+multiple_regression!$R$6*dummy_variables!E179+multiple_regression!$R$7*dummy_variables!F179+multiple_regression!$R$8*dummy_variables!G179+multiple_regression!$R$9*dummy_variables!I179+multiple_regression!$R$10*dummy_variables!J179+multiple_regression!$R$11*dummy_variables!K179+multiple_regression!$R$12*dummy_variables!L179+multiple_regression!$R$13*dummy_variables!O179+multiple_regression!$R$14*dummy_variables!P179+multiple_regression!$R$15*dummy_variables!Q179+multiple_regression!$R$16*dummy_variables!R179+multiple_regression!$R$17*dummy_variables!S179+multiple_regression!$R$18*dummy_variables!T179</f>
        <v>724368.580399738</v>
      </c>
      <c r="G181" s="0" t="n">
        <f aca="false">E181-F181</f>
        <v>59213.419600262</v>
      </c>
      <c r="H181" s="0" t="n">
        <f aca="false">ABS(G181)</f>
        <v>59213.419600262</v>
      </c>
    </row>
    <row r="182" customFormat="false" ht="15" hidden="false" customHeight="false" outlineLevel="0" collapsed="false">
      <c r="A182" s="0" t="str">
        <f aca="false">dummy_variables!A180</f>
        <v>STR-1045</v>
      </c>
      <c r="B182" s="0" t="str">
        <f aca="false">dummy_variables!B180</f>
        <v>2025-03-01</v>
      </c>
      <c r="C182" s="0" t="str">
        <f aca="false">dummy_variables!C180</f>
        <v>West</v>
      </c>
      <c r="D182" s="0" t="str">
        <f aca="false">dummy_variables!D180</f>
        <v>Airport</v>
      </c>
      <c r="E182" s="0" t="n">
        <f aca="false">dummy_variables!M180</f>
        <v>781955.52</v>
      </c>
      <c r="F182" s="0" t="n">
        <f aca="false">multiple_regression!$R$5+multiple_regression!$R$6*dummy_variables!E180+multiple_regression!$R$7*dummy_variables!F180+multiple_regression!$R$8*dummy_variables!G180+multiple_regression!$R$9*dummy_variables!I180+multiple_regression!$R$10*dummy_variables!J180+multiple_regression!$R$11*dummy_variables!K180+multiple_regression!$R$12*dummy_variables!L180+multiple_regression!$R$13*dummy_variables!O180+multiple_regression!$R$14*dummy_variables!P180+multiple_regression!$R$15*dummy_variables!Q180+multiple_regression!$R$16*dummy_variables!R180+multiple_regression!$R$17*dummy_variables!S180+multiple_regression!$R$18*dummy_variables!T180</f>
        <v>788668.49509394</v>
      </c>
      <c r="G182" s="0" t="n">
        <f aca="false">E182-F182</f>
        <v>-6712.97509393957</v>
      </c>
      <c r="H182" s="0" t="n">
        <f aca="false">ABS(G182)</f>
        <v>6712.97509393957</v>
      </c>
    </row>
    <row r="183" customFormat="false" ht="15" hidden="false" customHeight="false" outlineLevel="0" collapsed="false">
      <c r="A183" s="0" t="str">
        <f aca="false">dummy_variables!A181</f>
        <v>STR-1045</v>
      </c>
      <c r="B183" s="0" t="str">
        <f aca="false">dummy_variables!B181</f>
        <v>2025-04-01</v>
      </c>
      <c r="C183" s="0" t="str">
        <f aca="false">dummy_variables!C181</f>
        <v>West</v>
      </c>
      <c r="D183" s="0" t="str">
        <f aca="false">dummy_variables!D181</f>
        <v>Airport</v>
      </c>
      <c r="E183" s="0" t="n">
        <f aca="false">dummy_variables!M181</f>
        <v>898031.04</v>
      </c>
      <c r="F183" s="0" t="n">
        <f aca="false">multiple_regression!$R$5+multiple_regression!$R$6*dummy_variables!E181+multiple_regression!$R$7*dummy_variables!F181+multiple_regression!$R$8*dummy_variables!G181+multiple_regression!$R$9*dummy_variables!I181+multiple_regression!$R$10*dummy_variables!J181+multiple_regression!$R$11*dummy_variables!K181+multiple_regression!$R$12*dummy_variables!L181+multiple_regression!$R$13*dummy_variables!O181+multiple_regression!$R$14*dummy_variables!P181+multiple_regression!$R$15*dummy_variables!Q181+multiple_regression!$R$16*dummy_variables!R181+multiple_regression!$R$17*dummy_variables!S181+multiple_regression!$R$18*dummy_variables!T181</f>
        <v>851522.119470837</v>
      </c>
      <c r="G183" s="0" t="n">
        <f aca="false">E183-F183</f>
        <v>46508.9205291634</v>
      </c>
      <c r="H183" s="0" t="n">
        <f aca="false">ABS(G183)</f>
        <v>46508.9205291634</v>
      </c>
    </row>
    <row r="184" customFormat="false" ht="15" hidden="false" customHeight="false" outlineLevel="0" collapsed="false">
      <c r="A184" s="0" t="str">
        <f aca="false">dummy_variables!A182</f>
        <v>STR-1046</v>
      </c>
      <c r="B184" s="0" t="str">
        <f aca="false">dummy_variables!B182</f>
        <v>2025-01-01</v>
      </c>
      <c r="C184" s="0" t="str">
        <f aca="false">dummy_variables!C182</f>
        <v>West</v>
      </c>
      <c r="D184" s="0" t="str">
        <f aca="false">dummy_variables!D182</f>
        <v>Residential</v>
      </c>
      <c r="E184" s="0" t="n">
        <f aca="false">dummy_variables!M182</f>
        <v>855341.28</v>
      </c>
      <c r="F184" s="0" t="n">
        <f aca="false">multiple_regression!$R$5+multiple_regression!$R$6*dummy_variables!E182+multiple_regression!$R$7*dummy_variables!F182+multiple_regression!$R$8*dummy_variables!G182+multiple_regression!$R$9*dummy_variables!I182+multiple_regression!$R$10*dummy_variables!J182+multiple_regression!$R$11*dummy_variables!K182+multiple_regression!$R$12*dummy_variables!L182+multiple_regression!$R$13*dummy_variables!O182+multiple_regression!$R$14*dummy_variables!P182+multiple_regression!$R$15*dummy_variables!Q182+multiple_regression!$R$16*dummy_variables!R182+multiple_regression!$R$17*dummy_variables!S182+multiple_regression!$R$18*dummy_variables!T182</f>
        <v>860692.041734981</v>
      </c>
      <c r="G184" s="0" t="n">
        <f aca="false">E184-F184</f>
        <v>-5350.76173498074</v>
      </c>
      <c r="H184" s="0" t="n">
        <f aca="false">ABS(G184)</f>
        <v>5350.76173498074</v>
      </c>
    </row>
    <row r="185" customFormat="false" ht="15" hidden="false" customHeight="false" outlineLevel="0" collapsed="false">
      <c r="A185" s="0" t="str">
        <f aca="false">dummy_variables!A183</f>
        <v>STR-1046</v>
      </c>
      <c r="B185" s="0" t="str">
        <f aca="false">dummy_variables!B183</f>
        <v>2025-02-01</v>
      </c>
      <c r="C185" s="0" t="str">
        <f aca="false">dummy_variables!C183</f>
        <v>West</v>
      </c>
      <c r="D185" s="0" t="str">
        <f aca="false">dummy_variables!D183</f>
        <v>Residential</v>
      </c>
      <c r="E185" s="0" t="n">
        <f aca="false">dummy_variables!M183</f>
        <v>751393.88</v>
      </c>
      <c r="F185" s="0" t="n">
        <f aca="false">multiple_regression!$R$5+multiple_regression!$R$6*dummy_variables!E183+multiple_regression!$R$7*dummy_variables!F183+multiple_regression!$R$8*dummy_variables!G183+multiple_regression!$R$9*dummy_variables!I183+multiple_regression!$R$10*dummy_variables!J183+multiple_regression!$R$11*dummy_variables!K183+multiple_regression!$R$12*dummy_variables!L183+multiple_regression!$R$13*dummy_variables!O183+multiple_regression!$R$14*dummy_variables!P183+multiple_regression!$R$15*dummy_variables!Q183+multiple_regression!$R$16*dummy_variables!R183+multiple_regression!$R$17*dummy_variables!S183+multiple_regression!$R$18*dummy_variables!T183</f>
        <v>710471.553979619</v>
      </c>
      <c r="G185" s="0" t="n">
        <f aca="false">E185-F185</f>
        <v>40922.3260203815</v>
      </c>
      <c r="H185" s="0" t="n">
        <f aca="false">ABS(G185)</f>
        <v>40922.3260203815</v>
      </c>
    </row>
    <row r="186" customFormat="false" ht="15" hidden="false" customHeight="false" outlineLevel="0" collapsed="false">
      <c r="A186" s="0" t="str">
        <f aca="false">dummy_variables!A184</f>
        <v>STR-1046</v>
      </c>
      <c r="B186" s="0" t="str">
        <f aca="false">dummy_variables!B184</f>
        <v>2025-03-01</v>
      </c>
      <c r="C186" s="0" t="str">
        <f aca="false">dummy_variables!C184</f>
        <v>West</v>
      </c>
      <c r="D186" s="0" t="str">
        <f aca="false">dummy_variables!D184</f>
        <v>Residential</v>
      </c>
      <c r="E186" s="0" t="n">
        <f aca="false">dummy_variables!M184</f>
        <v>761077.08</v>
      </c>
      <c r="F186" s="0" t="n">
        <f aca="false">multiple_regression!$R$5+multiple_regression!$R$6*dummy_variables!E184+multiple_regression!$R$7*dummy_variables!F184+multiple_regression!$R$8*dummy_variables!G184+multiple_regression!$R$9*dummy_variables!I184+multiple_regression!$R$10*dummy_variables!J184+multiple_regression!$R$11*dummy_variables!K184+multiple_regression!$R$12*dummy_variables!L184+multiple_regression!$R$13*dummy_variables!O184+multiple_regression!$R$14*dummy_variables!P184+multiple_regression!$R$15*dummy_variables!Q184+multiple_regression!$R$16*dummy_variables!R184+multiple_regression!$R$17*dummy_variables!S184+multiple_regression!$R$18*dummy_variables!T184</f>
        <v>779836.013577099</v>
      </c>
      <c r="G186" s="0" t="n">
        <f aca="false">E186-F186</f>
        <v>-18758.9335770994</v>
      </c>
      <c r="H186" s="0" t="n">
        <f aca="false">ABS(G186)</f>
        <v>18758.9335770994</v>
      </c>
    </row>
    <row r="187" customFormat="false" ht="15" hidden="false" customHeight="false" outlineLevel="0" collapsed="false">
      <c r="A187" s="0" t="str">
        <f aca="false">dummy_variables!A185</f>
        <v>STR-1046</v>
      </c>
      <c r="B187" s="0" t="str">
        <f aca="false">dummy_variables!B185</f>
        <v>2025-04-01</v>
      </c>
      <c r="C187" s="0" t="str">
        <f aca="false">dummy_variables!C185</f>
        <v>West</v>
      </c>
      <c r="D187" s="0" t="str">
        <f aca="false">dummy_variables!D185</f>
        <v>Residential</v>
      </c>
      <c r="E187" s="0" t="n">
        <f aca="false">dummy_variables!M185</f>
        <v>819660.59</v>
      </c>
      <c r="F187" s="0" t="n">
        <f aca="false">multiple_regression!$R$5+multiple_regression!$R$6*dummy_variables!E185+multiple_regression!$R$7*dummy_variables!F185+multiple_regression!$R$8*dummy_variables!G185+multiple_regression!$R$9*dummy_variables!I185+multiple_regression!$R$10*dummy_variables!J185+multiple_regression!$R$11*dummy_variables!K185+multiple_regression!$R$12*dummy_variables!L185+multiple_regression!$R$13*dummy_variables!O185+multiple_regression!$R$14*dummy_variables!P185+multiple_regression!$R$15*dummy_variables!Q185+multiple_regression!$R$16*dummy_variables!R185+multiple_regression!$R$17*dummy_variables!S185+multiple_regression!$R$18*dummy_variables!T185</f>
        <v>813844.159456218</v>
      </c>
      <c r="G187" s="0" t="n">
        <f aca="false">E187-F187</f>
        <v>5816.43054378161</v>
      </c>
      <c r="H187" s="0" t="n">
        <f aca="false">ABS(G187)</f>
        <v>5816.43054378161</v>
      </c>
    </row>
    <row r="188" customFormat="false" ht="15" hidden="false" customHeight="false" outlineLevel="0" collapsed="false">
      <c r="A188" s="0" t="str">
        <f aca="false">dummy_variables!A186</f>
        <v>STR-1047</v>
      </c>
      <c r="B188" s="0" t="str">
        <f aca="false">dummy_variables!B186</f>
        <v>2025-01-01</v>
      </c>
      <c r="C188" s="0" t="str">
        <f aca="false">dummy_variables!C186</f>
        <v>North</v>
      </c>
      <c r="D188" s="0" t="str">
        <f aca="false">dummy_variables!D186</f>
        <v>High Street</v>
      </c>
      <c r="E188" s="0" t="n">
        <f aca="false">dummy_variables!M186</f>
        <v>681855.56</v>
      </c>
      <c r="F188" s="0" t="n">
        <f aca="false">multiple_regression!$R$5+multiple_regression!$R$6*dummy_variables!E186+multiple_regression!$R$7*dummy_variables!F186+multiple_regression!$R$8*dummy_variables!G186+multiple_regression!$R$9*dummy_variables!I186+multiple_regression!$R$10*dummy_variables!J186+multiple_regression!$R$11*dummy_variables!K186+multiple_regression!$R$12*dummy_variables!L186+multiple_regression!$R$13*dummy_variables!O186+multiple_regression!$R$14*dummy_variables!P186+multiple_regression!$R$15*dummy_variables!Q186+multiple_regression!$R$16*dummy_variables!R186+multiple_regression!$R$17*dummy_variables!S186+multiple_regression!$R$18*dummy_variables!T186</f>
        <v>710879.894796016</v>
      </c>
      <c r="G188" s="0" t="n">
        <f aca="false">E188-F188</f>
        <v>-29024.3347960154</v>
      </c>
      <c r="H188" s="0" t="n">
        <f aca="false">ABS(G188)</f>
        <v>29024.3347960154</v>
      </c>
    </row>
    <row r="189" customFormat="false" ht="15" hidden="false" customHeight="false" outlineLevel="0" collapsed="false">
      <c r="A189" s="0" t="str">
        <f aca="false">dummy_variables!A187</f>
        <v>STR-1047</v>
      </c>
      <c r="B189" s="0" t="str">
        <f aca="false">dummy_variables!B187</f>
        <v>2025-02-01</v>
      </c>
      <c r="C189" s="0" t="str">
        <f aca="false">dummy_variables!C187</f>
        <v>North</v>
      </c>
      <c r="D189" s="0" t="str">
        <f aca="false">dummy_variables!D187</f>
        <v>High Street</v>
      </c>
      <c r="E189" s="0" t="n">
        <f aca="false">dummy_variables!M187</f>
        <v>678311.17</v>
      </c>
      <c r="F189" s="0" t="n">
        <f aca="false">multiple_regression!$R$5+multiple_regression!$R$6*dummy_variables!E187+multiple_regression!$R$7*dummy_variables!F187+multiple_regression!$R$8*dummy_variables!G187+multiple_regression!$R$9*dummy_variables!I187+multiple_regression!$R$10*dummy_variables!J187+multiple_regression!$R$11*dummy_variables!K187+multiple_regression!$R$12*dummy_variables!L187+multiple_regression!$R$13*dummy_variables!O187+multiple_regression!$R$14*dummy_variables!P187+multiple_regression!$R$15*dummy_variables!Q187+multiple_regression!$R$16*dummy_variables!R187+multiple_regression!$R$17*dummy_variables!S187+multiple_regression!$R$18*dummy_variables!T187</f>
        <v>646011.994308773</v>
      </c>
      <c r="G189" s="0" t="n">
        <f aca="false">E189-F189</f>
        <v>32299.1756912267</v>
      </c>
      <c r="H189" s="0" t="n">
        <f aca="false">ABS(G189)</f>
        <v>32299.1756912267</v>
      </c>
    </row>
    <row r="190" customFormat="false" ht="15" hidden="false" customHeight="false" outlineLevel="0" collapsed="false">
      <c r="A190" s="0" t="str">
        <f aca="false">dummy_variables!A188</f>
        <v>STR-1047</v>
      </c>
      <c r="B190" s="0" t="str">
        <f aca="false">dummy_variables!B188</f>
        <v>2025-03-01</v>
      </c>
      <c r="C190" s="0" t="str">
        <f aca="false">dummy_variables!C188</f>
        <v>North</v>
      </c>
      <c r="D190" s="0" t="str">
        <f aca="false">dummy_variables!D188</f>
        <v>High Street</v>
      </c>
      <c r="E190" s="0" t="n">
        <f aca="false">dummy_variables!M188</f>
        <v>765906.95</v>
      </c>
      <c r="F190" s="0" t="n">
        <f aca="false">multiple_regression!$R$5+multiple_regression!$R$6*dummy_variables!E188+multiple_regression!$R$7*dummy_variables!F188+multiple_regression!$R$8*dummy_variables!G188+multiple_regression!$R$9*dummy_variables!I188+multiple_regression!$R$10*dummy_variables!J188+multiple_regression!$R$11*dummy_variables!K188+multiple_regression!$R$12*dummy_variables!L188+multiple_regression!$R$13*dummy_variables!O188+multiple_regression!$R$14*dummy_variables!P188+multiple_regression!$R$15*dummy_variables!Q188+multiple_regression!$R$16*dummy_variables!R188+multiple_regression!$R$17*dummy_variables!S188+multiple_regression!$R$18*dummy_variables!T188</f>
        <v>731434.050797618</v>
      </c>
      <c r="G190" s="0" t="n">
        <f aca="false">E190-F190</f>
        <v>34472.8992023818</v>
      </c>
      <c r="H190" s="0" t="n">
        <f aca="false">ABS(G190)</f>
        <v>34472.8992023818</v>
      </c>
    </row>
    <row r="191" customFormat="false" ht="15" hidden="false" customHeight="false" outlineLevel="0" collapsed="false">
      <c r="A191" s="0" t="str">
        <f aca="false">dummy_variables!A189</f>
        <v>STR-1047</v>
      </c>
      <c r="B191" s="0" t="str">
        <f aca="false">dummy_variables!B189</f>
        <v>2025-04-01</v>
      </c>
      <c r="C191" s="0" t="str">
        <f aca="false">dummy_variables!C189</f>
        <v>North</v>
      </c>
      <c r="D191" s="0" t="str">
        <f aca="false">dummy_variables!D189</f>
        <v>High Street</v>
      </c>
      <c r="E191" s="0" t="n">
        <f aca="false">dummy_variables!M189</f>
        <v>712546.38</v>
      </c>
      <c r="F191" s="0" t="n">
        <f aca="false">multiple_regression!$R$5+multiple_regression!$R$6*dummy_variables!E189+multiple_regression!$R$7*dummy_variables!F189+multiple_regression!$R$8*dummy_variables!G189+multiple_regression!$R$9*dummy_variables!I189+multiple_regression!$R$10*dummy_variables!J189+multiple_regression!$R$11*dummy_variables!K189+multiple_regression!$R$12*dummy_variables!L189+multiple_regression!$R$13*dummy_variables!O189+multiple_regression!$R$14*dummy_variables!P189+multiple_regression!$R$15*dummy_variables!Q189+multiple_regression!$R$16*dummy_variables!R189+multiple_regression!$R$17*dummy_variables!S189+multiple_regression!$R$18*dummy_variables!T189</f>
        <v>676452.860336174</v>
      </c>
      <c r="G191" s="0" t="n">
        <f aca="false">E191-F191</f>
        <v>36093.5196638264</v>
      </c>
      <c r="H191" s="0" t="n">
        <f aca="false">ABS(G191)</f>
        <v>36093.5196638264</v>
      </c>
    </row>
    <row r="192" customFormat="false" ht="15" hidden="false" customHeight="false" outlineLevel="0" collapsed="false">
      <c r="A192" s="0" t="str">
        <f aca="false">dummy_variables!A190</f>
        <v>STR-1048</v>
      </c>
      <c r="B192" s="0" t="str">
        <f aca="false">dummy_variables!B190</f>
        <v>2025-01-01</v>
      </c>
      <c r="C192" s="0" t="str">
        <f aca="false">dummy_variables!C190</f>
        <v>East</v>
      </c>
      <c r="D192" s="0" t="str">
        <f aca="false">dummy_variables!D190</f>
        <v>High Street</v>
      </c>
      <c r="E192" s="0" t="n">
        <f aca="false">dummy_variables!M190</f>
        <v>625993.83</v>
      </c>
      <c r="F192" s="0" t="n">
        <f aca="false">multiple_regression!$R$5+multiple_regression!$R$6*dummy_variables!E190+multiple_regression!$R$7*dummy_variables!F190+multiple_regression!$R$8*dummy_variables!G190+multiple_regression!$R$9*dummy_variables!I190+multiple_regression!$R$10*dummy_variables!J190+multiple_regression!$R$11*dummy_variables!K190+multiple_regression!$R$12*dummy_variables!L190+multiple_regression!$R$13*dummy_variables!O190+multiple_regression!$R$14*dummy_variables!P190+multiple_regression!$R$15*dummy_variables!Q190+multiple_regression!$R$16*dummy_variables!R190+multiple_regression!$R$17*dummy_variables!S190+multiple_regression!$R$18*dummy_variables!T190</f>
        <v>571670.804382384</v>
      </c>
      <c r="G192" s="0" t="n">
        <f aca="false">E192-F192</f>
        <v>54323.0256176165</v>
      </c>
      <c r="H192" s="0" t="n">
        <f aca="false">ABS(G192)</f>
        <v>54323.0256176165</v>
      </c>
    </row>
    <row r="193" customFormat="false" ht="15" hidden="false" customHeight="false" outlineLevel="0" collapsed="false">
      <c r="A193" s="0" t="str">
        <f aca="false">dummy_variables!A191</f>
        <v>STR-1048</v>
      </c>
      <c r="B193" s="0" t="str">
        <f aca="false">dummy_variables!B191</f>
        <v>2025-02-01</v>
      </c>
      <c r="C193" s="0" t="str">
        <f aca="false">dummy_variables!C191</f>
        <v>East</v>
      </c>
      <c r="D193" s="0" t="str">
        <f aca="false">dummy_variables!D191</f>
        <v>High Street</v>
      </c>
      <c r="E193" s="0" t="n">
        <f aca="false">dummy_variables!M191</f>
        <v>550962.93</v>
      </c>
      <c r="F193" s="0" t="n">
        <f aca="false">multiple_regression!$R$5+multiple_regression!$R$6*dummy_variables!E191+multiple_regression!$R$7*dummy_variables!F191+multiple_regression!$R$8*dummy_variables!G191+multiple_regression!$R$9*dummy_variables!I191+multiple_regression!$R$10*dummy_variables!J191+multiple_regression!$R$11*dummy_variables!K191+multiple_regression!$R$12*dummy_variables!L191+multiple_regression!$R$13*dummy_variables!O191+multiple_regression!$R$14*dummy_variables!P191+multiple_regression!$R$15*dummy_variables!Q191+multiple_regression!$R$16*dummy_variables!R191+multiple_regression!$R$17*dummy_variables!S191+multiple_regression!$R$18*dummy_variables!T191</f>
        <v>540451.000420942</v>
      </c>
      <c r="G193" s="0" t="n">
        <f aca="false">E193-F193</f>
        <v>10511.9295790578</v>
      </c>
      <c r="H193" s="0" t="n">
        <f aca="false">ABS(G193)</f>
        <v>10511.9295790578</v>
      </c>
    </row>
    <row r="194" customFormat="false" ht="15" hidden="false" customHeight="false" outlineLevel="0" collapsed="false">
      <c r="A194" s="0" t="str">
        <f aca="false">dummy_variables!A192</f>
        <v>STR-1048</v>
      </c>
      <c r="B194" s="0" t="str">
        <f aca="false">dummy_variables!B192</f>
        <v>2025-03-01</v>
      </c>
      <c r="C194" s="0" t="str">
        <f aca="false">dummy_variables!C192</f>
        <v>East</v>
      </c>
      <c r="D194" s="0" t="str">
        <f aca="false">dummy_variables!D192</f>
        <v>High Street</v>
      </c>
      <c r="E194" s="0" t="n">
        <f aca="false">dummy_variables!M192</f>
        <v>443275.59</v>
      </c>
      <c r="F194" s="0" t="n">
        <f aca="false">multiple_regression!$R$5+multiple_regression!$R$6*dummy_variables!E192+multiple_regression!$R$7*dummy_variables!F192+multiple_regression!$R$8*dummy_variables!G192+multiple_regression!$R$9*dummy_variables!I192+multiple_regression!$R$10*dummy_variables!J192+multiple_regression!$R$11*dummy_variables!K192+multiple_regression!$R$12*dummy_variables!L192+multiple_regression!$R$13*dummy_variables!O192+multiple_regression!$R$14*dummy_variables!P192+multiple_regression!$R$15*dummy_variables!Q192+multiple_regression!$R$16*dummy_variables!R192+multiple_regression!$R$17*dummy_variables!S192+multiple_regression!$R$18*dummy_variables!T192</f>
        <v>444592.916979479</v>
      </c>
      <c r="G194" s="0" t="n">
        <f aca="false">E194-F194</f>
        <v>-1317.32697947905</v>
      </c>
      <c r="H194" s="0" t="n">
        <f aca="false">ABS(G194)</f>
        <v>1317.32697947905</v>
      </c>
    </row>
    <row r="195" customFormat="false" ht="15" hidden="false" customHeight="false" outlineLevel="0" collapsed="false">
      <c r="A195" s="0" t="str">
        <f aca="false">dummy_variables!A193</f>
        <v>STR-1048</v>
      </c>
      <c r="B195" s="0" t="str">
        <f aca="false">dummy_variables!B193</f>
        <v>2025-04-01</v>
      </c>
      <c r="C195" s="0" t="str">
        <f aca="false">dummy_variables!C193</f>
        <v>East</v>
      </c>
      <c r="D195" s="0" t="str">
        <f aca="false">dummy_variables!D193</f>
        <v>High Street</v>
      </c>
      <c r="E195" s="0" t="n">
        <f aca="false">dummy_variables!M193</f>
        <v>554012.07</v>
      </c>
      <c r="F195" s="0" t="n">
        <f aca="false">multiple_regression!$R$5+multiple_regression!$R$6*dummy_variables!E193+multiple_regression!$R$7*dummy_variables!F193+multiple_regression!$R$8*dummy_variables!G193+multiple_regression!$R$9*dummy_variables!I193+multiple_regression!$R$10*dummy_variables!J193+multiple_regression!$R$11*dummy_variables!K193+multiple_regression!$R$12*dummy_variables!L193+multiple_regression!$R$13*dummy_variables!O193+multiple_regression!$R$14*dummy_variables!P193+multiple_regression!$R$15*dummy_variables!Q193+multiple_regression!$R$16*dummy_variables!R193+multiple_regression!$R$17*dummy_variables!S193+multiple_regression!$R$18*dummy_variables!T193</f>
        <v>611126.29242478</v>
      </c>
      <c r="G195" s="0" t="n">
        <f aca="false">E195-F195</f>
        <v>-57114.2224247803</v>
      </c>
      <c r="H195" s="0" t="n">
        <f aca="false">ABS(G195)</f>
        <v>57114.2224247803</v>
      </c>
    </row>
    <row r="196" customFormat="false" ht="15" hidden="false" customHeight="false" outlineLevel="0" collapsed="false">
      <c r="A196" s="0" t="str">
        <f aca="false">dummy_variables!A194</f>
        <v>STR-1049</v>
      </c>
      <c r="B196" s="0" t="str">
        <f aca="false">dummy_variables!B194</f>
        <v>2025-01-01</v>
      </c>
      <c r="C196" s="0" t="str">
        <f aca="false">dummy_variables!C194</f>
        <v>West</v>
      </c>
      <c r="D196" s="0" t="str">
        <f aca="false">dummy_variables!D194</f>
        <v>Residential</v>
      </c>
      <c r="E196" s="0" t="n">
        <f aca="false">dummy_variables!M194</f>
        <v>643428.85</v>
      </c>
      <c r="F196" s="0" t="n">
        <f aca="false">multiple_regression!$R$5+multiple_regression!$R$6*dummy_variables!E194+multiple_regression!$R$7*dummy_variables!F194+multiple_regression!$R$8*dummy_variables!G194+multiple_regression!$R$9*dummy_variables!I194+multiple_regression!$R$10*dummy_variables!J194+multiple_regression!$R$11*dummy_variables!K194+multiple_regression!$R$12*dummy_variables!L194+multiple_regression!$R$13*dummy_variables!O194+multiple_regression!$R$14*dummy_variables!P194+multiple_regression!$R$15*dummy_variables!Q194+multiple_regression!$R$16*dummy_variables!R194+multiple_regression!$R$17*dummy_variables!S194+multiple_regression!$R$18*dummy_variables!T194</f>
        <v>692283.259924042</v>
      </c>
      <c r="G196" s="0" t="n">
        <f aca="false">E196-F196</f>
        <v>-48854.4099240417</v>
      </c>
      <c r="H196" s="0" t="n">
        <f aca="false">ABS(G196)</f>
        <v>48854.4099240417</v>
      </c>
    </row>
    <row r="197" customFormat="false" ht="15" hidden="false" customHeight="false" outlineLevel="0" collapsed="false">
      <c r="A197" s="0" t="str">
        <f aca="false">dummy_variables!A195</f>
        <v>STR-1049</v>
      </c>
      <c r="B197" s="0" t="str">
        <f aca="false">dummy_variables!B195</f>
        <v>2025-02-01</v>
      </c>
      <c r="C197" s="0" t="str">
        <f aca="false">dummy_variables!C195</f>
        <v>West</v>
      </c>
      <c r="D197" s="0" t="str">
        <f aca="false">dummy_variables!D195</f>
        <v>Residential</v>
      </c>
      <c r="E197" s="0" t="n">
        <f aca="false">dummy_variables!M195</f>
        <v>611924.27</v>
      </c>
      <c r="F197" s="0" t="n">
        <f aca="false">multiple_regression!$R$5+multiple_regression!$R$6*dummy_variables!E195+multiple_regression!$R$7*dummy_variables!F195+multiple_regression!$R$8*dummy_variables!G195+multiple_regression!$R$9*dummy_variables!I195+multiple_regression!$R$10*dummy_variables!J195+multiple_regression!$R$11*dummy_variables!K195+multiple_regression!$R$12*dummy_variables!L195+multiple_regression!$R$13*dummy_variables!O195+multiple_regression!$R$14*dummy_variables!P195+multiple_regression!$R$15*dummy_variables!Q195+multiple_regression!$R$16*dummy_variables!R195+multiple_regression!$R$17*dummy_variables!S195+multiple_regression!$R$18*dummy_variables!T195</f>
        <v>618963.133561829</v>
      </c>
      <c r="G197" s="0" t="n">
        <f aca="false">E197-F197</f>
        <v>-7038.86356182885</v>
      </c>
      <c r="H197" s="0" t="n">
        <f aca="false">ABS(G197)</f>
        <v>7038.86356182885</v>
      </c>
    </row>
    <row r="198" customFormat="false" ht="15" hidden="false" customHeight="false" outlineLevel="0" collapsed="false">
      <c r="A198" s="0" t="str">
        <f aca="false">dummy_variables!A196</f>
        <v>STR-1049</v>
      </c>
      <c r="B198" s="0" t="str">
        <f aca="false">dummy_variables!B196</f>
        <v>2025-03-01</v>
      </c>
      <c r="C198" s="0" t="str">
        <f aca="false">dummy_variables!C196</f>
        <v>West</v>
      </c>
      <c r="D198" s="0" t="str">
        <f aca="false">dummy_variables!D196</f>
        <v>Residential</v>
      </c>
      <c r="E198" s="0" t="n">
        <f aca="false">dummy_variables!M196</f>
        <v>559422.02</v>
      </c>
      <c r="F198" s="0" t="n">
        <f aca="false">multiple_regression!$R$5+multiple_regression!$R$6*dummy_variables!E196+multiple_regression!$R$7*dummy_variables!F196+multiple_regression!$R$8*dummy_variables!G196+multiple_regression!$R$9*dummy_variables!I196+multiple_regression!$R$10*dummy_variables!J196+multiple_regression!$R$11*dummy_variables!K196+multiple_regression!$R$12*dummy_variables!L196+multiple_regression!$R$13*dummy_variables!O196+multiple_regression!$R$14*dummy_variables!P196+multiple_regression!$R$15*dummy_variables!Q196+multiple_regression!$R$16*dummy_variables!R196+multiple_regression!$R$17*dummy_variables!S196+multiple_regression!$R$18*dummy_variables!T196</f>
        <v>554998.405191404</v>
      </c>
      <c r="G198" s="0" t="n">
        <f aca="false">E198-F198</f>
        <v>4423.61480859655</v>
      </c>
      <c r="H198" s="0" t="n">
        <f aca="false">ABS(G198)</f>
        <v>4423.61480859655</v>
      </c>
    </row>
    <row r="199" customFormat="false" ht="15" hidden="false" customHeight="false" outlineLevel="0" collapsed="false">
      <c r="A199" s="0" t="str">
        <f aca="false">dummy_variables!A197</f>
        <v>STR-1049</v>
      </c>
      <c r="B199" s="0" t="str">
        <f aca="false">dummy_variables!B197</f>
        <v>2025-04-01</v>
      </c>
      <c r="C199" s="0" t="str">
        <f aca="false">dummy_variables!C197</f>
        <v>West</v>
      </c>
      <c r="D199" s="0" t="str">
        <f aca="false">dummy_variables!D197</f>
        <v>Residential</v>
      </c>
      <c r="E199" s="0" t="n">
        <f aca="false">dummy_variables!M197</f>
        <v>449465.06</v>
      </c>
      <c r="F199" s="0" t="n">
        <f aca="false">multiple_regression!$R$5+multiple_regression!$R$6*dummy_variables!E197+multiple_regression!$R$7*dummy_variables!F197+multiple_regression!$R$8*dummy_variables!G197+multiple_regression!$R$9*dummy_variables!I197+multiple_regression!$R$10*dummy_variables!J197+multiple_regression!$R$11*dummy_variables!K197+multiple_regression!$R$12*dummy_variables!L197+multiple_regression!$R$13*dummy_variables!O197+multiple_regression!$R$14*dummy_variables!P197+multiple_regression!$R$15*dummy_variables!Q197+multiple_regression!$R$16*dummy_variables!R197+multiple_regression!$R$17*dummy_variables!S197+multiple_regression!$R$18*dummy_variables!T197</f>
        <v>495332.123117349</v>
      </c>
      <c r="G199" s="0" t="n">
        <f aca="false">E199-F199</f>
        <v>-45867.0631173488</v>
      </c>
      <c r="H199" s="0" t="n">
        <f aca="false">ABS(G199)</f>
        <v>45867.0631173488</v>
      </c>
    </row>
    <row r="200" customFormat="false" ht="15" hidden="false" customHeight="false" outlineLevel="0" collapsed="false">
      <c r="A200" s="0" t="str">
        <f aca="false">dummy_variables!A198</f>
        <v>STR-1050</v>
      </c>
      <c r="B200" s="0" t="str">
        <f aca="false">dummy_variables!B198</f>
        <v>2025-01-01</v>
      </c>
      <c r="C200" s="0" t="str">
        <f aca="false">dummy_variables!C198</f>
        <v>North</v>
      </c>
      <c r="D200" s="0" t="str">
        <f aca="false">dummy_variables!D198</f>
        <v>Residential</v>
      </c>
      <c r="E200" s="0" t="n">
        <f aca="false">dummy_variables!M198</f>
        <v>691447.43</v>
      </c>
      <c r="F200" s="0" t="n">
        <f aca="false">multiple_regression!$R$5+multiple_regression!$R$6*dummy_variables!E198+multiple_regression!$R$7*dummy_variables!F198+multiple_regression!$R$8*dummy_variables!G198+multiple_regression!$R$9*dummy_variables!I198+multiple_regression!$R$10*dummy_variables!J198+multiple_regression!$R$11*dummy_variables!K198+multiple_regression!$R$12*dummy_variables!L198+multiple_regression!$R$13*dummy_variables!O198+multiple_regression!$R$14*dummy_variables!P198+multiple_regression!$R$15*dummy_variables!Q198+multiple_regression!$R$16*dummy_variables!R198+multiple_regression!$R$17*dummy_variables!S198+multiple_regression!$R$18*dummy_variables!T198</f>
        <v>645710.212974407</v>
      </c>
      <c r="G200" s="0" t="n">
        <f aca="false">E200-F200</f>
        <v>45737.2170255932</v>
      </c>
      <c r="H200" s="0" t="n">
        <f aca="false">ABS(G200)</f>
        <v>45737.2170255932</v>
      </c>
    </row>
    <row r="201" customFormat="false" ht="15" hidden="false" customHeight="false" outlineLevel="0" collapsed="false">
      <c r="A201" s="0" t="str">
        <f aca="false">dummy_variables!A199</f>
        <v>STR-1050</v>
      </c>
      <c r="B201" s="0" t="str">
        <f aca="false">dummy_variables!B199</f>
        <v>2025-02-01</v>
      </c>
      <c r="C201" s="0" t="str">
        <f aca="false">dummy_variables!C199</f>
        <v>North</v>
      </c>
      <c r="D201" s="0" t="str">
        <f aca="false">dummy_variables!D199</f>
        <v>Residential</v>
      </c>
      <c r="E201" s="0" t="n">
        <f aca="false">dummy_variables!M199</f>
        <v>574066.61</v>
      </c>
      <c r="F201" s="0" t="n">
        <f aca="false">multiple_regression!$R$5+multiple_regression!$R$6*dummy_variables!E199+multiple_regression!$R$7*dummy_variables!F199+multiple_regression!$R$8*dummy_variables!G199+multiple_regression!$R$9*dummy_variables!I199+multiple_regression!$R$10*dummy_variables!J199+multiple_regression!$R$11*dummy_variables!K199+multiple_regression!$R$12*dummy_variables!L199+multiple_regression!$R$13*dummy_variables!O199+multiple_regression!$R$14*dummy_variables!P199+multiple_regression!$R$15*dummy_variables!Q199+multiple_regression!$R$16*dummy_variables!R199+multiple_regression!$R$17*dummy_variables!S199+multiple_regression!$R$18*dummy_variables!T199</f>
        <v>571366.768854093</v>
      </c>
      <c r="G201" s="0" t="n">
        <f aca="false">E201-F201</f>
        <v>2699.84114590706</v>
      </c>
      <c r="H201" s="0" t="n">
        <f aca="false">ABS(G201)</f>
        <v>2699.84114590706</v>
      </c>
    </row>
    <row r="202" customFormat="false" ht="15" hidden="false" customHeight="false" outlineLevel="0" collapsed="false">
      <c r="A202" s="0" t="str">
        <f aca="false">dummy_variables!A200</f>
        <v>STR-1050</v>
      </c>
      <c r="B202" s="0" t="str">
        <f aca="false">dummy_variables!B200</f>
        <v>2025-03-01</v>
      </c>
      <c r="C202" s="0" t="str">
        <f aca="false">dummy_variables!C200</f>
        <v>North</v>
      </c>
      <c r="D202" s="0" t="str">
        <f aca="false">dummy_variables!D200</f>
        <v>Residential</v>
      </c>
      <c r="E202" s="0" t="n">
        <f aca="false">dummy_variables!M200</f>
        <v>578949.84</v>
      </c>
      <c r="F202" s="0" t="n">
        <f aca="false">multiple_regression!$R$5+multiple_regression!$R$6*dummy_variables!E200+multiple_regression!$R$7*dummy_variables!F200+multiple_regression!$R$8*dummy_variables!G200+multiple_regression!$R$9*dummy_variables!I200+multiple_regression!$R$10*dummy_variables!J200+multiple_regression!$R$11*dummy_variables!K200+multiple_regression!$R$12*dummy_variables!L200+multiple_regression!$R$13*dummy_variables!O200+multiple_regression!$R$14*dummy_variables!P200+multiple_regression!$R$15*dummy_variables!Q200+multiple_regression!$R$16*dummy_variables!R200+multiple_regression!$R$17*dummy_variables!S200+multiple_regression!$R$18*dummy_variables!T200</f>
        <v>616539.458682885</v>
      </c>
      <c r="G202" s="0" t="n">
        <f aca="false">E202-F202</f>
        <v>-37589.6186828851</v>
      </c>
      <c r="H202" s="0" t="n">
        <f aca="false">ABS(G202)</f>
        <v>37589.6186828851</v>
      </c>
    </row>
    <row r="203" customFormat="false" ht="15" hidden="false" customHeight="false" outlineLevel="0" collapsed="false">
      <c r="A203" s="0" t="str">
        <f aca="false">dummy_variables!A201</f>
        <v>STR-1050</v>
      </c>
      <c r="B203" s="0" t="str">
        <f aca="false">dummy_variables!B201</f>
        <v>2025-04-01</v>
      </c>
      <c r="C203" s="0" t="str">
        <f aca="false">dummy_variables!C201</f>
        <v>North</v>
      </c>
      <c r="D203" s="0" t="str">
        <f aca="false">dummy_variables!D201</f>
        <v>Residential</v>
      </c>
      <c r="E203" s="0" t="n">
        <f aca="false">dummy_variables!M201</f>
        <v>735786.64</v>
      </c>
      <c r="F203" s="0" t="n">
        <f aca="false">multiple_regression!$R$5+multiple_regression!$R$6*dummy_variables!E201+multiple_regression!$R$7*dummy_variables!F201+multiple_regression!$R$8*dummy_variables!G201+multiple_regression!$R$9*dummy_variables!I201+multiple_regression!$R$10*dummy_variables!J201+multiple_regression!$R$11*dummy_variables!K201+multiple_regression!$R$12*dummy_variables!L201+multiple_regression!$R$13*dummy_variables!O201+multiple_regression!$R$14*dummy_variables!P201+multiple_regression!$R$15*dummy_variables!Q201+multiple_regression!$R$16*dummy_variables!R201+multiple_regression!$R$17*dummy_variables!S201+multiple_regression!$R$18*dummy_variables!T201</f>
        <v>652811.4953904</v>
      </c>
      <c r="G203" s="0" t="n">
        <f aca="false">E203-F203</f>
        <v>82975.1446095998</v>
      </c>
      <c r="H203" s="0" t="n">
        <f aca="false">ABS(G203)</f>
        <v>82975.1446095998</v>
      </c>
    </row>
    <row r="204" customFormat="false" ht="15" hidden="false" customHeight="false" outlineLevel="0" collapsed="false">
      <c r="A204" s="0" t="str">
        <f aca="false">dummy_variables!A202</f>
        <v>STR-1051</v>
      </c>
      <c r="B204" s="0" t="str">
        <f aca="false">dummy_variables!B202</f>
        <v>2025-01-01</v>
      </c>
      <c r="C204" s="0" t="str">
        <f aca="false">dummy_variables!C202</f>
        <v>East</v>
      </c>
      <c r="D204" s="0" t="str">
        <f aca="false">dummy_variables!D202</f>
        <v>Airport</v>
      </c>
      <c r="E204" s="0" t="n">
        <f aca="false">dummy_variables!M202</f>
        <v>598904.9</v>
      </c>
      <c r="F204" s="0" t="n">
        <f aca="false">multiple_regression!$R$5+multiple_regression!$R$6*dummy_variables!E202+multiple_regression!$R$7*dummy_variables!F202+multiple_regression!$R$8*dummy_variables!G202+multiple_regression!$R$9*dummy_variables!I202+multiple_regression!$R$10*dummy_variables!J202+multiple_regression!$R$11*dummy_variables!K202+multiple_regression!$R$12*dummy_variables!L202+multiple_regression!$R$13*dummy_variables!O202+multiple_regression!$R$14*dummy_variables!P202+multiple_regression!$R$15*dummy_variables!Q202+multiple_regression!$R$16*dummy_variables!R202+multiple_regression!$R$17*dummy_variables!S202+multiple_regression!$R$18*dummy_variables!T202</f>
        <v>652415.023839536</v>
      </c>
      <c r="G204" s="0" t="n">
        <f aca="false">E204-F204</f>
        <v>-53510.1238395358</v>
      </c>
      <c r="H204" s="0" t="n">
        <f aca="false">ABS(G204)</f>
        <v>53510.1238395358</v>
      </c>
    </row>
    <row r="205" customFormat="false" ht="15" hidden="false" customHeight="false" outlineLevel="0" collapsed="false">
      <c r="A205" s="0" t="str">
        <f aca="false">dummy_variables!A203</f>
        <v>STR-1051</v>
      </c>
      <c r="B205" s="0" t="str">
        <f aca="false">dummy_variables!B203</f>
        <v>2025-02-01</v>
      </c>
      <c r="C205" s="0" t="str">
        <f aca="false">dummy_variables!C203</f>
        <v>East</v>
      </c>
      <c r="D205" s="0" t="str">
        <f aca="false">dummy_variables!D203</f>
        <v>Airport</v>
      </c>
      <c r="E205" s="0" t="n">
        <f aca="false">dummy_variables!M203</f>
        <v>787715.51</v>
      </c>
      <c r="F205" s="0" t="n">
        <f aca="false">multiple_regression!$R$5+multiple_regression!$R$6*dummy_variables!E203+multiple_regression!$R$7*dummy_variables!F203+multiple_regression!$R$8*dummy_variables!G203+multiple_regression!$R$9*dummy_variables!I203+multiple_regression!$R$10*dummy_variables!J203+multiple_regression!$R$11*dummy_variables!K203+multiple_regression!$R$12*dummy_variables!L203+multiple_regression!$R$13*dummy_variables!O203+multiple_regression!$R$14*dummy_variables!P203+multiple_regression!$R$15*dummy_variables!Q203+multiple_regression!$R$16*dummy_variables!R203+multiple_regression!$R$17*dummy_variables!S203+multiple_regression!$R$18*dummy_variables!T203</f>
        <v>712964.094456591</v>
      </c>
      <c r="G205" s="0" t="n">
        <f aca="false">E205-F205</f>
        <v>74751.4155434086</v>
      </c>
      <c r="H205" s="0" t="n">
        <f aca="false">ABS(G205)</f>
        <v>74751.4155434086</v>
      </c>
    </row>
    <row r="206" customFormat="false" ht="15" hidden="false" customHeight="false" outlineLevel="0" collapsed="false">
      <c r="A206" s="0" t="str">
        <f aca="false">dummy_variables!A204</f>
        <v>STR-1051</v>
      </c>
      <c r="B206" s="0" t="str">
        <f aca="false">dummy_variables!B204</f>
        <v>2025-03-01</v>
      </c>
      <c r="C206" s="0" t="str">
        <f aca="false">dummy_variables!C204</f>
        <v>East</v>
      </c>
      <c r="D206" s="0" t="str">
        <f aca="false">dummy_variables!D204</f>
        <v>Airport</v>
      </c>
      <c r="E206" s="0" t="n">
        <f aca="false">dummy_variables!M204</f>
        <v>607084.92</v>
      </c>
      <c r="F206" s="0" t="n">
        <f aca="false">multiple_regression!$R$5+multiple_regression!$R$6*dummy_variables!E204+multiple_regression!$R$7*dummy_variables!F204+multiple_regression!$R$8*dummy_variables!G204+multiple_regression!$R$9*dummy_variables!I204+multiple_regression!$R$10*dummy_variables!J204+multiple_regression!$R$11*dummy_variables!K204+multiple_regression!$R$12*dummy_variables!L204+multiple_regression!$R$13*dummy_variables!O204+multiple_regression!$R$14*dummy_variables!P204+multiple_regression!$R$15*dummy_variables!Q204+multiple_regression!$R$16*dummy_variables!R204+multiple_regression!$R$17*dummy_variables!S204+multiple_regression!$R$18*dummy_variables!T204</f>
        <v>670827.876007505</v>
      </c>
      <c r="G206" s="0" t="n">
        <f aca="false">E206-F206</f>
        <v>-63742.9560075052</v>
      </c>
      <c r="H206" s="0" t="n">
        <f aca="false">ABS(G206)</f>
        <v>63742.9560075052</v>
      </c>
    </row>
    <row r="207" customFormat="false" ht="15" hidden="false" customHeight="false" outlineLevel="0" collapsed="false">
      <c r="A207" s="0" t="str">
        <f aca="false">dummy_variables!A205</f>
        <v>STR-1051</v>
      </c>
      <c r="B207" s="0" t="str">
        <f aca="false">dummy_variables!B205</f>
        <v>2025-04-01</v>
      </c>
      <c r="C207" s="0" t="str">
        <f aca="false">dummy_variables!C205</f>
        <v>East</v>
      </c>
      <c r="D207" s="0" t="str">
        <f aca="false">dummy_variables!D205</f>
        <v>Airport</v>
      </c>
      <c r="E207" s="0" t="n">
        <f aca="false">dummy_variables!M205</f>
        <v>650795.49</v>
      </c>
      <c r="F207" s="0" t="n">
        <f aca="false">multiple_regression!$R$5+multiple_regression!$R$6*dummy_variables!E205+multiple_regression!$R$7*dummy_variables!F205+multiple_regression!$R$8*dummy_variables!G205+multiple_regression!$R$9*dummy_variables!I205+multiple_regression!$R$10*dummy_variables!J205+multiple_regression!$R$11*dummy_variables!K205+multiple_regression!$R$12*dummy_variables!L205+multiple_regression!$R$13*dummy_variables!O205+multiple_regression!$R$14*dummy_variables!P205+multiple_regression!$R$15*dummy_variables!Q205+multiple_regression!$R$16*dummy_variables!R205+multiple_regression!$R$17*dummy_variables!S205+multiple_regression!$R$18*dummy_variables!T205</f>
        <v>696569.800942992</v>
      </c>
      <c r="G207" s="0" t="n">
        <f aca="false">E207-F207</f>
        <v>-45774.3109429925</v>
      </c>
      <c r="H207" s="0" t="n">
        <f aca="false">ABS(G207)</f>
        <v>45774.3109429925</v>
      </c>
    </row>
    <row r="208" customFormat="false" ht="15" hidden="false" customHeight="false" outlineLevel="0" collapsed="false">
      <c r="A208" s="0" t="str">
        <f aca="false">dummy_variables!A206</f>
        <v>STR-1052</v>
      </c>
      <c r="B208" s="0" t="str">
        <f aca="false">dummy_variables!B206</f>
        <v>2025-01-01</v>
      </c>
      <c r="C208" s="0" t="str">
        <f aca="false">dummy_variables!C206</f>
        <v>East</v>
      </c>
      <c r="D208" s="0" t="str">
        <f aca="false">dummy_variables!D206</f>
        <v>Mall</v>
      </c>
      <c r="E208" s="0" t="n">
        <f aca="false">dummy_variables!M206</f>
        <v>825060.52</v>
      </c>
      <c r="F208" s="0" t="n">
        <f aca="false">multiple_regression!$R$5+multiple_regression!$R$6*dummy_variables!E206+multiple_regression!$R$7*dummy_variables!F206+multiple_regression!$R$8*dummy_variables!G206+multiple_regression!$R$9*dummy_variables!I206+multiple_regression!$R$10*dummy_variables!J206+multiple_regression!$R$11*dummy_variables!K206+multiple_regression!$R$12*dummy_variables!L206+multiple_regression!$R$13*dummy_variables!O206+multiple_regression!$R$14*dummy_variables!P206+multiple_regression!$R$15*dummy_variables!Q206+multiple_regression!$R$16*dummy_variables!R206+multiple_regression!$R$17*dummy_variables!S206+multiple_regression!$R$18*dummy_variables!T206</f>
        <v>850238.701205569</v>
      </c>
      <c r="G208" s="0" t="n">
        <f aca="false">E208-F208</f>
        <v>-25178.1812055693</v>
      </c>
      <c r="H208" s="0" t="n">
        <f aca="false">ABS(G208)</f>
        <v>25178.1812055693</v>
      </c>
    </row>
    <row r="209" customFormat="false" ht="15" hidden="false" customHeight="false" outlineLevel="0" collapsed="false">
      <c r="A209" s="0" t="str">
        <f aca="false">dummy_variables!A207</f>
        <v>STR-1052</v>
      </c>
      <c r="B209" s="0" t="str">
        <f aca="false">dummy_variables!B207</f>
        <v>2025-02-01</v>
      </c>
      <c r="C209" s="0" t="str">
        <f aca="false">dummy_variables!C207</f>
        <v>East</v>
      </c>
      <c r="D209" s="0" t="str">
        <f aca="false">dummy_variables!D207</f>
        <v>Mall</v>
      </c>
      <c r="E209" s="0" t="n">
        <f aca="false">dummy_variables!M207</f>
        <v>795464.47</v>
      </c>
      <c r="F209" s="0" t="n">
        <f aca="false">multiple_regression!$R$5+multiple_regression!$R$6*dummy_variables!E207+multiple_regression!$R$7*dummy_variables!F207+multiple_regression!$R$8*dummy_variables!G207+multiple_regression!$R$9*dummy_variables!I207+multiple_regression!$R$10*dummy_variables!J207+multiple_regression!$R$11*dummy_variables!K207+multiple_regression!$R$12*dummy_variables!L207+multiple_regression!$R$13*dummy_variables!O207+multiple_regression!$R$14*dummy_variables!P207+multiple_regression!$R$15*dummy_variables!Q207+multiple_regression!$R$16*dummy_variables!R207+multiple_regression!$R$17*dummy_variables!S207+multiple_regression!$R$18*dummy_variables!T207</f>
        <v>747663.386922473</v>
      </c>
      <c r="G209" s="0" t="n">
        <f aca="false">E209-F209</f>
        <v>47801.0830775274</v>
      </c>
      <c r="H209" s="0" t="n">
        <f aca="false">ABS(G209)</f>
        <v>47801.0830775274</v>
      </c>
    </row>
    <row r="210" customFormat="false" ht="15" hidden="false" customHeight="false" outlineLevel="0" collapsed="false">
      <c r="A210" s="0" t="str">
        <f aca="false">dummy_variables!A208</f>
        <v>STR-1052</v>
      </c>
      <c r="B210" s="0" t="str">
        <f aca="false">dummy_variables!B208</f>
        <v>2025-03-01</v>
      </c>
      <c r="C210" s="0" t="str">
        <f aca="false">dummy_variables!C208</f>
        <v>East</v>
      </c>
      <c r="D210" s="0" t="str">
        <f aca="false">dummy_variables!D208</f>
        <v>Mall</v>
      </c>
      <c r="E210" s="0" t="n">
        <f aca="false">dummy_variables!M208</f>
        <v>671868.59</v>
      </c>
      <c r="F210" s="0" t="n">
        <f aca="false">multiple_regression!$R$5+multiple_regression!$R$6*dummy_variables!E208+multiple_regression!$R$7*dummy_variables!F208+multiple_regression!$R$8*dummy_variables!G208+multiple_regression!$R$9*dummy_variables!I208+multiple_regression!$R$10*dummy_variables!J208+multiple_regression!$R$11*dummy_variables!K208+multiple_regression!$R$12*dummy_variables!L208+multiple_regression!$R$13*dummy_variables!O208+multiple_regression!$R$14*dummy_variables!P208+multiple_regression!$R$15*dummy_variables!Q208+multiple_regression!$R$16*dummy_variables!R208+multiple_regression!$R$17*dummy_variables!S208+multiple_regression!$R$18*dummy_variables!T208</f>
        <v>731048.485864482</v>
      </c>
      <c r="G210" s="0" t="n">
        <f aca="false">E210-F210</f>
        <v>-59179.8958644818</v>
      </c>
      <c r="H210" s="0" t="n">
        <f aca="false">ABS(G210)</f>
        <v>59179.8958644818</v>
      </c>
    </row>
    <row r="211" customFormat="false" ht="15" hidden="false" customHeight="false" outlineLevel="0" collapsed="false">
      <c r="A211" s="0" t="str">
        <f aca="false">dummy_variables!A209</f>
        <v>STR-1052</v>
      </c>
      <c r="B211" s="0" t="str">
        <f aca="false">dummy_variables!B209</f>
        <v>2025-04-01</v>
      </c>
      <c r="C211" s="0" t="str">
        <f aca="false">dummy_variables!C209</f>
        <v>East</v>
      </c>
      <c r="D211" s="0" t="str">
        <f aca="false">dummy_variables!D209</f>
        <v>Mall</v>
      </c>
      <c r="E211" s="0" t="n">
        <f aca="false">dummy_variables!M209</f>
        <v>675917.63</v>
      </c>
      <c r="F211" s="0" t="n">
        <f aca="false">multiple_regression!$R$5+multiple_regression!$R$6*dummy_variables!E209+multiple_regression!$R$7*dummy_variables!F209+multiple_regression!$R$8*dummy_variables!G209+multiple_regression!$R$9*dummy_variables!I209+multiple_regression!$R$10*dummy_variables!J209+multiple_regression!$R$11*dummy_variables!K209+multiple_regression!$R$12*dummy_variables!L209+multiple_regression!$R$13*dummy_variables!O209+multiple_regression!$R$14*dummy_variables!P209+multiple_regression!$R$15*dummy_variables!Q209+multiple_regression!$R$16*dummy_variables!R209+multiple_regression!$R$17*dummy_variables!S209+multiple_regression!$R$18*dummy_variables!T209</f>
        <v>756941.599398809</v>
      </c>
      <c r="G211" s="0" t="n">
        <f aca="false">E211-F211</f>
        <v>-81023.9693988086</v>
      </c>
      <c r="H211" s="0" t="n">
        <f aca="false">ABS(G211)</f>
        <v>81023.9693988086</v>
      </c>
    </row>
    <row r="212" customFormat="false" ht="15" hidden="false" customHeight="false" outlineLevel="0" collapsed="false">
      <c r="A212" s="0" t="str">
        <f aca="false">dummy_variables!A210</f>
        <v>STR-1053</v>
      </c>
      <c r="B212" s="0" t="str">
        <f aca="false">dummy_variables!B210</f>
        <v>2025-01-01</v>
      </c>
      <c r="C212" s="0" t="str">
        <f aca="false">dummy_variables!C210</f>
        <v>East</v>
      </c>
      <c r="D212" s="0" t="str">
        <f aca="false">dummy_variables!D210</f>
        <v>High Street</v>
      </c>
      <c r="E212" s="0" t="n">
        <f aca="false">dummy_variables!M210</f>
        <v>810446.53</v>
      </c>
      <c r="F212" s="0" t="n">
        <f aca="false">multiple_regression!$R$5+multiple_regression!$R$6*dummy_variables!E210+multiple_regression!$R$7*dummy_variables!F210+multiple_regression!$R$8*dummy_variables!G210+multiple_regression!$R$9*dummy_variables!I210+multiple_regression!$R$10*dummy_variables!J210+multiple_regression!$R$11*dummy_variables!K210+multiple_regression!$R$12*dummy_variables!L210+multiple_regression!$R$13*dummy_variables!O210+multiple_regression!$R$14*dummy_variables!P210+multiple_regression!$R$15*dummy_variables!Q210+multiple_regression!$R$16*dummy_variables!R210+multiple_regression!$R$17*dummy_variables!S210+multiple_regression!$R$18*dummy_variables!T210</f>
        <v>805376.958965889</v>
      </c>
      <c r="G212" s="0" t="n">
        <f aca="false">E212-F212</f>
        <v>5069.57103411097</v>
      </c>
      <c r="H212" s="0" t="n">
        <f aca="false">ABS(G212)</f>
        <v>5069.57103411097</v>
      </c>
    </row>
    <row r="213" customFormat="false" ht="15" hidden="false" customHeight="false" outlineLevel="0" collapsed="false">
      <c r="A213" s="0" t="str">
        <f aca="false">dummy_variables!A211</f>
        <v>STR-1053</v>
      </c>
      <c r="B213" s="0" t="str">
        <f aca="false">dummy_variables!B211</f>
        <v>2025-02-01</v>
      </c>
      <c r="C213" s="0" t="str">
        <f aca="false">dummy_variables!C211</f>
        <v>East</v>
      </c>
      <c r="D213" s="0" t="str">
        <f aca="false">dummy_variables!D211</f>
        <v>High Street</v>
      </c>
      <c r="E213" s="0" t="n">
        <f aca="false">dummy_variables!M211</f>
        <v>691288.19</v>
      </c>
      <c r="F213" s="0" t="n">
        <f aca="false">multiple_regression!$R$5+multiple_regression!$R$6*dummy_variables!E211+multiple_regression!$R$7*dummy_variables!F211+multiple_regression!$R$8*dummy_variables!G211+multiple_regression!$R$9*dummy_variables!I211+multiple_regression!$R$10*dummy_variables!J211+multiple_regression!$R$11*dummy_variables!K211+multiple_regression!$R$12*dummy_variables!L211+multiple_regression!$R$13*dummy_variables!O211+multiple_regression!$R$14*dummy_variables!P211+multiple_regression!$R$15*dummy_variables!Q211+multiple_regression!$R$16*dummy_variables!R211+multiple_regression!$R$17*dummy_variables!S211+multiple_regression!$R$18*dummy_variables!T211</f>
        <v>750072.84441784</v>
      </c>
      <c r="G213" s="0" t="n">
        <f aca="false">E213-F213</f>
        <v>-58784.6544178402</v>
      </c>
      <c r="H213" s="0" t="n">
        <f aca="false">ABS(G213)</f>
        <v>58784.6544178402</v>
      </c>
    </row>
    <row r="214" customFormat="false" ht="15" hidden="false" customHeight="false" outlineLevel="0" collapsed="false">
      <c r="A214" s="0" t="str">
        <f aca="false">dummy_variables!A212</f>
        <v>STR-1053</v>
      </c>
      <c r="B214" s="0" t="str">
        <f aca="false">dummy_variables!B212</f>
        <v>2025-03-01</v>
      </c>
      <c r="C214" s="0" t="str">
        <f aca="false">dummy_variables!C212</f>
        <v>East</v>
      </c>
      <c r="D214" s="0" t="str">
        <f aca="false">dummy_variables!D212</f>
        <v>High Street</v>
      </c>
      <c r="E214" s="0" t="n">
        <f aca="false">dummy_variables!M212</f>
        <v>946833.54</v>
      </c>
      <c r="F214" s="0" t="n">
        <f aca="false">multiple_regression!$R$5+multiple_regression!$R$6*dummy_variables!E212+multiple_regression!$R$7*dummy_variables!F212+multiple_regression!$R$8*dummy_variables!G212+multiple_regression!$R$9*dummy_variables!I212+multiple_regression!$R$10*dummy_variables!J212+multiple_regression!$R$11*dummy_variables!K212+multiple_regression!$R$12*dummy_variables!L212+multiple_regression!$R$13*dummy_variables!O212+multiple_regression!$R$14*dummy_variables!P212+multiple_regression!$R$15*dummy_variables!Q212+multiple_regression!$R$16*dummy_variables!R212+multiple_regression!$R$17*dummy_variables!S212+multiple_regression!$R$18*dummy_variables!T212</f>
        <v>969218.040537557</v>
      </c>
      <c r="G214" s="0" t="n">
        <f aca="false">E214-F214</f>
        <v>-22384.5005375567</v>
      </c>
      <c r="H214" s="0" t="n">
        <f aca="false">ABS(G214)</f>
        <v>22384.5005375567</v>
      </c>
    </row>
    <row r="215" customFormat="false" ht="15" hidden="false" customHeight="false" outlineLevel="0" collapsed="false">
      <c r="A215" s="0" t="str">
        <f aca="false">dummy_variables!A213</f>
        <v>STR-1053</v>
      </c>
      <c r="B215" s="0" t="str">
        <f aca="false">dummy_variables!B213</f>
        <v>2025-04-01</v>
      </c>
      <c r="C215" s="0" t="str">
        <f aca="false">dummy_variables!C213</f>
        <v>East</v>
      </c>
      <c r="D215" s="0" t="str">
        <f aca="false">dummy_variables!D213</f>
        <v>High Street</v>
      </c>
      <c r="E215" s="0" t="n">
        <f aca="false">dummy_variables!M213</f>
        <v>761963.23</v>
      </c>
      <c r="F215" s="0" t="n">
        <f aca="false">multiple_regression!$R$5+multiple_regression!$R$6*dummy_variables!E213+multiple_regression!$R$7*dummy_variables!F213+multiple_regression!$R$8*dummy_variables!G213+multiple_regression!$R$9*dummy_variables!I213+multiple_regression!$R$10*dummy_variables!J213+multiple_regression!$R$11*dummy_variables!K213+multiple_regression!$R$12*dummy_variables!L213+multiple_regression!$R$13*dummy_variables!O213+multiple_regression!$R$14*dummy_variables!P213+multiple_regression!$R$15*dummy_variables!Q213+multiple_regression!$R$16*dummy_variables!R213+multiple_regression!$R$17*dummy_variables!S213+multiple_regression!$R$18*dummy_variables!T213</f>
        <v>737874.574795358</v>
      </c>
      <c r="G215" s="0" t="n">
        <f aca="false">E215-F215</f>
        <v>24088.6552046419</v>
      </c>
      <c r="H215" s="0" t="n">
        <f aca="false">ABS(G215)</f>
        <v>24088.6552046419</v>
      </c>
    </row>
    <row r="216" customFormat="false" ht="15" hidden="false" customHeight="false" outlineLevel="0" collapsed="false">
      <c r="A216" s="0" t="str">
        <f aca="false">dummy_variables!A214</f>
        <v>STR-1054</v>
      </c>
      <c r="B216" s="0" t="str">
        <f aca="false">dummy_variables!B214</f>
        <v>2025-01-01</v>
      </c>
      <c r="C216" s="0" t="str">
        <f aca="false">dummy_variables!C214</f>
        <v>West</v>
      </c>
      <c r="D216" s="0" t="str">
        <f aca="false">dummy_variables!D214</f>
        <v>Residential</v>
      </c>
      <c r="E216" s="0" t="n">
        <f aca="false">dummy_variables!M214</f>
        <v>812152.6</v>
      </c>
      <c r="F216" s="0" t="n">
        <f aca="false">multiple_regression!$R$5+multiple_regression!$R$6*dummy_variables!E214+multiple_regression!$R$7*dummy_variables!F214+multiple_regression!$R$8*dummy_variables!G214+multiple_regression!$R$9*dummy_variables!I214+multiple_regression!$R$10*dummy_variables!J214+multiple_regression!$R$11*dummy_variables!K214+multiple_regression!$R$12*dummy_variables!L214+multiple_regression!$R$13*dummy_variables!O214+multiple_regression!$R$14*dummy_variables!P214+multiple_regression!$R$15*dummy_variables!Q214+multiple_regression!$R$16*dummy_variables!R214+multiple_regression!$R$17*dummy_variables!S214+multiple_regression!$R$18*dummy_variables!T214</f>
        <v>779992.329751555</v>
      </c>
      <c r="G216" s="0" t="n">
        <f aca="false">E216-F216</f>
        <v>32160.2702484453</v>
      </c>
      <c r="H216" s="0" t="n">
        <f aca="false">ABS(G216)</f>
        <v>32160.2702484453</v>
      </c>
    </row>
    <row r="217" customFormat="false" ht="15" hidden="false" customHeight="false" outlineLevel="0" collapsed="false">
      <c r="A217" s="0" t="str">
        <f aca="false">dummy_variables!A215</f>
        <v>STR-1054</v>
      </c>
      <c r="B217" s="0" t="str">
        <f aca="false">dummy_variables!B215</f>
        <v>2025-02-01</v>
      </c>
      <c r="C217" s="0" t="str">
        <f aca="false">dummy_variables!C215</f>
        <v>West</v>
      </c>
      <c r="D217" s="0" t="str">
        <f aca="false">dummy_variables!D215</f>
        <v>Residential</v>
      </c>
      <c r="E217" s="0" t="n">
        <f aca="false">dummy_variables!M215</f>
        <v>804975.5</v>
      </c>
      <c r="F217" s="0" t="n">
        <f aca="false">multiple_regression!$R$5+multiple_regression!$R$6*dummy_variables!E215+multiple_regression!$R$7*dummy_variables!F215+multiple_regression!$R$8*dummy_variables!G215+multiple_regression!$R$9*dummy_variables!I215+multiple_regression!$R$10*dummy_variables!J215+multiple_regression!$R$11*dummy_variables!K215+multiple_regression!$R$12*dummy_variables!L215+multiple_regression!$R$13*dummy_variables!O215+multiple_regression!$R$14*dummy_variables!P215+multiple_regression!$R$15*dummy_variables!Q215+multiple_regression!$R$16*dummy_variables!R215+multiple_regression!$R$17*dummy_variables!S215+multiple_regression!$R$18*dummy_variables!T215</f>
        <v>763314.721118995</v>
      </c>
      <c r="G217" s="0" t="n">
        <f aca="false">E217-F217</f>
        <v>41660.7788810048</v>
      </c>
      <c r="H217" s="0" t="n">
        <f aca="false">ABS(G217)</f>
        <v>41660.7788810048</v>
      </c>
    </row>
    <row r="218" customFormat="false" ht="15" hidden="false" customHeight="false" outlineLevel="0" collapsed="false">
      <c r="A218" s="0" t="str">
        <f aca="false">dummy_variables!A216</f>
        <v>STR-1054</v>
      </c>
      <c r="B218" s="0" t="str">
        <f aca="false">dummy_variables!B216</f>
        <v>2025-03-01</v>
      </c>
      <c r="C218" s="0" t="str">
        <f aca="false">dummy_variables!C216</f>
        <v>West</v>
      </c>
      <c r="D218" s="0" t="str">
        <f aca="false">dummy_variables!D216</f>
        <v>Residential</v>
      </c>
      <c r="E218" s="0" t="n">
        <f aca="false">dummy_variables!M216</f>
        <v>752321.72</v>
      </c>
      <c r="F218" s="0" t="n">
        <f aca="false">multiple_regression!$R$5+multiple_regression!$R$6*dummy_variables!E216+multiple_regression!$R$7*dummy_variables!F216+multiple_regression!$R$8*dummy_variables!G216+multiple_regression!$R$9*dummy_variables!I216+multiple_regression!$R$10*dummy_variables!J216+multiple_regression!$R$11*dummy_variables!K216+multiple_regression!$R$12*dummy_variables!L216+multiple_regression!$R$13*dummy_variables!O216+multiple_regression!$R$14*dummy_variables!P216+multiple_regression!$R$15*dummy_variables!Q216+multiple_regression!$R$16*dummy_variables!R216+multiple_regression!$R$17*dummy_variables!S216+multiple_regression!$R$18*dummy_variables!T216</f>
        <v>768535.034663154</v>
      </c>
      <c r="G218" s="0" t="n">
        <f aca="false">E218-F218</f>
        <v>-16213.3146631542</v>
      </c>
      <c r="H218" s="0" t="n">
        <f aca="false">ABS(G218)</f>
        <v>16213.3146631542</v>
      </c>
    </row>
    <row r="219" customFormat="false" ht="15" hidden="false" customHeight="false" outlineLevel="0" collapsed="false">
      <c r="A219" s="0" t="str">
        <f aca="false">dummy_variables!A217</f>
        <v>STR-1054</v>
      </c>
      <c r="B219" s="0" t="str">
        <f aca="false">dummy_variables!B217</f>
        <v>2025-04-01</v>
      </c>
      <c r="C219" s="0" t="str">
        <f aca="false">dummy_variables!C217</f>
        <v>West</v>
      </c>
      <c r="D219" s="0" t="str">
        <f aca="false">dummy_variables!D217</f>
        <v>Residential</v>
      </c>
      <c r="E219" s="0" t="n">
        <f aca="false">dummy_variables!M217</f>
        <v>836908.24</v>
      </c>
      <c r="F219" s="0" t="n">
        <f aca="false">multiple_regression!$R$5+multiple_regression!$R$6*dummy_variables!E217+multiple_regression!$R$7*dummy_variables!F217+multiple_regression!$R$8*dummy_variables!G217+multiple_regression!$R$9*dummy_variables!I217+multiple_regression!$R$10*dummy_variables!J217+multiple_regression!$R$11*dummy_variables!K217+multiple_regression!$R$12*dummy_variables!L217+multiple_regression!$R$13*dummy_variables!O217+multiple_regression!$R$14*dummy_variables!P217+multiple_regression!$R$15*dummy_variables!Q217+multiple_regression!$R$16*dummy_variables!R217+multiple_regression!$R$17*dummy_variables!S217+multiple_regression!$R$18*dummy_variables!T217</f>
        <v>835955.845154827</v>
      </c>
      <c r="G219" s="0" t="n">
        <f aca="false">E219-F219</f>
        <v>952.394845172647</v>
      </c>
      <c r="H219" s="0" t="n">
        <f aca="false">ABS(G219)</f>
        <v>952.394845172647</v>
      </c>
    </row>
    <row r="220" customFormat="false" ht="15" hidden="false" customHeight="false" outlineLevel="0" collapsed="false">
      <c r="A220" s="0" t="str">
        <f aca="false">dummy_variables!A218</f>
        <v>STR-1055</v>
      </c>
      <c r="B220" s="0" t="str">
        <f aca="false">dummy_variables!B218</f>
        <v>2025-01-01</v>
      </c>
      <c r="C220" s="0" t="str">
        <f aca="false">dummy_variables!C218</f>
        <v>North</v>
      </c>
      <c r="D220" s="0" t="str">
        <f aca="false">dummy_variables!D218</f>
        <v>Airport</v>
      </c>
      <c r="E220" s="0" t="n">
        <f aca="false">dummy_variables!M218</f>
        <v>674289.1</v>
      </c>
      <c r="F220" s="0" t="n">
        <f aca="false">multiple_regression!$R$5+multiple_regression!$R$6*dummy_variables!E218+multiple_regression!$R$7*dummy_variables!F218+multiple_regression!$R$8*dummy_variables!G218+multiple_regression!$R$9*dummy_variables!I218+multiple_regression!$R$10*dummy_variables!J218+multiple_regression!$R$11*dummy_variables!K218+multiple_regression!$R$12*dummy_variables!L218+multiple_regression!$R$13*dummy_variables!O218+multiple_regression!$R$14*dummy_variables!P218+multiple_regression!$R$15*dummy_variables!Q218+multiple_regression!$R$16*dummy_variables!R218+multiple_regression!$R$17*dummy_variables!S218+multiple_regression!$R$18*dummy_variables!T218</f>
        <v>658666.727880652</v>
      </c>
      <c r="G220" s="0" t="n">
        <f aca="false">E220-F220</f>
        <v>15622.3721193479</v>
      </c>
      <c r="H220" s="0" t="n">
        <f aca="false">ABS(G220)</f>
        <v>15622.3721193479</v>
      </c>
    </row>
    <row r="221" customFormat="false" ht="15" hidden="false" customHeight="false" outlineLevel="0" collapsed="false">
      <c r="A221" s="0" t="str">
        <f aca="false">dummy_variables!A219</f>
        <v>STR-1055</v>
      </c>
      <c r="B221" s="0" t="str">
        <f aca="false">dummy_variables!B219</f>
        <v>2025-02-01</v>
      </c>
      <c r="C221" s="0" t="str">
        <f aca="false">dummy_variables!C219</f>
        <v>North</v>
      </c>
      <c r="D221" s="0" t="str">
        <f aca="false">dummy_variables!D219</f>
        <v>Airport</v>
      </c>
      <c r="E221" s="0" t="n">
        <f aca="false">dummy_variables!M219</f>
        <v>622892.42</v>
      </c>
      <c r="F221" s="0" t="n">
        <f aca="false">multiple_regression!$R$5+multiple_regression!$R$6*dummy_variables!E219+multiple_regression!$R$7*dummy_variables!F219+multiple_regression!$R$8*dummy_variables!G219+multiple_regression!$R$9*dummy_variables!I219+multiple_regression!$R$10*dummy_variables!J219+multiple_regression!$R$11*dummy_variables!K219+multiple_regression!$R$12*dummy_variables!L219+multiple_regression!$R$13*dummy_variables!O219+multiple_regression!$R$14*dummy_variables!P219+multiple_regression!$R$15*dummy_variables!Q219+multiple_regression!$R$16*dummy_variables!R219+multiple_regression!$R$17*dummy_variables!S219+multiple_regression!$R$18*dummy_variables!T219</f>
        <v>615789.085803852</v>
      </c>
      <c r="G221" s="0" t="n">
        <f aca="false">E221-F221</f>
        <v>7103.33419614774</v>
      </c>
      <c r="H221" s="0" t="n">
        <f aca="false">ABS(G221)</f>
        <v>7103.33419614774</v>
      </c>
    </row>
    <row r="222" customFormat="false" ht="15" hidden="false" customHeight="false" outlineLevel="0" collapsed="false">
      <c r="A222" s="0" t="str">
        <f aca="false">dummy_variables!A220</f>
        <v>STR-1055</v>
      </c>
      <c r="B222" s="0" t="str">
        <f aca="false">dummy_variables!B220</f>
        <v>2025-03-01</v>
      </c>
      <c r="C222" s="0" t="str">
        <f aca="false">dummy_variables!C220</f>
        <v>North</v>
      </c>
      <c r="D222" s="0" t="str">
        <f aca="false">dummy_variables!D220</f>
        <v>Airport</v>
      </c>
      <c r="E222" s="0" t="n">
        <f aca="false">dummy_variables!M220</f>
        <v>673348.56</v>
      </c>
      <c r="F222" s="0" t="n">
        <f aca="false">multiple_regression!$R$5+multiple_regression!$R$6*dummy_variables!E220+multiple_regression!$R$7*dummy_variables!F220+multiple_regression!$R$8*dummy_variables!G220+multiple_regression!$R$9*dummy_variables!I220+multiple_regression!$R$10*dummy_variables!J220+multiple_regression!$R$11*dummy_variables!K220+multiple_regression!$R$12*dummy_variables!L220+multiple_regression!$R$13*dummy_variables!O220+multiple_regression!$R$14*dummy_variables!P220+multiple_regression!$R$15*dummy_variables!Q220+multiple_regression!$R$16*dummy_variables!R220+multiple_regression!$R$17*dummy_variables!S220+multiple_regression!$R$18*dummy_variables!T220</f>
        <v>643602.31695473</v>
      </c>
      <c r="G222" s="0" t="n">
        <f aca="false">E222-F222</f>
        <v>29746.2430452696</v>
      </c>
      <c r="H222" s="0" t="n">
        <f aca="false">ABS(G222)</f>
        <v>29746.2430452696</v>
      </c>
    </row>
    <row r="223" customFormat="false" ht="15" hidden="false" customHeight="false" outlineLevel="0" collapsed="false">
      <c r="A223" s="0" t="str">
        <f aca="false">dummy_variables!A221</f>
        <v>STR-1055</v>
      </c>
      <c r="B223" s="0" t="str">
        <f aca="false">dummy_variables!B221</f>
        <v>2025-04-01</v>
      </c>
      <c r="C223" s="0" t="str">
        <f aca="false">dummy_variables!C221</f>
        <v>North</v>
      </c>
      <c r="D223" s="0" t="str">
        <f aca="false">dummy_variables!D221</f>
        <v>Airport</v>
      </c>
      <c r="E223" s="0" t="n">
        <f aca="false">dummy_variables!M221</f>
        <v>606278.3</v>
      </c>
      <c r="F223" s="0" t="n">
        <f aca="false">multiple_regression!$R$5+multiple_regression!$R$6*dummy_variables!E221+multiple_regression!$R$7*dummy_variables!F221+multiple_regression!$R$8*dummy_variables!G221+multiple_regression!$R$9*dummy_variables!I221+multiple_regression!$R$10*dummy_variables!J221+multiple_regression!$R$11*dummy_variables!K221+multiple_regression!$R$12*dummy_variables!L221+multiple_regression!$R$13*dummy_variables!O221+multiple_regression!$R$14*dummy_variables!P221+multiple_regression!$R$15*dummy_variables!Q221+multiple_regression!$R$16*dummy_variables!R221+multiple_regression!$R$17*dummy_variables!S221+multiple_regression!$R$18*dummy_variables!T221</f>
        <v>616336.126530885</v>
      </c>
      <c r="G223" s="0" t="n">
        <f aca="false">E223-F223</f>
        <v>-10057.8265308851</v>
      </c>
      <c r="H223" s="0" t="n">
        <f aca="false">ABS(G223)</f>
        <v>10057.8265308851</v>
      </c>
    </row>
    <row r="224" customFormat="false" ht="15" hidden="false" customHeight="false" outlineLevel="0" collapsed="false">
      <c r="A224" s="0" t="str">
        <f aca="false">dummy_variables!A222</f>
        <v>STR-1056</v>
      </c>
      <c r="B224" s="0" t="str">
        <f aca="false">dummy_variables!B222</f>
        <v>2025-01-01</v>
      </c>
      <c r="C224" s="0" t="str">
        <f aca="false">dummy_variables!C222</f>
        <v>East</v>
      </c>
      <c r="D224" s="0" t="str">
        <f aca="false">dummy_variables!D222</f>
        <v>High Street</v>
      </c>
      <c r="E224" s="0" t="n">
        <f aca="false">dummy_variables!M222</f>
        <v>712219.81</v>
      </c>
      <c r="F224" s="0" t="n">
        <f aca="false">multiple_regression!$R$5+multiple_regression!$R$6*dummy_variables!E222+multiple_regression!$R$7*dummy_variables!F222+multiple_regression!$R$8*dummy_variables!G222+multiple_regression!$R$9*dummy_variables!I222+multiple_regression!$R$10*dummy_variables!J222+multiple_regression!$R$11*dummy_variables!K222+multiple_regression!$R$12*dummy_variables!L222+multiple_regression!$R$13*dummy_variables!O222+multiple_regression!$R$14*dummy_variables!P222+multiple_regression!$R$15*dummy_variables!Q222+multiple_regression!$R$16*dummy_variables!R222+multiple_regression!$R$17*dummy_variables!S222+multiple_regression!$R$18*dummy_variables!T222</f>
        <v>699311.048558287</v>
      </c>
      <c r="G224" s="0" t="n">
        <f aca="false">E224-F224</f>
        <v>12908.7614417132</v>
      </c>
      <c r="H224" s="0" t="n">
        <f aca="false">ABS(G224)</f>
        <v>12908.7614417132</v>
      </c>
    </row>
    <row r="225" customFormat="false" ht="15" hidden="false" customHeight="false" outlineLevel="0" collapsed="false">
      <c r="A225" s="0" t="str">
        <f aca="false">dummy_variables!A223</f>
        <v>STR-1056</v>
      </c>
      <c r="B225" s="0" t="str">
        <f aca="false">dummy_variables!B223</f>
        <v>2025-02-01</v>
      </c>
      <c r="C225" s="0" t="str">
        <f aca="false">dummy_variables!C223</f>
        <v>East</v>
      </c>
      <c r="D225" s="0" t="str">
        <f aca="false">dummy_variables!D223</f>
        <v>High Street</v>
      </c>
      <c r="E225" s="0" t="n">
        <f aca="false">dummy_variables!M223</f>
        <v>672670.54</v>
      </c>
      <c r="F225" s="0" t="n">
        <f aca="false">multiple_regression!$R$5+multiple_regression!$R$6*dummy_variables!E223+multiple_regression!$R$7*dummy_variables!F223+multiple_regression!$R$8*dummy_variables!G223+multiple_regression!$R$9*dummy_variables!I223+multiple_regression!$R$10*dummy_variables!J223+multiple_regression!$R$11*dummy_variables!K223+multiple_regression!$R$12*dummy_variables!L223+multiple_regression!$R$13*dummy_variables!O223+multiple_regression!$R$14*dummy_variables!P223+multiple_regression!$R$15*dummy_variables!Q223+multiple_regression!$R$16*dummy_variables!R223+multiple_regression!$R$17*dummy_variables!S223+multiple_regression!$R$18*dummy_variables!T223</f>
        <v>670301.143786714</v>
      </c>
      <c r="G225" s="0" t="n">
        <f aca="false">E225-F225</f>
        <v>2369.39621328656</v>
      </c>
      <c r="H225" s="0" t="n">
        <f aca="false">ABS(G225)</f>
        <v>2369.39621328656</v>
      </c>
    </row>
    <row r="226" customFormat="false" ht="15" hidden="false" customHeight="false" outlineLevel="0" collapsed="false">
      <c r="A226" s="0" t="str">
        <f aca="false">dummy_variables!A224</f>
        <v>STR-1056</v>
      </c>
      <c r="B226" s="0" t="str">
        <f aca="false">dummy_variables!B224</f>
        <v>2025-03-01</v>
      </c>
      <c r="C226" s="0" t="str">
        <f aca="false">dummy_variables!C224</f>
        <v>East</v>
      </c>
      <c r="D226" s="0" t="str">
        <f aca="false">dummy_variables!D224</f>
        <v>High Street</v>
      </c>
      <c r="E226" s="0" t="n">
        <f aca="false">dummy_variables!M224</f>
        <v>732667.92</v>
      </c>
      <c r="F226" s="0" t="n">
        <f aca="false">multiple_regression!$R$5+multiple_regression!$R$6*dummy_variables!E224+multiple_regression!$R$7*dummy_variables!F224+multiple_regression!$R$8*dummy_variables!G224+multiple_regression!$R$9*dummy_variables!I224+multiple_regression!$R$10*dummy_variables!J224+multiple_regression!$R$11*dummy_variables!K224+multiple_regression!$R$12*dummy_variables!L224+multiple_regression!$R$13*dummy_variables!O224+multiple_regression!$R$14*dummy_variables!P224+multiple_regression!$R$15*dummy_variables!Q224+multiple_regression!$R$16*dummy_variables!R224+multiple_regression!$R$17*dummy_variables!S224+multiple_regression!$R$18*dummy_variables!T224</f>
        <v>722425.002661065</v>
      </c>
      <c r="G226" s="0" t="n">
        <f aca="false">E226-F226</f>
        <v>10242.9173389355</v>
      </c>
      <c r="H226" s="0" t="n">
        <f aca="false">ABS(G226)</f>
        <v>10242.9173389355</v>
      </c>
    </row>
    <row r="227" customFormat="false" ht="15" hidden="false" customHeight="false" outlineLevel="0" collapsed="false">
      <c r="A227" s="0" t="str">
        <f aca="false">dummy_variables!A225</f>
        <v>STR-1056</v>
      </c>
      <c r="B227" s="0" t="str">
        <f aca="false">dummy_variables!B225</f>
        <v>2025-04-01</v>
      </c>
      <c r="C227" s="0" t="str">
        <f aca="false">dummy_variables!C225</f>
        <v>East</v>
      </c>
      <c r="D227" s="0" t="str">
        <f aca="false">dummy_variables!D225</f>
        <v>High Street</v>
      </c>
      <c r="E227" s="0" t="n">
        <f aca="false">dummy_variables!M225</f>
        <v>723531.4</v>
      </c>
      <c r="F227" s="0" t="n">
        <f aca="false">multiple_regression!$R$5+multiple_regression!$R$6*dummy_variables!E225+multiple_regression!$R$7*dummy_variables!F225+multiple_regression!$R$8*dummy_variables!G225+multiple_regression!$R$9*dummy_variables!I225+multiple_regression!$R$10*dummy_variables!J225+multiple_regression!$R$11*dummy_variables!K225+multiple_regression!$R$12*dummy_variables!L225+multiple_regression!$R$13*dummy_variables!O225+multiple_regression!$R$14*dummy_variables!P225+multiple_regression!$R$15*dummy_variables!Q225+multiple_regression!$R$16*dummy_variables!R225+multiple_regression!$R$17*dummy_variables!S225+multiple_regression!$R$18*dummy_variables!T225</f>
        <v>741789.431237128</v>
      </c>
      <c r="G227" s="0" t="n">
        <f aca="false">E227-F227</f>
        <v>-18258.031237128</v>
      </c>
      <c r="H227" s="0" t="n">
        <f aca="false">ABS(G227)</f>
        <v>18258.031237128</v>
      </c>
    </row>
    <row r="228" customFormat="false" ht="15" hidden="false" customHeight="false" outlineLevel="0" collapsed="false">
      <c r="A228" s="0" t="str">
        <f aca="false">dummy_variables!A226</f>
        <v>STR-1057</v>
      </c>
      <c r="B228" s="0" t="str">
        <f aca="false">dummy_variables!B226</f>
        <v>2025-01-01</v>
      </c>
      <c r="C228" s="0" t="str">
        <f aca="false">dummy_variables!C226</f>
        <v>East</v>
      </c>
      <c r="D228" s="0" t="str">
        <f aca="false">dummy_variables!D226</f>
        <v>Mall</v>
      </c>
      <c r="E228" s="0" t="n">
        <f aca="false">dummy_variables!M226</f>
        <v>641564.6</v>
      </c>
      <c r="F228" s="0" t="n">
        <f aca="false">multiple_regression!$R$5+multiple_regression!$R$6*dummy_variables!E226+multiple_regression!$R$7*dummy_variables!F226+multiple_regression!$R$8*dummy_variables!G226+multiple_regression!$R$9*dummy_variables!I226+multiple_regression!$R$10*dummy_variables!J226+multiple_regression!$R$11*dummy_variables!K226+multiple_regression!$R$12*dummy_variables!L226+multiple_regression!$R$13*dummy_variables!O226+multiple_regression!$R$14*dummy_variables!P226+multiple_regression!$R$15*dummy_variables!Q226+multiple_regression!$R$16*dummy_variables!R226+multiple_regression!$R$17*dummy_variables!S226+multiple_regression!$R$18*dummy_variables!T226</f>
        <v>615629.704543094</v>
      </c>
      <c r="G228" s="0" t="n">
        <f aca="false">E228-F228</f>
        <v>25934.8954569058</v>
      </c>
      <c r="H228" s="0" t="n">
        <f aca="false">ABS(G228)</f>
        <v>25934.8954569058</v>
      </c>
    </row>
    <row r="229" customFormat="false" ht="15" hidden="false" customHeight="false" outlineLevel="0" collapsed="false">
      <c r="A229" s="0" t="str">
        <f aca="false">dummy_variables!A227</f>
        <v>STR-1057</v>
      </c>
      <c r="B229" s="0" t="str">
        <f aca="false">dummy_variables!B227</f>
        <v>2025-02-01</v>
      </c>
      <c r="C229" s="0" t="str">
        <f aca="false">dummy_variables!C227</f>
        <v>East</v>
      </c>
      <c r="D229" s="0" t="str">
        <f aca="false">dummy_variables!D227</f>
        <v>Mall</v>
      </c>
      <c r="E229" s="0" t="n">
        <f aca="false">dummy_variables!M227</f>
        <v>536545.49</v>
      </c>
      <c r="F229" s="0" t="n">
        <f aca="false">multiple_regression!$R$5+multiple_regression!$R$6*dummy_variables!E227+multiple_regression!$R$7*dummy_variables!F227+multiple_regression!$R$8*dummy_variables!G227+multiple_regression!$R$9*dummy_variables!I227+multiple_regression!$R$10*dummy_variables!J227+multiple_regression!$R$11*dummy_variables!K227+multiple_regression!$R$12*dummy_variables!L227+multiple_regression!$R$13*dummy_variables!O227+multiple_regression!$R$14*dummy_variables!P227+multiple_regression!$R$15*dummy_variables!Q227+multiple_regression!$R$16*dummy_variables!R227+multiple_regression!$R$17*dummy_variables!S227+multiple_regression!$R$18*dummy_variables!T227</f>
        <v>518948.690786665</v>
      </c>
      <c r="G229" s="0" t="n">
        <f aca="false">E229-F229</f>
        <v>17596.7992133346</v>
      </c>
      <c r="H229" s="0" t="n">
        <f aca="false">ABS(G229)</f>
        <v>17596.7992133346</v>
      </c>
    </row>
    <row r="230" customFormat="false" ht="15" hidden="false" customHeight="false" outlineLevel="0" collapsed="false">
      <c r="A230" s="0" t="str">
        <f aca="false">dummy_variables!A228</f>
        <v>STR-1057</v>
      </c>
      <c r="B230" s="0" t="str">
        <f aca="false">dummy_variables!B228</f>
        <v>2025-03-01</v>
      </c>
      <c r="C230" s="0" t="str">
        <f aca="false">dummy_variables!C228</f>
        <v>East</v>
      </c>
      <c r="D230" s="0" t="str">
        <f aca="false">dummy_variables!D228</f>
        <v>Mall</v>
      </c>
      <c r="E230" s="0" t="n">
        <f aca="false">dummy_variables!M228</f>
        <v>527681.56</v>
      </c>
      <c r="F230" s="0" t="n">
        <f aca="false">multiple_regression!$R$5+multiple_regression!$R$6*dummy_variables!E228+multiple_regression!$R$7*dummy_variables!F228+multiple_regression!$R$8*dummy_variables!G228+multiple_regression!$R$9*dummy_variables!I228+multiple_regression!$R$10*dummy_variables!J228+multiple_regression!$R$11*dummy_variables!K228+multiple_regression!$R$12*dummy_variables!L228+multiple_regression!$R$13*dummy_variables!O228+multiple_regression!$R$14*dummy_variables!P228+multiple_regression!$R$15*dummy_variables!Q228+multiple_regression!$R$16*dummy_variables!R228+multiple_regression!$R$17*dummy_variables!S228+multiple_regression!$R$18*dummy_variables!T228</f>
        <v>509707.787667502</v>
      </c>
      <c r="G230" s="0" t="n">
        <f aca="false">E230-F230</f>
        <v>17973.7723324982</v>
      </c>
      <c r="H230" s="0" t="n">
        <f aca="false">ABS(G230)</f>
        <v>17973.7723324982</v>
      </c>
    </row>
    <row r="231" customFormat="false" ht="15" hidden="false" customHeight="false" outlineLevel="0" collapsed="false">
      <c r="A231" s="0" t="str">
        <f aca="false">dummy_variables!A229</f>
        <v>STR-1057</v>
      </c>
      <c r="B231" s="0" t="str">
        <f aca="false">dummy_variables!B229</f>
        <v>2025-04-01</v>
      </c>
      <c r="C231" s="0" t="str">
        <f aca="false">dummy_variables!C229</f>
        <v>East</v>
      </c>
      <c r="D231" s="0" t="str">
        <f aca="false">dummy_variables!D229</f>
        <v>Mall</v>
      </c>
      <c r="E231" s="0" t="n">
        <f aca="false">dummy_variables!M229</f>
        <v>529598.94</v>
      </c>
      <c r="F231" s="0" t="n">
        <f aca="false">multiple_regression!$R$5+multiple_regression!$R$6*dummy_variables!E229+multiple_regression!$R$7*dummy_variables!F229+multiple_regression!$R$8*dummy_variables!G229+multiple_regression!$R$9*dummy_variables!I229+multiple_regression!$R$10*dummy_variables!J229+multiple_regression!$R$11*dummy_variables!K229+multiple_regression!$R$12*dummy_variables!L229+multiple_regression!$R$13*dummy_variables!O229+multiple_regression!$R$14*dummy_variables!P229+multiple_regression!$R$15*dummy_variables!Q229+multiple_regression!$R$16*dummy_variables!R229+multiple_regression!$R$17*dummy_variables!S229+multiple_regression!$R$18*dummy_variables!T229</f>
        <v>501274.031985736</v>
      </c>
      <c r="G231" s="0" t="n">
        <f aca="false">E231-F231</f>
        <v>28324.9080142637</v>
      </c>
      <c r="H231" s="0" t="n">
        <f aca="false">ABS(G231)</f>
        <v>28324.9080142637</v>
      </c>
    </row>
    <row r="232" customFormat="false" ht="15" hidden="false" customHeight="false" outlineLevel="0" collapsed="false">
      <c r="A232" s="0" t="str">
        <f aca="false">dummy_variables!A230</f>
        <v>STR-1058</v>
      </c>
      <c r="B232" s="0" t="str">
        <f aca="false">dummy_variables!B230</f>
        <v>2025-01-01</v>
      </c>
      <c r="C232" s="0" t="str">
        <f aca="false">dummy_variables!C230</f>
        <v>East</v>
      </c>
      <c r="D232" s="0" t="str">
        <f aca="false">dummy_variables!D230</f>
        <v>High Street</v>
      </c>
      <c r="E232" s="0" t="n">
        <f aca="false">dummy_variables!M230</f>
        <v>570963.31</v>
      </c>
      <c r="F232" s="0" t="n">
        <f aca="false">multiple_regression!$R$5+multiple_regression!$R$6*dummy_variables!E230+multiple_regression!$R$7*dummy_variables!F230+multiple_regression!$R$8*dummy_variables!G230+multiple_regression!$R$9*dummy_variables!I230+multiple_regression!$R$10*dummy_variables!J230+multiple_regression!$R$11*dummy_variables!K230+multiple_regression!$R$12*dummy_variables!L230+multiple_regression!$R$13*dummy_variables!O230+multiple_regression!$R$14*dummy_variables!P230+multiple_regression!$R$15*dummy_variables!Q230+multiple_regression!$R$16*dummy_variables!R230+multiple_regression!$R$17*dummy_variables!S230+multiple_regression!$R$18*dummy_variables!T230</f>
        <v>629272.267412804</v>
      </c>
      <c r="G232" s="0" t="n">
        <f aca="false">E232-F232</f>
        <v>-58308.9574128037</v>
      </c>
      <c r="H232" s="0" t="n">
        <f aca="false">ABS(G232)</f>
        <v>58308.9574128037</v>
      </c>
    </row>
    <row r="233" customFormat="false" ht="15" hidden="false" customHeight="false" outlineLevel="0" collapsed="false">
      <c r="A233" s="0" t="str">
        <f aca="false">dummy_variables!A231</f>
        <v>STR-1058</v>
      </c>
      <c r="B233" s="0" t="str">
        <f aca="false">dummy_variables!B231</f>
        <v>2025-02-01</v>
      </c>
      <c r="C233" s="0" t="str">
        <f aca="false">dummy_variables!C231</f>
        <v>East</v>
      </c>
      <c r="D233" s="0" t="str">
        <f aca="false">dummy_variables!D231</f>
        <v>High Street</v>
      </c>
      <c r="E233" s="0" t="n">
        <f aca="false">dummy_variables!M231</f>
        <v>870937.4</v>
      </c>
      <c r="F233" s="0" t="n">
        <f aca="false">multiple_regression!$R$5+multiple_regression!$R$6*dummy_variables!E231+multiple_regression!$R$7*dummy_variables!F231+multiple_regression!$R$8*dummy_variables!G231+multiple_regression!$R$9*dummy_variables!I231+multiple_regression!$R$10*dummy_variables!J231+multiple_regression!$R$11*dummy_variables!K231+multiple_regression!$R$12*dummy_variables!L231+multiple_regression!$R$13*dummy_variables!O231+multiple_regression!$R$14*dummy_variables!P231+multiple_regression!$R$15*dummy_variables!Q231+multiple_regression!$R$16*dummy_variables!R231+multiple_regression!$R$17*dummy_variables!S231+multiple_regression!$R$18*dummy_variables!T231</f>
        <v>751096.059908744</v>
      </c>
      <c r="G233" s="0" t="n">
        <f aca="false">E233-F233</f>
        <v>119841.340091257</v>
      </c>
      <c r="H233" s="0" t="n">
        <f aca="false">ABS(G233)</f>
        <v>119841.340091257</v>
      </c>
    </row>
    <row r="234" customFormat="false" ht="15" hidden="false" customHeight="false" outlineLevel="0" collapsed="false">
      <c r="A234" s="0" t="str">
        <f aca="false">dummy_variables!A232</f>
        <v>STR-1058</v>
      </c>
      <c r="B234" s="0" t="str">
        <f aca="false">dummy_variables!B232</f>
        <v>2025-03-01</v>
      </c>
      <c r="C234" s="0" t="str">
        <f aca="false">dummy_variables!C232</f>
        <v>East</v>
      </c>
      <c r="D234" s="0" t="str">
        <f aca="false">dummy_variables!D232</f>
        <v>High Street</v>
      </c>
      <c r="E234" s="0" t="n">
        <f aca="false">dummy_variables!M232</f>
        <v>596969.27</v>
      </c>
      <c r="F234" s="0" t="n">
        <f aca="false">multiple_regression!$R$5+multiple_regression!$R$6*dummy_variables!E232+multiple_regression!$R$7*dummy_variables!F232+multiple_regression!$R$8*dummy_variables!G232+multiple_regression!$R$9*dummy_variables!I232+multiple_regression!$R$10*dummy_variables!J232+multiple_regression!$R$11*dummy_variables!K232+multiple_regression!$R$12*dummy_variables!L232+multiple_regression!$R$13*dummy_variables!O232+multiple_regression!$R$14*dummy_variables!P232+multiple_regression!$R$15*dummy_variables!Q232+multiple_regression!$R$16*dummy_variables!R232+multiple_regression!$R$17*dummy_variables!S232+multiple_regression!$R$18*dummy_variables!T232</f>
        <v>629905.499584584</v>
      </c>
      <c r="G234" s="0" t="n">
        <f aca="false">E234-F234</f>
        <v>-32936.2295845842</v>
      </c>
      <c r="H234" s="0" t="n">
        <f aca="false">ABS(G234)</f>
        <v>32936.2295845842</v>
      </c>
    </row>
    <row r="235" customFormat="false" ht="15" hidden="false" customHeight="false" outlineLevel="0" collapsed="false">
      <c r="A235" s="0" t="str">
        <f aca="false">dummy_variables!A233</f>
        <v>STR-1058</v>
      </c>
      <c r="B235" s="0" t="str">
        <f aca="false">dummy_variables!B233</f>
        <v>2025-04-01</v>
      </c>
      <c r="C235" s="0" t="str">
        <f aca="false">dummy_variables!C233</f>
        <v>East</v>
      </c>
      <c r="D235" s="0" t="str">
        <f aca="false">dummy_variables!D233</f>
        <v>High Street</v>
      </c>
      <c r="E235" s="0" t="n">
        <f aca="false">dummy_variables!M233</f>
        <v>647512.85</v>
      </c>
      <c r="F235" s="0" t="n">
        <f aca="false">multiple_regression!$R$5+multiple_regression!$R$6*dummy_variables!E233+multiple_regression!$R$7*dummy_variables!F233+multiple_regression!$R$8*dummy_variables!G233+multiple_regression!$R$9*dummy_variables!I233+multiple_regression!$R$10*dummy_variables!J233+multiple_regression!$R$11*dummy_variables!K233+multiple_regression!$R$12*dummy_variables!L233+multiple_regression!$R$13*dummy_variables!O233+multiple_regression!$R$14*dummy_variables!P233+multiple_regression!$R$15*dummy_variables!Q233+multiple_regression!$R$16*dummy_variables!R233+multiple_regression!$R$17*dummy_variables!S233+multiple_regression!$R$18*dummy_variables!T233</f>
        <v>618229.564331363</v>
      </c>
      <c r="G235" s="0" t="n">
        <f aca="false">E235-F235</f>
        <v>29283.2856686373</v>
      </c>
      <c r="H235" s="0" t="n">
        <f aca="false">ABS(G235)</f>
        <v>29283.2856686373</v>
      </c>
    </row>
    <row r="236" customFormat="false" ht="15" hidden="false" customHeight="false" outlineLevel="0" collapsed="false">
      <c r="A236" s="0" t="str">
        <f aca="false">dummy_variables!A234</f>
        <v>STR-1059</v>
      </c>
      <c r="B236" s="0" t="str">
        <f aca="false">dummy_variables!B234</f>
        <v>2025-01-01</v>
      </c>
      <c r="C236" s="0" t="str">
        <f aca="false">dummy_variables!C234</f>
        <v>West</v>
      </c>
      <c r="D236" s="0" t="str">
        <f aca="false">dummy_variables!D234</f>
        <v>Residential</v>
      </c>
      <c r="E236" s="0" t="n">
        <f aca="false">dummy_variables!M234</f>
        <v>658072.14</v>
      </c>
      <c r="F236" s="0" t="n">
        <f aca="false">multiple_regression!$R$5+multiple_regression!$R$6*dummy_variables!E234+multiple_regression!$R$7*dummy_variables!F234+multiple_regression!$R$8*dummy_variables!G234+multiple_regression!$R$9*dummy_variables!I234+multiple_regression!$R$10*dummy_variables!J234+multiple_regression!$R$11*dummy_variables!K234+multiple_regression!$R$12*dummy_variables!L234+multiple_regression!$R$13*dummy_variables!O234+multiple_regression!$R$14*dummy_variables!P234+multiple_regression!$R$15*dummy_variables!Q234+multiple_regression!$R$16*dummy_variables!R234+multiple_regression!$R$17*dummy_variables!S234+multiple_regression!$R$18*dummy_variables!T234</f>
        <v>623225.513212363</v>
      </c>
      <c r="G236" s="0" t="n">
        <f aca="false">E236-F236</f>
        <v>34846.6267876374</v>
      </c>
      <c r="H236" s="0" t="n">
        <f aca="false">ABS(G236)</f>
        <v>34846.6267876374</v>
      </c>
    </row>
    <row r="237" customFormat="false" ht="15" hidden="false" customHeight="false" outlineLevel="0" collapsed="false">
      <c r="A237" s="0" t="str">
        <f aca="false">dummy_variables!A235</f>
        <v>STR-1059</v>
      </c>
      <c r="B237" s="0" t="str">
        <f aca="false">dummy_variables!B235</f>
        <v>2025-02-01</v>
      </c>
      <c r="C237" s="0" t="str">
        <f aca="false">dummy_variables!C235</f>
        <v>West</v>
      </c>
      <c r="D237" s="0" t="str">
        <f aca="false">dummy_variables!D235</f>
        <v>Residential</v>
      </c>
      <c r="E237" s="0" t="n">
        <f aca="false">dummy_variables!M235</f>
        <v>723305.11</v>
      </c>
      <c r="F237" s="0" t="n">
        <f aca="false">multiple_regression!$R$5+multiple_regression!$R$6*dummy_variables!E235+multiple_regression!$R$7*dummy_variables!F235+multiple_regression!$R$8*dummy_variables!G235+multiple_regression!$R$9*dummy_variables!I235+multiple_regression!$R$10*dummy_variables!J235+multiple_regression!$R$11*dummy_variables!K235+multiple_regression!$R$12*dummy_variables!L235+multiple_regression!$R$13*dummy_variables!O235+multiple_regression!$R$14*dummy_variables!P235+multiple_regression!$R$15*dummy_variables!Q235+multiple_regression!$R$16*dummy_variables!R235+multiple_regression!$R$17*dummy_variables!S235+multiple_regression!$R$18*dummy_variables!T235</f>
        <v>648175.770378815</v>
      </c>
      <c r="G237" s="0" t="n">
        <f aca="false">E237-F237</f>
        <v>75129.3396211853</v>
      </c>
      <c r="H237" s="0" t="n">
        <f aca="false">ABS(G237)</f>
        <v>75129.3396211853</v>
      </c>
    </row>
    <row r="238" customFormat="false" ht="15" hidden="false" customHeight="false" outlineLevel="0" collapsed="false">
      <c r="A238" s="0" t="str">
        <f aca="false">dummy_variables!A236</f>
        <v>STR-1059</v>
      </c>
      <c r="B238" s="0" t="str">
        <f aca="false">dummy_variables!B236</f>
        <v>2025-03-01</v>
      </c>
      <c r="C238" s="0" t="str">
        <f aca="false">dummy_variables!C236</f>
        <v>West</v>
      </c>
      <c r="D238" s="0" t="str">
        <f aca="false">dummy_variables!D236</f>
        <v>Residential</v>
      </c>
      <c r="E238" s="0" t="n">
        <f aca="false">dummy_variables!M236</f>
        <v>640666.53</v>
      </c>
      <c r="F238" s="0" t="n">
        <f aca="false">multiple_regression!$R$5+multiple_regression!$R$6*dummy_variables!E236+multiple_regression!$R$7*dummy_variables!F236+multiple_regression!$R$8*dummy_variables!G236+multiple_regression!$R$9*dummy_variables!I236+multiple_regression!$R$10*dummy_variables!J236+multiple_regression!$R$11*dummy_variables!K236+multiple_regression!$R$12*dummy_variables!L236+multiple_regression!$R$13*dummy_variables!O236+multiple_regression!$R$14*dummy_variables!P236+multiple_regression!$R$15*dummy_variables!Q236+multiple_regression!$R$16*dummy_variables!R236+multiple_regression!$R$17*dummy_variables!S236+multiple_regression!$R$18*dummy_variables!T236</f>
        <v>641706.783823426</v>
      </c>
      <c r="G238" s="0" t="n">
        <f aca="false">E238-F238</f>
        <v>-1040.25382342632</v>
      </c>
      <c r="H238" s="0" t="n">
        <f aca="false">ABS(G238)</f>
        <v>1040.25382342632</v>
      </c>
    </row>
    <row r="239" customFormat="false" ht="15" hidden="false" customHeight="false" outlineLevel="0" collapsed="false">
      <c r="A239" s="0" t="str">
        <f aca="false">dummy_variables!A237</f>
        <v>STR-1059</v>
      </c>
      <c r="B239" s="0" t="str">
        <f aca="false">dummy_variables!B237</f>
        <v>2025-04-01</v>
      </c>
      <c r="C239" s="0" t="str">
        <f aca="false">dummy_variables!C237</f>
        <v>West</v>
      </c>
      <c r="D239" s="0" t="str">
        <f aca="false">dummy_variables!D237</f>
        <v>Residential</v>
      </c>
      <c r="E239" s="0" t="n">
        <f aca="false">dummy_variables!M237</f>
        <v>670629.48</v>
      </c>
      <c r="F239" s="0" t="n">
        <f aca="false">multiple_regression!$R$5+multiple_regression!$R$6*dummy_variables!E237+multiple_regression!$R$7*dummy_variables!F237+multiple_regression!$R$8*dummy_variables!G237+multiple_regression!$R$9*dummy_variables!I237+multiple_regression!$R$10*dummy_variables!J237+multiple_regression!$R$11*dummy_variables!K237+multiple_regression!$R$12*dummy_variables!L237+multiple_regression!$R$13*dummy_variables!O237+multiple_regression!$R$14*dummy_variables!P237+multiple_regression!$R$15*dummy_variables!Q237+multiple_regression!$R$16*dummy_variables!R237+multiple_regression!$R$17*dummy_variables!S237+multiple_regression!$R$18*dummy_variables!T237</f>
        <v>667375.931744401</v>
      </c>
      <c r="G239" s="0" t="n">
        <f aca="false">E239-F239</f>
        <v>3253.54825559922</v>
      </c>
      <c r="H239" s="0" t="n">
        <f aca="false">ABS(G239)</f>
        <v>3253.54825559922</v>
      </c>
    </row>
    <row r="240" customFormat="false" ht="15" hidden="false" customHeight="false" outlineLevel="0" collapsed="false">
      <c r="A240" s="0" t="str">
        <f aca="false">dummy_variables!A238</f>
        <v>STR-1060</v>
      </c>
      <c r="B240" s="0" t="str">
        <f aca="false">dummy_variables!B238</f>
        <v>2025-01-01</v>
      </c>
      <c r="C240" s="0" t="str">
        <f aca="false">dummy_variables!C238</f>
        <v>West</v>
      </c>
      <c r="D240" s="0" t="str">
        <f aca="false">dummy_variables!D238</f>
        <v>Mall</v>
      </c>
      <c r="E240" s="0" t="n">
        <f aca="false">dummy_variables!M238</f>
        <v>721079.35</v>
      </c>
      <c r="F240" s="0" t="n">
        <f aca="false">multiple_regression!$R$5+multiple_regression!$R$6*dummy_variables!E238+multiple_regression!$R$7*dummy_variables!F238+multiple_regression!$R$8*dummy_variables!G238+multiple_regression!$R$9*dummy_variables!I238+multiple_regression!$R$10*dummy_variables!J238+multiple_regression!$R$11*dummy_variables!K238+multiple_regression!$R$12*dummy_variables!L238+multiple_regression!$R$13*dummy_variables!O238+multiple_regression!$R$14*dummy_variables!P238+multiple_regression!$R$15*dummy_variables!Q238+multiple_regression!$R$16*dummy_variables!R238+multiple_regression!$R$17*dummy_variables!S238+multiple_regression!$R$18*dummy_variables!T238</f>
        <v>809445.786234031</v>
      </c>
      <c r="G240" s="0" t="n">
        <f aca="false">E240-F240</f>
        <v>-88366.4362340315</v>
      </c>
      <c r="H240" s="0" t="n">
        <f aca="false">ABS(G240)</f>
        <v>88366.4362340315</v>
      </c>
    </row>
    <row r="241" customFormat="false" ht="15" hidden="false" customHeight="false" outlineLevel="0" collapsed="false">
      <c r="A241" s="0" t="str">
        <f aca="false">dummy_variables!A239</f>
        <v>STR-1060</v>
      </c>
      <c r="B241" s="0" t="str">
        <f aca="false">dummy_variables!B239</f>
        <v>2025-02-01</v>
      </c>
      <c r="C241" s="0" t="str">
        <f aca="false">dummy_variables!C239</f>
        <v>West</v>
      </c>
      <c r="D241" s="0" t="str">
        <f aca="false">dummy_variables!D239</f>
        <v>Mall</v>
      </c>
      <c r="E241" s="0" t="n">
        <f aca="false">dummy_variables!M239</f>
        <v>810355.02</v>
      </c>
      <c r="F241" s="0" t="n">
        <f aca="false">multiple_regression!$R$5+multiple_regression!$R$6*dummy_variables!E239+multiple_regression!$R$7*dummy_variables!F239+multiple_regression!$R$8*dummy_variables!G239+multiple_regression!$R$9*dummy_variables!I239+multiple_regression!$R$10*dummy_variables!J239+multiple_regression!$R$11*dummy_variables!K239+multiple_regression!$R$12*dummy_variables!L239+multiple_regression!$R$13*dummy_variables!O239+multiple_regression!$R$14*dummy_variables!P239+multiple_regression!$R$15*dummy_variables!Q239+multiple_regression!$R$16*dummy_variables!R239+multiple_regression!$R$17*dummy_variables!S239+multiple_regression!$R$18*dummy_variables!T239</f>
        <v>799106.432582388</v>
      </c>
      <c r="G241" s="0" t="n">
        <f aca="false">E241-F241</f>
        <v>11248.5874176116</v>
      </c>
      <c r="H241" s="0" t="n">
        <f aca="false">ABS(G241)</f>
        <v>11248.5874176116</v>
      </c>
    </row>
    <row r="242" customFormat="false" ht="15" hidden="false" customHeight="false" outlineLevel="0" collapsed="false">
      <c r="A242" s="0" t="str">
        <f aca="false">dummy_variables!A240</f>
        <v>STR-1060</v>
      </c>
      <c r="B242" s="0" t="str">
        <f aca="false">dummy_variables!B240</f>
        <v>2025-03-01</v>
      </c>
      <c r="C242" s="0" t="str">
        <f aca="false">dummy_variables!C240</f>
        <v>West</v>
      </c>
      <c r="D242" s="0" t="str">
        <f aca="false">dummy_variables!D240</f>
        <v>Mall</v>
      </c>
      <c r="E242" s="0" t="n">
        <f aca="false">dummy_variables!M240</f>
        <v>761919.25</v>
      </c>
      <c r="F242" s="0" t="n">
        <f aca="false">multiple_regression!$R$5+multiple_regression!$R$6*dummy_variables!E240+multiple_regression!$R$7*dummy_variables!F240+multiple_regression!$R$8*dummy_variables!G240+multiple_regression!$R$9*dummy_variables!I240+multiple_regression!$R$10*dummy_variables!J240+multiple_regression!$R$11*dummy_variables!K240+multiple_regression!$R$12*dummy_variables!L240+multiple_regression!$R$13*dummy_variables!O240+multiple_regression!$R$14*dummy_variables!P240+multiple_regression!$R$15*dummy_variables!Q240+multiple_regression!$R$16*dummy_variables!R240+multiple_regression!$R$17*dummy_variables!S240+multiple_regression!$R$18*dummy_variables!T240</f>
        <v>770858.416756644</v>
      </c>
      <c r="G242" s="0" t="n">
        <f aca="false">E242-F242</f>
        <v>-8939.16675664368</v>
      </c>
      <c r="H242" s="0" t="n">
        <f aca="false">ABS(G242)</f>
        <v>8939.16675664368</v>
      </c>
    </row>
    <row r="243" customFormat="false" ht="15" hidden="false" customHeight="false" outlineLevel="0" collapsed="false">
      <c r="A243" s="0" t="str">
        <f aca="false">dummy_variables!A241</f>
        <v>STR-1060</v>
      </c>
      <c r="B243" s="0" t="str">
        <f aca="false">dummy_variables!B241</f>
        <v>2025-04-01</v>
      </c>
      <c r="C243" s="0" t="str">
        <f aca="false">dummy_variables!C241</f>
        <v>West</v>
      </c>
      <c r="D243" s="0" t="str">
        <f aca="false">dummy_variables!D241</f>
        <v>Mall</v>
      </c>
      <c r="E243" s="0" t="n">
        <f aca="false">dummy_variables!M241</f>
        <v>737070.18</v>
      </c>
      <c r="F243" s="0" t="n">
        <f aca="false">multiple_regression!$R$5+multiple_regression!$R$6*dummy_variables!E241+multiple_regression!$R$7*dummy_variables!F241+multiple_regression!$R$8*dummy_variables!G241+multiple_regression!$R$9*dummy_variables!I241+multiple_regression!$R$10*dummy_variables!J241+multiple_regression!$R$11*dummy_variables!K241+multiple_regression!$R$12*dummy_variables!L241+multiple_regression!$R$13*dummy_variables!O241+multiple_regression!$R$14*dummy_variables!P241+multiple_regression!$R$15*dummy_variables!Q241+multiple_regression!$R$16*dummy_variables!R241+multiple_regression!$R$17*dummy_variables!S241+multiple_regression!$R$18*dummy_variables!T241</f>
        <v>735542.584803579</v>
      </c>
      <c r="G243" s="0" t="n">
        <f aca="false">E243-F243</f>
        <v>1527.59519642068</v>
      </c>
      <c r="H243" s="0" t="n">
        <f aca="false">ABS(G243)</f>
        <v>1527.59519642068</v>
      </c>
    </row>
    <row r="244" customFormat="false" ht="15" hidden="false" customHeight="false" outlineLevel="0" collapsed="false">
      <c r="A244" s="0" t="str">
        <f aca="false">dummy_variables!A242</f>
        <v>STR-1061</v>
      </c>
      <c r="B244" s="0" t="str">
        <f aca="false">dummy_variables!B242</f>
        <v>2025-01-01</v>
      </c>
      <c r="C244" s="0" t="str">
        <f aca="false">dummy_variables!C242</f>
        <v>South</v>
      </c>
      <c r="D244" s="0" t="str">
        <f aca="false">dummy_variables!D242</f>
        <v>Airport</v>
      </c>
      <c r="E244" s="0" t="n">
        <f aca="false">dummy_variables!M242</f>
        <v>776992.93</v>
      </c>
      <c r="F244" s="0" t="n">
        <f aca="false">multiple_regression!$R$5+multiple_regression!$R$6*dummy_variables!E242+multiple_regression!$R$7*dummy_variables!F242+multiple_regression!$R$8*dummy_variables!G242+multiple_regression!$R$9*dummy_variables!I242+multiple_regression!$R$10*dummy_variables!J242+multiple_regression!$R$11*dummy_variables!K242+multiple_regression!$R$12*dummy_variables!L242+multiple_regression!$R$13*dummy_variables!O242+multiple_regression!$R$14*dummy_variables!P242+multiple_regression!$R$15*dummy_variables!Q242+multiple_regression!$R$16*dummy_variables!R242+multiple_regression!$R$17*dummy_variables!S242+multiple_regression!$R$18*dummy_variables!T242</f>
        <v>745436.83490003</v>
      </c>
      <c r="G244" s="0" t="n">
        <f aca="false">E244-F244</f>
        <v>31556.0950999701</v>
      </c>
      <c r="H244" s="0" t="n">
        <f aca="false">ABS(G244)</f>
        <v>31556.0950999701</v>
      </c>
    </row>
    <row r="245" customFormat="false" ht="15" hidden="false" customHeight="false" outlineLevel="0" collapsed="false">
      <c r="A245" s="0" t="str">
        <f aca="false">dummy_variables!A243</f>
        <v>STR-1061</v>
      </c>
      <c r="B245" s="0" t="str">
        <f aca="false">dummy_variables!B243</f>
        <v>2025-02-01</v>
      </c>
      <c r="C245" s="0" t="str">
        <f aca="false">dummy_variables!C243</f>
        <v>South</v>
      </c>
      <c r="D245" s="0" t="str">
        <f aca="false">dummy_variables!D243</f>
        <v>Airport</v>
      </c>
      <c r="E245" s="0" t="n">
        <f aca="false">dummy_variables!M243</f>
        <v>676337.41</v>
      </c>
      <c r="F245" s="0" t="n">
        <f aca="false">multiple_regression!$R$5+multiple_regression!$R$6*dummy_variables!E243+multiple_regression!$R$7*dummy_variables!F243+multiple_regression!$R$8*dummy_variables!G243+multiple_regression!$R$9*dummy_variables!I243+multiple_regression!$R$10*dummy_variables!J243+multiple_regression!$R$11*dummy_variables!K243+multiple_regression!$R$12*dummy_variables!L243+multiple_regression!$R$13*dummy_variables!O243+multiple_regression!$R$14*dummy_variables!P243+multiple_regression!$R$15*dummy_variables!Q243+multiple_regression!$R$16*dummy_variables!R243+multiple_regression!$R$17*dummy_variables!S243+multiple_regression!$R$18*dummy_variables!T243</f>
        <v>667797.759024572</v>
      </c>
      <c r="G245" s="0" t="n">
        <f aca="false">E245-F245</f>
        <v>8539.65097542782</v>
      </c>
      <c r="H245" s="0" t="n">
        <f aca="false">ABS(G245)</f>
        <v>8539.65097542782</v>
      </c>
    </row>
    <row r="246" customFormat="false" ht="15" hidden="false" customHeight="false" outlineLevel="0" collapsed="false">
      <c r="A246" s="0" t="str">
        <f aca="false">dummy_variables!A244</f>
        <v>STR-1061</v>
      </c>
      <c r="B246" s="0" t="str">
        <f aca="false">dummy_variables!B244</f>
        <v>2025-03-01</v>
      </c>
      <c r="C246" s="0" t="str">
        <f aca="false">dummy_variables!C244</f>
        <v>South</v>
      </c>
      <c r="D246" s="0" t="str">
        <f aca="false">dummy_variables!D244</f>
        <v>Airport</v>
      </c>
      <c r="E246" s="0" t="n">
        <f aca="false">dummy_variables!M244</f>
        <v>828219.67</v>
      </c>
      <c r="F246" s="0" t="n">
        <f aca="false">multiple_regression!$R$5+multiple_regression!$R$6*dummy_variables!E244+multiple_regression!$R$7*dummy_variables!F244+multiple_regression!$R$8*dummy_variables!G244+multiple_regression!$R$9*dummy_variables!I244+multiple_regression!$R$10*dummy_variables!J244+multiple_regression!$R$11*dummy_variables!K244+multiple_regression!$R$12*dummy_variables!L244+multiple_regression!$R$13*dummy_variables!O244+multiple_regression!$R$14*dummy_variables!P244+multiple_regression!$R$15*dummy_variables!Q244+multiple_regression!$R$16*dummy_variables!R244+multiple_regression!$R$17*dummy_variables!S244+multiple_regression!$R$18*dummy_variables!T244</f>
        <v>839640.144192337</v>
      </c>
      <c r="G246" s="0" t="n">
        <f aca="false">E246-F246</f>
        <v>-11420.4741923366</v>
      </c>
      <c r="H246" s="0" t="n">
        <f aca="false">ABS(G246)</f>
        <v>11420.4741923366</v>
      </c>
    </row>
    <row r="247" customFormat="false" ht="15" hidden="false" customHeight="false" outlineLevel="0" collapsed="false">
      <c r="A247" s="0" t="str">
        <f aca="false">dummy_variables!A245</f>
        <v>STR-1061</v>
      </c>
      <c r="B247" s="0" t="str">
        <f aca="false">dummy_variables!B245</f>
        <v>2025-04-01</v>
      </c>
      <c r="C247" s="0" t="str">
        <f aca="false">dummy_variables!C245</f>
        <v>South</v>
      </c>
      <c r="D247" s="0" t="str">
        <f aca="false">dummy_variables!D245</f>
        <v>Airport</v>
      </c>
      <c r="E247" s="0" t="n">
        <f aca="false">dummy_variables!M245</f>
        <v>763159.92</v>
      </c>
      <c r="F247" s="0" t="n">
        <f aca="false">multiple_regression!$R$5+multiple_regression!$R$6*dummy_variables!E245+multiple_regression!$R$7*dummy_variables!F245+multiple_regression!$R$8*dummy_variables!G245+multiple_regression!$R$9*dummy_variables!I245+multiple_regression!$R$10*dummy_variables!J245+multiple_regression!$R$11*dummy_variables!K245+multiple_regression!$R$12*dummy_variables!L245+multiple_regression!$R$13*dummy_variables!O245+multiple_regression!$R$14*dummy_variables!P245+multiple_regression!$R$15*dummy_variables!Q245+multiple_regression!$R$16*dummy_variables!R245+multiple_regression!$R$17*dummy_variables!S245+multiple_regression!$R$18*dummy_variables!T245</f>
        <v>776408.071893709</v>
      </c>
      <c r="G247" s="0" t="n">
        <f aca="false">E247-F247</f>
        <v>-13248.1518937085</v>
      </c>
      <c r="H247" s="0" t="n">
        <f aca="false">ABS(G247)</f>
        <v>13248.1518937085</v>
      </c>
    </row>
    <row r="248" customFormat="false" ht="15" hidden="false" customHeight="false" outlineLevel="0" collapsed="false">
      <c r="A248" s="0" t="str">
        <f aca="false">dummy_variables!A246</f>
        <v>STR-1062</v>
      </c>
      <c r="B248" s="0" t="str">
        <f aca="false">dummy_variables!B246</f>
        <v>2025-01-01</v>
      </c>
      <c r="C248" s="0" t="str">
        <f aca="false">dummy_variables!C246</f>
        <v>East</v>
      </c>
      <c r="D248" s="0" t="str">
        <f aca="false">dummy_variables!D246</f>
        <v>High Street</v>
      </c>
      <c r="E248" s="0" t="n">
        <f aca="false">dummy_variables!M246</f>
        <v>802001.68</v>
      </c>
      <c r="F248" s="0" t="n">
        <f aca="false">multiple_regression!$R$5+multiple_regression!$R$6*dummy_variables!E246+multiple_regression!$R$7*dummy_variables!F246+multiple_regression!$R$8*dummy_variables!G246+multiple_regression!$R$9*dummy_variables!I246+multiple_regression!$R$10*dummy_variables!J246+multiple_regression!$R$11*dummy_variables!K246+multiple_regression!$R$12*dummy_variables!L246+multiple_regression!$R$13*dummy_variables!O246+multiple_regression!$R$14*dummy_variables!P246+multiple_regression!$R$15*dummy_variables!Q246+multiple_regression!$R$16*dummy_variables!R246+multiple_regression!$R$17*dummy_variables!S246+multiple_regression!$R$18*dummy_variables!T246</f>
        <v>783936.324430656</v>
      </c>
      <c r="G248" s="0" t="n">
        <f aca="false">E248-F248</f>
        <v>18065.3555693444</v>
      </c>
      <c r="H248" s="0" t="n">
        <f aca="false">ABS(G248)</f>
        <v>18065.3555693444</v>
      </c>
    </row>
    <row r="249" customFormat="false" ht="15" hidden="false" customHeight="false" outlineLevel="0" collapsed="false">
      <c r="A249" s="0" t="str">
        <f aca="false">dummy_variables!A247</f>
        <v>STR-1062</v>
      </c>
      <c r="B249" s="0" t="str">
        <f aca="false">dummy_variables!B247</f>
        <v>2025-02-01</v>
      </c>
      <c r="C249" s="0" t="str">
        <f aca="false">dummy_variables!C247</f>
        <v>East</v>
      </c>
      <c r="D249" s="0" t="str">
        <f aca="false">dummy_variables!D247</f>
        <v>High Street</v>
      </c>
      <c r="E249" s="0" t="n">
        <f aca="false">dummy_variables!M247</f>
        <v>750471.34</v>
      </c>
      <c r="F249" s="0" t="n">
        <f aca="false">multiple_regression!$R$5+multiple_regression!$R$6*dummy_variables!E247+multiple_regression!$R$7*dummy_variables!F247+multiple_regression!$R$8*dummy_variables!G247+multiple_regression!$R$9*dummy_variables!I247+multiple_regression!$R$10*dummy_variables!J247+multiple_regression!$R$11*dummy_variables!K247+multiple_regression!$R$12*dummy_variables!L247+multiple_regression!$R$13*dummy_variables!O247+multiple_regression!$R$14*dummy_variables!P247+multiple_regression!$R$15*dummy_variables!Q247+multiple_regression!$R$16*dummy_variables!R247+multiple_regression!$R$17*dummy_variables!S247+multiple_regression!$R$18*dummy_variables!T247</f>
        <v>744407.0577641</v>
      </c>
      <c r="G249" s="0" t="n">
        <f aca="false">E249-F249</f>
        <v>6064.28223589982</v>
      </c>
      <c r="H249" s="0" t="n">
        <f aca="false">ABS(G249)</f>
        <v>6064.28223589982</v>
      </c>
    </row>
    <row r="250" customFormat="false" ht="15" hidden="false" customHeight="false" outlineLevel="0" collapsed="false">
      <c r="A250" s="0" t="str">
        <f aca="false">dummy_variables!A248</f>
        <v>STR-1062</v>
      </c>
      <c r="B250" s="0" t="str">
        <f aca="false">dummy_variables!B248</f>
        <v>2025-03-01</v>
      </c>
      <c r="C250" s="0" t="str">
        <f aca="false">dummy_variables!C248</f>
        <v>East</v>
      </c>
      <c r="D250" s="0" t="str">
        <f aca="false">dummy_variables!D248</f>
        <v>High Street</v>
      </c>
      <c r="E250" s="0" t="n">
        <f aca="false">dummy_variables!M248</f>
        <v>679230.86</v>
      </c>
      <c r="F250" s="0" t="n">
        <f aca="false">multiple_regression!$R$5+multiple_regression!$R$6*dummy_variables!E248+multiple_regression!$R$7*dummy_variables!F248+multiple_regression!$R$8*dummy_variables!G248+multiple_regression!$R$9*dummy_variables!I248+multiple_regression!$R$10*dummy_variables!J248+multiple_regression!$R$11*dummy_variables!K248+multiple_regression!$R$12*dummy_variables!L248+multiple_regression!$R$13*dummy_variables!O248+multiple_regression!$R$14*dummy_variables!P248+multiple_regression!$R$15*dummy_variables!Q248+multiple_regression!$R$16*dummy_variables!R248+multiple_regression!$R$17*dummy_variables!S248+multiple_regression!$R$18*dummy_variables!T248</f>
        <v>706433.887542943</v>
      </c>
      <c r="G250" s="0" t="n">
        <f aca="false">E250-F250</f>
        <v>-27203.0275429434</v>
      </c>
      <c r="H250" s="0" t="n">
        <f aca="false">ABS(G250)</f>
        <v>27203.0275429434</v>
      </c>
    </row>
    <row r="251" customFormat="false" ht="15" hidden="false" customHeight="false" outlineLevel="0" collapsed="false">
      <c r="A251" s="0" t="str">
        <f aca="false">dummy_variables!A249</f>
        <v>STR-1062</v>
      </c>
      <c r="B251" s="0" t="str">
        <f aca="false">dummy_variables!B249</f>
        <v>2025-04-01</v>
      </c>
      <c r="C251" s="0" t="str">
        <f aca="false">dummy_variables!C249</f>
        <v>East</v>
      </c>
      <c r="D251" s="0" t="str">
        <f aca="false">dummy_variables!D249</f>
        <v>High Street</v>
      </c>
      <c r="E251" s="0" t="n">
        <f aca="false">dummy_variables!M249</f>
        <v>679888.74</v>
      </c>
      <c r="F251" s="0" t="n">
        <f aca="false">multiple_regression!$R$5+multiple_regression!$R$6*dummy_variables!E249+multiple_regression!$R$7*dummy_variables!F249+multiple_regression!$R$8*dummy_variables!G249+multiple_regression!$R$9*dummy_variables!I249+multiple_regression!$R$10*dummy_variables!J249+multiple_regression!$R$11*dummy_variables!K249+multiple_regression!$R$12*dummy_variables!L249+multiple_regression!$R$13*dummy_variables!O249+multiple_regression!$R$14*dummy_variables!P249+multiple_regression!$R$15*dummy_variables!Q249+multiple_regression!$R$16*dummy_variables!R249+multiple_regression!$R$17*dummy_variables!S249+multiple_regression!$R$18*dummy_variables!T249</f>
        <v>679982.957804867</v>
      </c>
      <c r="G251" s="0" t="n">
        <f aca="false">E251-F251</f>
        <v>-94.217804867425</v>
      </c>
      <c r="H251" s="0" t="n">
        <f aca="false">ABS(G251)</f>
        <v>94.217804867425</v>
      </c>
    </row>
    <row r="252" customFormat="false" ht="15" hidden="false" customHeight="false" outlineLevel="0" collapsed="false">
      <c r="A252" s="0" t="str">
        <f aca="false">dummy_variables!A250</f>
        <v>STR-1063</v>
      </c>
      <c r="B252" s="0" t="str">
        <f aca="false">dummy_variables!B250</f>
        <v>2025-01-01</v>
      </c>
      <c r="C252" s="0" t="str">
        <f aca="false">dummy_variables!C250</f>
        <v>North</v>
      </c>
      <c r="D252" s="0" t="str">
        <f aca="false">dummy_variables!D250</f>
        <v>High Street</v>
      </c>
      <c r="E252" s="0" t="n">
        <f aca="false">dummy_variables!M250</f>
        <v>606783.67</v>
      </c>
      <c r="F252" s="0" t="n">
        <f aca="false">multiple_regression!$R$5+multiple_regression!$R$6*dummy_variables!E250+multiple_regression!$R$7*dummy_variables!F250+multiple_regression!$R$8*dummy_variables!G250+multiple_regression!$R$9*dummy_variables!I250+multiple_regression!$R$10*dummy_variables!J250+multiple_regression!$R$11*dummy_variables!K250+multiple_regression!$R$12*dummy_variables!L250+multiple_regression!$R$13*dummy_variables!O250+multiple_regression!$R$14*dummy_variables!P250+multiple_regression!$R$15*dummy_variables!Q250+multiple_regression!$R$16*dummy_variables!R250+multiple_regression!$R$17*dummy_variables!S250+multiple_regression!$R$18*dummy_variables!T250</f>
        <v>592105.793692033</v>
      </c>
      <c r="G252" s="0" t="n">
        <f aca="false">E252-F252</f>
        <v>14677.8763079671</v>
      </c>
      <c r="H252" s="0" t="n">
        <f aca="false">ABS(G252)</f>
        <v>14677.8763079671</v>
      </c>
    </row>
    <row r="253" customFormat="false" ht="15" hidden="false" customHeight="false" outlineLevel="0" collapsed="false">
      <c r="A253" s="0" t="str">
        <f aca="false">dummy_variables!A251</f>
        <v>STR-1063</v>
      </c>
      <c r="B253" s="0" t="str">
        <f aca="false">dummy_variables!B251</f>
        <v>2025-02-01</v>
      </c>
      <c r="C253" s="0" t="str">
        <f aca="false">dummy_variables!C251</f>
        <v>North</v>
      </c>
      <c r="D253" s="0" t="str">
        <f aca="false">dummy_variables!D251</f>
        <v>High Street</v>
      </c>
      <c r="E253" s="0" t="n">
        <f aca="false">dummy_variables!M251</f>
        <v>642751.42</v>
      </c>
      <c r="F253" s="0" t="n">
        <f aca="false">multiple_regression!$R$5+multiple_regression!$R$6*dummy_variables!E251+multiple_regression!$R$7*dummy_variables!F251+multiple_regression!$R$8*dummy_variables!G251+multiple_regression!$R$9*dummy_variables!I251+multiple_regression!$R$10*dummy_variables!J251+multiple_regression!$R$11*dummy_variables!K251+multiple_regression!$R$12*dummy_variables!L251+multiple_regression!$R$13*dummy_variables!O251+multiple_regression!$R$14*dummy_variables!P251+multiple_regression!$R$15*dummy_variables!Q251+multiple_regression!$R$16*dummy_variables!R251+multiple_regression!$R$17*dummy_variables!S251+multiple_regression!$R$18*dummy_variables!T251</f>
        <v>648472.51848906</v>
      </c>
      <c r="G253" s="0" t="n">
        <f aca="false">E253-F253</f>
        <v>-5721.09848905983</v>
      </c>
      <c r="H253" s="0" t="n">
        <f aca="false">ABS(G253)</f>
        <v>5721.09848905983</v>
      </c>
    </row>
    <row r="254" customFormat="false" ht="15" hidden="false" customHeight="false" outlineLevel="0" collapsed="false">
      <c r="A254" s="0" t="str">
        <f aca="false">dummy_variables!A252</f>
        <v>STR-1063</v>
      </c>
      <c r="B254" s="0" t="str">
        <f aca="false">dummy_variables!B252</f>
        <v>2025-03-01</v>
      </c>
      <c r="C254" s="0" t="str">
        <f aca="false">dummy_variables!C252</f>
        <v>North</v>
      </c>
      <c r="D254" s="0" t="str">
        <f aca="false">dummy_variables!D252</f>
        <v>High Street</v>
      </c>
      <c r="E254" s="0" t="n">
        <f aca="false">dummy_variables!M252</f>
        <v>647953.78</v>
      </c>
      <c r="F254" s="0" t="n">
        <f aca="false">multiple_regression!$R$5+multiple_regression!$R$6*dummy_variables!E252+multiple_regression!$R$7*dummy_variables!F252+multiple_regression!$R$8*dummy_variables!G252+multiple_regression!$R$9*dummy_variables!I252+multiple_regression!$R$10*dummy_variables!J252+multiple_regression!$R$11*dummy_variables!K252+multiple_regression!$R$12*dummy_variables!L252+multiple_regression!$R$13*dummy_variables!O252+multiple_regression!$R$14*dummy_variables!P252+multiple_regression!$R$15*dummy_variables!Q252+multiple_regression!$R$16*dummy_variables!R252+multiple_regression!$R$17*dummy_variables!S252+multiple_regression!$R$18*dummy_variables!T252</f>
        <v>654561.32079806</v>
      </c>
      <c r="G254" s="0" t="n">
        <f aca="false">E254-F254</f>
        <v>-6607.5407980599</v>
      </c>
      <c r="H254" s="0" t="n">
        <f aca="false">ABS(G254)</f>
        <v>6607.5407980599</v>
      </c>
    </row>
    <row r="255" customFormat="false" ht="15" hidden="false" customHeight="false" outlineLevel="0" collapsed="false">
      <c r="A255" s="0" t="str">
        <f aca="false">dummy_variables!A253</f>
        <v>STR-1063</v>
      </c>
      <c r="B255" s="0" t="str">
        <f aca="false">dummy_variables!B253</f>
        <v>2025-04-01</v>
      </c>
      <c r="C255" s="0" t="str">
        <f aca="false">dummy_variables!C253</f>
        <v>North</v>
      </c>
      <c r="D255" s="0" t="str">
        <f aca="false">dummy_variables!D253</f>
        <v>High Street</v>
      </c>
      <c r="E255" s="0" t="n">
        <f aca="false">dummy_variables!M253</f>
        <v>729440.45</v>
      </c>
      <c r="F255" s="0" t="n">
        <f aca="false">multiple_regression!$R$5+multiple_regression!$R$6*dummy_variables!E253+multiple_regression!$R$7*dummy_variables!F253+multiple_regression!$R$8*dummy_variables!G253+multiple_regression!$R$9*dummy_variables!I253+multiple_regression!$R$10*dummy_variables!J253+multiple_regression!$R$11*dummy_variables!K253+multiple_regression!$R$12*dummy_variables!L253+multiple_regression!$R$13*dummy_variables!O253+multiple_regression!$R$14*dummy_variables!P253+multiple_regression!$R$15*dummy_variables!Q253+multiple_regression!$R$16*dummy_variables!R253+multiple_regression!$R$17*dummy_variables!S253+multiple_regression!$R$18*dummy_variables!T253</f>
        <v>722833.974202781</v>
      </c>
      <c r="G255" s="0" t="n">
        <f aca="false">E255-F255</f>
        <v>6606.47579721874</v>
      </c>
      <c r="H255" s="0" t="n">
        <f aca="false">ABS(G255)</f>
        <v>6606.47579721874</v>
      </c>
    </row>
    <row r="256" customFormat="false" ht="15" hidden="false" customHeight="false" outlineLevel="0" collapsed="false">
      <c r="A256" s="0" t="str">
        <f aca="false">dummy_variables!A254</f>
        <v>STR-1064</v>
      </c>
      <c r="B256" s="0" t="str">
        <f aca="false">dummy_variables!B254</f>
        <v>2025-01-01</v>
      </c>
      <c r="C256" s="0" t="str">
        <f aca="false">dummy_variables!C254</f>
        <v>South</v>
      </c>
      <c r="D256" s="0" t="str">
        <f aca="false">dummy_variables!D254</f>
        <v>Airport</v>
      </c>
      <c r="E256" s="0" t="n">
        <f aca="false">dummy_variables!M254</f>
        <v>764949</v>
      </c>
      <c r="F256" s="0" t="n">
        <f aca="false">multiple_regression!$R$5+multiple_regression!$R$6*dummy_variables!E254+multiple_regression!$R$7*dummy_variables!F254+multiple_regression!$R$8*dummy_variables!G254+multiple_regression!$R$9*dummy_variables!I254+multiple_regression!$R$10*dummy_variables!J254+multiple_regression!$R$11*dummy_variables!K254+multiple_regression!$R$12*dummy_variables!L254+multiple_regression!$R$13*dummy_variables!O254+multiple_regression!$R$14*dummy_variables!P254+multiple_regression!$R$15*dummy_variables!Q254+multiple_regression!$R$16*dummy_variables!R254+multiple_regression!$R$17*dummy_variables!S254+multiple_regression!$R$18*dummy_variables!T254</f>
        <v>765254.056604563</v>
      </c>
      <c r="G256" s="0" t="n">
        <f aca="false">E256-F256</f>
        <v>-305.056604563026</v>
      </c>
      <c r="H256" s="0" t="n">
        <f aca="false">ABS(G256)</f>
        <v>305.056604563026</v>
      </c>
    </row>
    <row r="257" customFormat="false" ht="15" hidden="false" customHeight="false" outlineLevel="0" collapsed="false">
      <c r="A257" s="0" t="str">
        <f aca="false">dummy_variables!A255</f>
        <v>STR-1064</v>
      </c>
      <c r="B257" s="0" t="str">
        <f aca="false">dummy_variables!B255</f>
        <v>2025-02-01</v>
      </c>
      <c r="C257" s="0" t="str">
        <f aca="false">dummy_variables!C255</f>
        <v>South</v>
      </c>
      <c r="D257" s="0" t="str">
        <f aca="false">dummy_variables!D255</f>
        <v>Airport</v>
      </c>
      <c r="E257" s="0" t="n">
        <f aca="false">dummy_variables!M255</f>
        <v>799046.94</v>
      </c>
      <c r="F257" s="0" t="n">
        <f aca="false">multiple_regression!$R$5+multiple_regression!$R$6*dummy_variables!E255+multiple_regression!$R$7*dummy_variables!F255+multiple_regression!$R$8*dummy_variables!G255+multiple_regression!$R$9*dummy_variables!I255+multiple_regression!$R$10*dummy_variables!J255+multiple_regression!$R$11*dummy_variables!K255+multiple_regression!$R$12*dummy_variables!L255+multiple_regression!$R$13*dummy_variables!O255+multiple_regression!$R$14*dummy_variables!P255+multiple_regression!$R$15*dummy_variables!Q255+multiple_regression!$R$16*dummy_variables!R255+multiple_regression!$R$17*dummy_variables!S255+multiple_regression!$R$18*dummy_variables!T255</f>
        <v>723636.479326206</v>
      </c>
      <c r="G257" s="0" t="n">
        <f aca="false">E257-F257</f>
        <v>75410.4606737944</v>
      </c>
      <c r="H257" s="0" t="n">
        <f aca="false">ABS(G257)</f>
        <v>75410.4606737944</v>
      </c>
    </row>
    <row r="258" customFormat="false" ht="15" hidden="false" customHeight="false" outlineLevel="0" collapsed="false">
      <c r="A258" s="0" t="str">
        <f aca="false">dummy_variables!A256</f>
        <v>STR-1064</v>
      </c>
      <c r="B258" s="0" t="str">
        <f aca="false">dummy_variables!B256</f>
        <v>2025-03-01</v>
      </c>
      <c r="C258" s="0" t="str">
        <f aca="false">dummy_variables!C256</f>
        <v>South</v>
      </c>
      <c r="D258" s="0" t="str">
        <f aca="false">dummy_variables!D256</f>
        <v>Airport</v>
      </c>
      <c r="E258" s="0" t="n">
        <f aca="false">dummy_variables!M256</f>
        <v>720079.54</v>
      </c>
      <c r="F258" s="0" t="n">
        <f aca="false">multiple_regression!$R$5+multiple_regression!$R$6*dummy_variables!E256+multiple_regression!$R$7*dummy_variables!F256+multiple_regression!$R$8*dummy_variables!G256+multiple_regression!$R$9*dummy_variables!I256+multiple_regression!$R$10*dummy_variables!J256+multiple_regression!$R$11*dummy_variables!K256+multiple_regression!$R$12*dummy_variables!L256+multiple_regression!$R$13*dummy_variables!O256+multiple_regression!$R$14*dummy_variables!P256+multiple_regression!$R$15*dummy_variables!Q256+multiple_regression!$R$16*dummy_variables!R256+multiple_regression!$R$17*dummy_variables!S256+multiple_regression!$R$18*dummy_variables!T256</f>
        <v>713381.824507511</v>
      </c>
      <c r="G258" s="0" t="n">
        <f aca="false">E258-F258</f>
        <v>6697.71549248882</v>
      </c>
      <c r="H258" s="0" t="n">
        <f aca="false">ABS(G258)</f>
        <v>6697.71549248882</v>
      </c>
    </row>
    <row r="259" customFormat="false" ht="15" hidden="false" customHeight="false" outlineLevel="0" collapsed="false">
      <c r="A259" s="0" t="str">
        <f aca="false">dummy_variables!A257</f>
        <v>STR-1064</v>
      </c>
      <c r="B259" s="0" t="str">
        <f aca="false">dummy_variables!B257</f>
        <v>2025-04-01</v>
      </c>
      <c r="C259" s="0" t="str">
        <f aca="false">dummy_variables!C257</f>
        <v>South</v>
      </c>
      <c r="D259" s="0" t="str">
        <f aca="false">dummy_variables!D257</f>
        <v>Airport</v>
      </c>
      <c r="E259" s="0" t="n">
        <f aca="false">dummy_variables!M257</f>
        <v>612390.14</v>
      </c>
      <c r="F259" s="0" t="n">
        <f aca="false">multiple_regression!$R$5+multiple_regression!$R$6*dummy_variables!E257+multiple_regression!$R$7*dummy_variables!F257+multiple_regression!$R$8*dummy_variables!G257+multiple_regression!$R$9*dummy_variables!I257+multiple_regression!$R$10*dummy_variables!J257+multiple_regression!$R$11*dummy_variables!K257+multiple_regression!$R$12*dummy_variables!L257+multiple_regression!$R$13*dummy_variables!O257+multiple_regression!$R$14*dummy_variables!P257+multiple_regression!$R$15*dummy_variables!Q257+multiple_regression!$R$16*dummy_variables!R257+multiple_regression!$R$17*dummy_variables!S257+multiple_regression!$R$18*dummy_variables!T257</f>
        <v>668327.256832491</v>
      </c>
      <c r="G259" s="0" t="n">
        <f aca="false">E259-F259</f>
        <v>-55937.1168324908</v>
      </c>
      <c r="H259" s="0" t="n">
        <f aca="false">ABS(G259)</f>
        <v>55937.1168324908</v>
      </c>
    </row>
    <row r="260" customFormat="false" ht="15" hidden="false" customHeight="false" outlineLevel="0" collapsed="false">
      <c r="A260" s="0" t="str">
        <f aca="false">dummy_variables!A258</f>
        <v>STR-1065</v>
      </c>
      <c r="B260" s="0" t="str">
        <f aca="false">dummy_variables!B258</f>
        <v>2025-01-01</v>
      </c>
      <c r="C260" s="0" t="str">
        <f aca="false">dummy_variables!C258</f>
        <v>South</v>
      </c>
      <c r="D260" s="0" t="str">
        <f aca="false">dummy_variables!D258</f>
        <v>Mall</v>
      </c>
      <c r="E260" s="0" t="n">
        <f aca="false">dummy_variables!M258</f>
        <v>840108.12</v>
      </c>
      <c r="F260" s="0" t="n">
        <f aca="false">multiple_regression!$R$5+multiple_regression!$R$6*dummy_variables!E258+multiple_regression!$R$7*dummy_variables!F258+multiple_regression!$R$8*dummy_variables!G258+multiple_regression!$R$9*dummy_variables!I258+multiple_regression!$R$10*dummy_variables!J258+multiple_regression!$R$11*dummy_variables!K258+multiple_regression!$R$12*dummy_variables!L258+multiple_regression!$R$13*dummy_variables!O258+multiple_regression!$R$14*dummy_variables!P258+multiple_regression!$R$15*dummy_variables!Q258+multiple_regression!$R$16*dummy_variables!R258+multiple_regression!$R$17*dummy_variables!S258+multiple_regression!$R$18*dummy_variables!T258</f>
        <v>794685.831118303</v>
      </c>
      <c r="G260" s="0" t="n">
        <f aca="false">E260-F260</f>
        <v>45422.2888816973</v>
      </c>
      <c r="H260" s="0" t="n">
        <f aca="false">ABS(G260)</f>
        <v>45422.2888816973</v>
      </c>
    </row>
    <row r="261" customFormat="false" ht="15" hidden="false" customHeight="false" outlineLevel="0" collapsed="false">
      <c r="A261" s="0" t="str">
        <f aca="false">dummy_variables!A259</f>
        <v>STR-1065</v>
      </c>
      <c r="B261" s="0" t="str">
        <f aca="false">dummy_variables!B259</f>
        <v>2025-02-01</v>
      </c>
      <c r="C261" s="0" t="str">
        <f aca="false">dummy_variables!C259</f>
        <v>South</v>
      </c>
      <c r="D261" s="0" t="str">
        <f aca="false">dummy_variables!D259</f>
        <v>Mall</v>
      </c>
      <c r="E261" s="0" t="n">
        <f aca="false">dummy_variables!M259</f>
        <v>697888.09</v>
      </c>
      <c r="F261" s="0" t="n">
        <f aca="false">multiple_regression!$R$5+multiple_regression!$R$6*dummy_variables!E259+multiple_regression!$R$7*dummy_variables!F259+multiple_regression!$R$8*dummy_variables!G259+multiple_regression!$R$9*dummy_variables!I259+multiple_regression!$R$10*dummy_variables!J259+multiple_regression!$R$11*dummy_variables!K259+multiple_regression!$R$12*dummy_variables!L259+multiple_regression!$R$13*dummy_variables!O259+multiple_regression!$R$14*dummy_variables!P259+multiple_regression!$R$15*dummy_variables!Q259+multiple_regression!$R$16*dummy_variables!R259+multiple_regression!$R$17*dummy_variables!S259+multiple_regression!$R$18*dummy_variables!T259</f>
        <v>696567.333215001</v>
      </c>
      <c r="G261" s="0" t="n">
        <f aca="false">E261-F261</f>
        <v>1320.75678499893</v>
      </c>
      <c r="H261" s="0" t="n">
        <f aca="false">ABS(G261)</f>
        <v>1320.75678499893</v>
      </c>
    </row>
    <row r="262" customFormat="false" ht="15" hidden="false" customHeight="false" outlineLevel="0" collapsed="false">
      <c r="A262" s="0" t="str">
        <f aca="false">dummy_variables!A260</f>
        <v>STR-1065</v>
      </c>
      <c r="B262" s="0" t="str">
        <f aca="false">dummy_variables!B260</f>
        <v>2025-03-01</v>
      </c>
      <c r="C262" s="0" t="str">
        <f aca="false">dummy_variables!C260</f>
        <v>South</v>
      </c>
      <c r="D262" s="0" t="str">
        <f aca="false">dummy_variables!D260</f>
        <v>Mall</v>
      </c>
      <c r="E262" s="0" t="n">
        <f aca="false">dummy_variables!M260</f>
        <v>746115.59</v>
      </c>
      <c r="F262" s="0" t="n">
        <f aca="false">multiple_regression!$R$5+multiple_regression!$R$6*dummy_variables!E260+multiple_regression!$R$7*dummy_variables!F260+multiple_regression!$R$8*dummy_variables!G260+multiple_regression!$R$9*dummy_variables!I260+multiple_regression!$R$10*dummy_variables!J260+multiple_regression!$R$11*dummy_variables!K260+multiple_regression!$R$12*dummy_variables!L260+multiple_regression!$R$13*dummy_variables!O260+multiple_regression!$R$14*dummy_variables!P260+multiple_regression!$R$15*dummy_variables!Q260+multiple_regression!$R$16*dummy_variables!R260+multiple_regression!$R$17*dummy_variables!S260+multiple_regression!$R$18*dummy_variables!T260</f>
        <v>759093.962358717</v>
      </c>
      <c r="G262" s="0" t="n">
        <f aca="false">E262-F262</f>
        <v>-12978.3723587174</v>
      </c>
      <c r="H262" s="0" t="n">
        <f aca="false">ABS(G262)</f>
        <v>12978.3723587174</v>
      </c>
    </row>
    <row r="263" customFormat="false" ht="15" hidden="false" customHeight="false" outlineLevel="0" collapsed="false">
      <c r="A263" s="0" t="str">
        <f aca="false">dummy_variables!A261</f>
        <v>STR-1065</v>
      </c>
      <c r="B263" s="0" t="str">
        <f aca="false">dummy_variables!B261</f>
        <v>2025-04-01</v>
      </c>
      <c r="C263" s="0" t="str">
        <f aca="false">dummy_variables!C261</f>
        <v>South</v>
      </c>
      <c r="D263" s="0" t="str">
        <f aca="false">dummy_variables!D261</f>
        <v>Mall</v>
      </c>
      <c r="E263" s="0" t="n">
        <f aca="false">dummy_variables!M261</f>
        <v>776110.32</v>
      </c>
      <c r="F263" s="0" t="n">
        <f aca="false">multiple_regression!$R$5+multiple_regression!$R$6*dummy_variables!E261+multiple_regression!$R$7*dummy_variables!F261+multiple_regression!$R$8*dummy_variables!G261+multiple_regression!$R$9*dummy_variables!I261+multiple_regression!$R$10*dummy_variables!J261+multiple_regression!$R$11*dummy_variables!K261+multiple_regression!$R$12*dummy_variables!L261+multiple_regression!$R$13*dummy_variables!O261+multiple_regression!$R$14*dummy_variables!P261+multiple_regression!$R$15*dummy_variables!Q261+multiple_regression!$R$16*dummy_variables!R261+multiple_regression!$R$17*dummy_variables!S261+multiple_regression!$R$18*dummy_variables!T261</f>
        <v>741070.338334021</v>
      </c>
      <c r="G263" s="0" t="n">
        <f aca="false">E263-F263</f>
        <v>35039.9816659793</v>
      </c>
      <c r="H263" s="0" t="n">
        <f aca="false">ABS(G263)</f>
        <v>35039.9816659793</v>
      </c>
    </row>
    <row r="264" customFormat="false" ht="15" hidden="false" customHeight="false" outlineLevel="0" collapsed="false">
      <c r="A264" s="0" t="str">
        <f aca="false">dummy_variables!A262</f>
        <v>STR-1066</v>
      </c>
      <c r="B264" s="0" t="str">
        <f aca="false">dummy_variables!B262</f>
        <v>2025-01-01</v>
      </c>
      <c r="C264" s="0" t="str">
        <f aca="false">dummy_variables!C262</f>
        <v>West</v>
      </c>
      <c r="D264" s="0" t="str">
        <f aca="false">dummy_variables!D262</f>
        <v>High Street</v>
      </c>
      <c r="E264" s="0" t="n">
        <f aca="false">dummy_variables!M262</f>
        <v>528852.62</v>
      </c>
      <c r="F264" s="0" t="n">
        <f aca="false">multiple_regression!$R$5+multiple_regression!$R$6*dummy_variables!E262+multiple_regression!$R$7*dummy_variables!F262+multiple_regression!$R$8*dummy_variables!G262+multiple_regression!$R$9*dummy_variables!I262+multiple_regression!$R$10*dummy_variables!J262+multiple_regression!$R$11*dummy_variables!K262+multiple_regression!$R$12*dummy_variables!L262+multiple_regression!$R$13*dummy_variables!O262+multiple_regression!$R$14*dummy_variables!P262+multiple_regression!$R$15*dummy_variables!Q262+multiple_regression!$R$16*dummy_variables!R262+multiple_regression!$R$17*dummy_variables!S262+multiple_regression!$R$18*dummy_variables!T262</f>
        <v>523016.192358869</v>
      </c>
      <c r="G264" s="0" t="n">
        <f aca="false">E264-F264</f>
        <v>5836.42764113087</v>
      </c>
      <c r="H264" s="0" t="n">
        <f aca="false">ABS(G264)</f>
        <v>5836.42764113087</v>
      </c>
    </row>
    <row r="265" customFormat="false" ht="15" hidden="false" customHeight="false" outlineLevel="0" collapsed="false">
      <c r="A265" s="0" t="str">
        <f aca="false">dummy_variables!A263</f>
        <v>STR-1066</v>
      </c>
      <c r="B265" s="0" t="str">
        <f aca="false">dummy_variables!B263</f>
        <v>2025-02-01</v>
      </c>
      <c r="C265" s="0" t="str">
        <f aca="false">dummy_variables!C263</f>
        <v>West</v>
      </c>
      <c r="D265" s="0" t="str">
        <f aca="false">dummy_variables!D263</f>
        <v>High Street</v>
      </c>
      <c r="E265" s="0" t="n">
        <f aca="false">dummy_variables!M263</f>
        <v>605751.33</v>
      </c>
      <c r="F265" s="0" t="n">
        <f aca="false">multiple_regression!$R$5+multiple_regression!$R$6*dummy_variables!E263+multiple_regression!$R$7*dummy_variables!F263+multiple_regression!$R$8*dummy_variables!G263+multiple_regression!$R$9*dummy_variables!I263+multiple_regression!$R$10*dummy_variables!J263+multiple_regression!$R$11*dummy_variables!K263+multiple_regression!$R$12*dummy_variables!L263+multiple_regression!$R$13*dummy_variables!O263+multiple_regression!$R$14*dummy_variables!P263+multiple_regression!$R$15*dummy_variables!Q263+multiple_regression!$R$16*dummy_variables!R263+multiple_regression!$R$17*dummy_variables!S263+multiple_regression!$R$18*dummy_variables!T263</f>
        <v>617488.048274092</v>
      </c>
      <c r="G265" s="0" t="n">
        <f aca="false">E265-F265</f>
        <v>-11736.7182740916</v>
      </c>
      <c r="H265" s="0" t="n">
        <f aca="false">ABS(G265)</f>
        <v>11736.7182740916</v>
      </c>
    </row>
    <row r="266" customFormat="false" ht="15" hidden="false" customHeight="false" outlineLevel="0" collapsed="false">
      <c r="A266" s="0" t="str">
        <f aca="false">dummy_variables!A264</f>
        <v>STR-1066</v>
      </c>
      <c r="B266" s="0" t="str">
        <f aca="false">dummy_variables!B264</f>
        <v>2025-03-01</v>
      </c>
      <c r="C266" s="0" t="str">
        <f aca="false">dummy_variables!C264</f>
        <v>West</v>
      </c>
      <c r="D266" s="0" t="str">
        <f aca="false">dummy_variables!D264</f>
        <v>High Street</v>
      </c>
      <c r="E266" s="0" t="n">
        <f aca="false">dummy_variables!M264</f>
        <v>677640.65</v>
      </c>
      <c r="F266" s="0" t="n">
        <f aca="false">multiple_regression!$R$5+multiple_regression!$R$6*dummy_variables!E264+multiple_regression!$R$7*dummy_variables!F264+multiple_regression!$R$8*dummy_variables!G264+multiple_regression!$R$9*dummy_variables!I264+multiple_regression!$R$10*dummy_variables!J264+multiple_regression!$R$11*dummy_variables!K264+multiple_regression!$R$12*dummy_variables!L264+multiple_regression!$R$13*dummy_variables!O264+multiple_regression!$R$14*dummy_variables!P264+multiple_regression!$R$15*dummy_variables!Q264+multiple_regression!$R$16*dummy_variables!R264+multiple_regression!$R$17*dummy_variables!S264+multiple_regression!$R$18*dummy_variables!T264</f>
        <v>625993.442750384</v>
      </c>
      <c r="G266" s="0" t="n">
        <f aca="false">E266-F266</f>
        <v>51647.2072496159</v>
      </c>
      <c r="H266" s="0" t="n">
        <f aca="false">ABS(G266)</f>
        <v>51647.2072496159</v>
      </c>
    </row>
    <row r="267" customFormat="false" ht="15" hidden="false" customHeight="false" outlineLevel="0" collapsed="false">
      <c r="A267" s="0" t="str">
        <f aca="false">dummy_variables!A265</f>
        <v>STR-1066</v>
      </c>
      <c r="B267" s="0" t="str">
        <f aca="false">dummy_variables!B265</f>
        <v>2025-04-01</v>
      </c>
      <c r="C267" s="0" t="str">
        <f aca="false">dummy_variables!C265</f>
        <v>West</v>
      </c>
      <c r="D267" s="0" t="str">
        <f aca="false">dummy_variables!D265</f>
        <v>High Street</v>
      </c>
      <c r="E267" s="0" t="n">
        <f aca="false">dummy_variables!M265</f>
        <v>636613.23</v>
      </c>
      <c r="F267" s="0" t="n">
        <f aca="false">multiple_regression!$R$5+multiple_regression!$R$6*dummy_variables!E265+multiple_regression!$R$7*dummy_variables!F265+multiple_regression!$R$8*dummy_variables!G265+multiple_regression!$R$9*dummy_variables!I265+multiple_regression!$R$10*dummy_variables!J265+multiple_regression!$R$11*dummy_variables!K265+multiple_regression!$R$12*dummy_variables!L265+multiple_regression!$R$13*dummy_variables!O265+multiple_regression!$R$14*dummy_variables!P265+multiple_regression!$R$15*dummy_variables!Q265+multiple_regression!$R$16*dummy_variables!R265+multiple_regression!$R$17*dummy_variables!S265+multiple_regression!$R$18*dummy_variables!T265</f>
        <v>594233.145420722</v>
      </c>
      <c r="G267" s="0" t="n">
        <f aca="false">E267-F267</f>
        <v>42380.0845792781</v>
      </c>
      <c r="H267" s="0" t="n">
        <f aca="false">ABS(G267)</f>
        <v>42380.0845792781</v>
      </c>
    </row>
    <row r="268" customFormat="false" ht="15" hidden="false" customHeight="false" outlineLevel="0" collapsed="false">
      <c r="A268" s="0" t="str">
        <f aca="false">dummy_variables!A266</f>
        <v>STR-1067</v>
      </c>
      <c r="B268" s="0" t="str">
        <f aca="false">dummy_variables!B266</f>
        <v>2025-01-01</v>
      </c>
      <c r="C268" s="0" t="str">
        <f aca="false">dummy_variables!C266</f>
        <v>East</v>
      </c>
      <c r="D268" s="0" t="str">
        <f aca="false">dummy_variables!D266</f>
        <v>High Street</v>
      </c>
      <c r="E268" s="0" t="n">
        <f aca="false">dummy_variables!M266</f>
        <v>708985.19</v>
      </c>
      <c r="F268" s="0" t="n">
        <f aca="false">multiple_regression!$R$5+multiple_regression!$R$6*dummy_variables!E266+multiple_regression!$R$7*dummy_variables!F266+multiple_regression!$R$8*dummy_variables!G266+multiple_regression!$R$9*dummy_variables!I266+multiple_regression!$R$10*dummy_variables!J266+multiple_regression!$R$11*dummy_variables!K266+multiple_regression!$R$12*dummy_variables!L266+multiple_regression!$R$13*dummy_variables!O266+multiple_regression!$R$14*dummy_variables!P266+multiple_regression!$R$15*dummy_variables!Q266+multiple_regression!$R$16*dummy_variables!R266+multiple_regression!$R$17*dummy_variables!S266+multiple_regression!$R$18*dummy_variables!T266</f>
        <v>726802.39892112</v>
      </c>
      <c r="G268" s="0" t="n">
        <f aca="false">E268-F268</f>
        <v>-17817.2089211196</v>
      </c>
      <c r="H268" s="0" t="n">
        <f aca="false">ABS(G268)</f>
        <v>17817.2089211196</v>
      </c>
    </row>
    <row r="269" customFormat="false" ht="15" hidden="false" customHeight="false" outlineLevel="0" collapsed="false">
      <c r="A269" s="0" t="str">
        <f aca="false">dummy_variables!A267</f>
        <v>STR-1067</v>
      </c>
      <c r="B269" s="0" t="str">
        <f aca="false">dummy_variables!B267</f>
        <v>2025-02-01</v>
      </c>
      <c r="C269" s="0" t="str">
        <f aca="false">dummy_variables!C267</f>
        <v>East</v>
      </c>
      <c r="D269" s="0" t="str">
        <f aca="false">dummy_variables!D267</f>
        <v>High Street</v>
      </c>
      <c r="E269" s="0" t="n">
        <f aca="false">dummy_variables!M267</f>
        <v>767792.94</v>
      </c>
      <c r="F269" s="0" t="n">
        <f aca="false">multiple_regression!$R$5+multiple_regression!$R$6*dummy_variables!E267+multiple_regression!$R$7*dummy_variables!F267+multiple_regression!$R$8*dummy_variables!G267+multiple_regression!$R$9*dummy_variables!I267+multiple_regression!$R$10*dummy_variables!J267+multiple_regression!$R$11*dummy_variables!K267+multiple_regression!$R$12*dummy_variables!L267+multiple_regression!$R$13*dummy_variables!O267+multiple_regression!$R$14*dummy_variables!P267+multiple_regression!$R$15*dummy_variables!Q267+multiple_regression!$R$16*dummy_variables!R267+multiple_regression!$R$17*dummy_variables!S267+multiple_regression!$R$18*dummy_variables!T267</f>
        <v>736566.273258247</v>
      </c>
      <c r="G269" s="0" t="n">
        <f aca="false">E269-F269</f>
        <v>31226.6667417531</v>
      </c>
      <c r="H269" s="0" t="n">
        <f aca="false">ABS(G269)</f>
        <v>31226.6667417531</v>
      </c>
    </row>
    <row r="270" customFormat="false" ht="15" hidden="false" customHeight="false" outlineLevel="0" collapsed="false">
      <c r="A270" s="0" t="str">
        <f aca="false">dummy_variables!A268</f>
        <v>STR-1067</v>
      </c>
      <c r="B270" s="0" t="str">
        <f aca="false">dummy_variables!B268</f>
        <v>2025-03-01</v>
      </c>
      <c r="C270" s="0" t="str">
        <f aca="false">dummy_variables!C268</f>
        <v>East</v>
      </c>
      <c r="D270" s="0" t="str">
        <f aca="false">dummy_variables!D268</f>
        <v>High Street</v>
      </c>
      <c r="E270" s="0" t="n">
        <f aca="false">dummy_variables!M268</f>
        <v>745580.51</v>
      </c>
      <c r="F270" s="0" t="n">
        <f aca="false">multiple_regression!$R$5+multiple_regression!$R$6*dummy_variables!E268+multiple_regression!$R$7*dummy_variables!F268+multiple_regression!$R$8*dummy_variables!G268+multiple_regression!$R$9*dummy_variables!I268+multiple_regression!$R$10*dummy_variables!J268+multiple_regression!$R$11*dummy_variables!K268+multiple_regression!$R$12*dummy_variables!L268+multiple_regression!$R$13*dummy_variables!O268+multiple_regression!$R$14*dummy_variables!P268+multiple_regression!$R$15*dummy_variables!Q268+multiple_regression!$R$16*dummy_variables!R268+multiple_regression!$R$17*dummy_variables!S268+multiple_regression!$R$18*dummy_variables!T268</f>
        <v>716715.112010729</v>
      </c>
      <c r="G270" s="0" t="n">
        <f aca="false">E270-F270</f>
        <v>28865.3979892712</v>
      </c>
      <c r="H270" s="0" t="n">
        <f aca="false">ABS(G270)</f>
        <v>28865.3979892712</v>
      </c>
    </row>
    <row r="271" customFormat="false" ht="15" hidden="false" customHeight="false" outlineLevel="0" collapsed="false">
      <c r="A271" s="0" t="str">
        <f aca="false">dummy_variables!A269</f>
        <v>STR-1067</v>
      </c>
      <c r="B271" s="0" t="str">
        <f aca="false">dummy_variables!B269</f>
        <v>2025-04-01</v>
      </c>
      <c r="C271" s="0" t="str">
        <f aca="false">dummy_variables!C269</f>
        <v>East</v>
      </c>
      <c r="D271" s="0" t="str">
        <f aca="false">dummy_variables!D269</f>
        <v>High Street</v>
      </c>
      <c r="E271" s="0" t="n">
        <f aca="false">dummy_variables!M269</f>
        <v>762328.31</v>
      </c>
      <c r="F271" s="0" t="n">
        <f aca="false">multiple_regression!$R$5+multiple_regression!$R$6*dummy_variables!E269+multiple_regression!$R$7*dummy_variables!F269+multiple_regression!$R$8*dummy_variables!G269+multiple_regression!$R$9*dummy_variables!I269+multiple_regression!$R$10*dummy_variables!J269+multiple_regression!$R$11*dummy_variables!K269+multiple_regression!$R$12*dummy_variables!L269+multiple_regression!$R$13*dummy_variables!O269+multiple_regression!$R$14*dummy_variables!P269+multiple_regression!$R$15*dummy_variables!Q269+multiple_regression!$R$16*dummy_variables!R269+multiple_regression!$R$17*dummy_variables!S269+multiple_regression!$R$18*dummy_variables!T269</f>
        <v>729228.552195262</v>
      </c>
      <c r="G271" s="0" t="n">
        <f aca="false">E271-F271</f>
        <v>33099.7578047381</v>
      </c>
      <c r="H271" s="0" t="n">
        <f aca="false">ABS(G271)</f>
        <v>33099.7578047381</v>
      </c>
    </row>
    <row r="272" customFormat="false" ht="15" hidden="false" customHeight="false" outlineLevel="0" collapsed="false">
      <c r="A272" s="0" t="str">
        <f aca="false">dummy_variables!A270</f>
        <v>STR-1068</v>
      </c>
      <c r="B272" s="0" t="str">
        <f aca="false">dummy_variables!B270</f>
        <v>2025-01-01</v>
      </c>
      <c r="C272" s="0" t="str">
        <f aca="false">dummy_variables!C270</f>
        <v>East</v>
      </c>
      <c r="D272" s="0" t="str">
        <f aca="false">dummy_variables!D270</f>
        <v>Mall</v>
      </c>
      <c r="E272" s="0" t="n">
        <f aca="false">dummy_variables!M270</f>
        <v>660633.99</v>
      </c>
      <c r="F272" s="0" t="n">
        <f aca="false">multiple_regression!$R$5+multiple_regression!$R$6*dummy_variables!E270+multiple_regression!$R$7*dummy_variables!F270+multiple_regression!$R$8*dummy_variables!G270+multiple_regression!$R$9*dummy_variables!I270+multiple_regression!$R$10*dummy_variables!J270+multiple_regression!$R$11*dummy_variables!K270+multiple_regression!$R$12*dummy_variables!L270+multiple_regression!$R$13*dummy_variables!O270+multiple_regression!$R$14*dummy_variables!P270+multiple_regression!$R$15*dummy_variables!Q270+multiple_regression!$R$16*dummy_variables!R270+multiple_regression!$R$17*dummy_variables!S270+multiple_regression!$R$18*dummy_variables!T270</f>
        <v>749072.943616436</v>
      </c>
      <c r="G272" s="0" t="n">
        <f aca="false">E272-F272</f>
        <v>-88438.953616436</v>
      </c>
      <c r="H272" s="0" t="n">
        <f aca="false">ABS(G272)</f>
        <v>88438.953616436</v>
      </c>
    </row>
    <row r="273" customFormat="false" ht="15" hidden="false" customHeight="false" outlineLevel="0" collapsed="false">
      <c r="A273" s="0" t="str">
        <f aca="false">dummy_variables!A271</f>
        <v>STR-1068</v>
      </c>
      <c r="B273" s="0" t="str">
        <f aca="false">dummy_variables!B271</f>
        <v>2025-02-01</v>
      </c>
      <c r="C273" s="0" t="str">
        <f aca="false">dummy_variables!C271</f>
        <v>East</v>
      </c>
      <c r="D273" s="0" t="str">
        <f aca="false">dummy_variables!D271</f>
        <v>Mall</v>
      </c>
      <c r="E273" s="0" t="n">
        <f aca="false">dummy_variables!M271</f>
        <v>739374.56</v>
      </c>
      <c r="F273" s="0" t="n">
        <f aca="false">multiple_regression!$R$5+multiple_regression!$R$6*dummy_variables!E271+multiple_regression!$R$7*dummy_variables!F271+multiple_regression!$R$8*dummy_variables!G271+multiple_regression!$R$9*dummy_variables!I271+multiple_regression!$R$10*dummy_variables!J271+multiple_regression!$R$11*dummy_variables!K271+multiple_regression!$R$12*dummy_variables!L271+multiple_regression!$R$13*dummy_variables!O271+multiple_regression!$R$14*dummy_variables!P271+multiple_regression!$R$15*dummy_variables!Q271+multiple_regression!$R$16*dummy_variables!R271+multiple_regression!$R$17*dummy_variables!S271+multiple_regression!$R$18*dummy_variables!T271</f>
        <v>698784.672784935</v>
      </c>
      <c r="G273" s="0" t="n">
        <f aca="false">E273-F273</f>
        <v>40589.8872150651</v>
      </c>
      <c r="H273" s="0" t="n">
        <f aca="false">ABS(G273)</f>
        <v>40589.8872150651</v>
      </c>
    </row>
    <row r="274" customFormat="false" ht="15" hidden="false" customHeight="false" outlineLevel="0" collapsed="false">
      <c r="A274" s="0" t="str">
        <f aca="false">dummy_variables!A272</f>
        <v>STR-1068</v>
      </c>
      <c r="B274" s="0" t="str">
        <f aca="false">dummy_variables!B272</f>
        <v>2025-03-01</v>
      </c>
      <c r="C274" s="0" t="str">
        <f aca="false">dummy_variables!C272</f>
        <v>East</v>
      </c>
      <c r="D274" s="0" t="str">
        <f aca="false">dummy_variables!D272</f>
        <v>Mall</v>
      </c>
      <c r="E274" s="0" t="n">
        <f aca="false">dummy_variables!M272</f>
        <v>799756.46</v>
      </c>
      <c r="F274" s="0" t="n">
        <f aca="false">multiple_regression!$R$5+multiple_regression!$R$6*dummy_variables!E272+multiple_regression!$R$7*dummy_variables!F272+multiple_regression!$R$8*dummy_variables!G272+multiple_regression!$R$9*dummy_variables!I272+multiple_regression!$R$10*dummy_variables!J272+multiple_regression!$R$11*dummy_variables!K272+multiple_regression!$R$12*dummy_variables!L272+multiple_regression!$R$13*dummy_variables!O272+multiple_regression!$R$14*dummy_variables!P272+multiple_regression!$R$15*dummy_variables!Q272+multiple_regression!$R$16*dummy_variables!R272+multiple_regression!$R$17*dummy_variables!S272+multiple_regression!$R$18*dummy_variables!T272</f>
        <v>818559.49453865</v>
      </c>
      <c r="G274" s="0" t="n">
        <f aca="false">E274-F274</f>
        <v>-18803.0345386501</v>
      </c>
      <c r="H274" s="0" t="n">
        <f aca="false">ABS(G274)</f>
        <v>18803.0345386501</v>
      </c>
    </row>
    <row r="275" customFormat="false" ht="15" hidden="false" customHeight="false" outlineLevel="0" collapsed="false">
      <c r="A275" s="0" t="str">
        <f aca="false">dummy_variables!A273</f>
        <v>STR-1068</v>
      </c>
      <c r="B275" s="0" t="str">
        <f aca="false">dummy_variables!B273</f>
        <v>2025-04-01</v>
      </c>
      <c r="C275" s="0" t="str">
        <f aca="false">dummy_variables!C273</f>
        <v>East</v>
      </c>
      <c r="D275" s="0" t="str">
        <f aca="false">dummy_variables!D273</f>
        <v>Mall</v>
      </c>
      <c r="E275" s="0" t="n">
        <f aca="false">dummy_variables!M273</f>
        <v>593343</v>
      </c>
      <c r="F275" s="0" t="n">
        <f aca="false">multiple_regression!$R$5+multiple_regression!$R$6*dummy_variables!E273+multiple_regression!$R$7*dummy_variables!F273+multiple_regression!$R$8*dummy_variables!G273+multiple_regression!$R$9*dummy_variables!I273+multiple_regression!$R$10*dummy_variables!J273+multiple_regression!$R$11*dummy_variables!K273+multiple_regression!$R$12*dummy_variables!L273+multiple_regression!$R$13*dummy_variables!O273+multiple_regression!$R$14*dummy_variables!P273+multiple_regression!$R$15*dummy_variables!Q273+multiple_regression!$R$16*dummy_variables!R273+multiple_regression!$R$17*dummy_variables!S273+multiple_regression!$R$18*dummy_variables!T273</f>
        <v>675241.741193098</v>
      </c>
      <c r="G275" s="0" t="n">
        <f aca="false">E275-F275</f>
        <v>-81898.7411930983</v>
      </c>
      <c r="H275" s="0" t="n">
        <f aca="false">ABS(G275)</f>
        <v>81898.7411930983</v>
      </c>
    </row>
    <row r="276" customFormat="false" ht="15" hidden="false" customHeight="false" outlineLevel="0" collapsed="false">
      <c r="A276" s="0" t="str">
        <f aca="false">dummy_variables!A274</f>
        <v>STR-1069</v>
      </c>
      <c r="B276" s="0" t="str">
        <f aca="false">dummy_variables!B274</f>
        <v>2025-01-01</v>
      </c>
      <c r="C276" s="0" t="str">
        <f aca="false">dummy_variables!C274</f>
        <v>West</v>
      </c>
      <c r="D276" s="0" t="str">
        <f aca="false">dummy_variables!D274</f>
        <v>High Street</v>
      </c>
      <c r="E276" s="0" t="n">
        <f aca="false">dummy_variables!M274</f>
        <v>645039.97</v>
      </c>
      <c r="F276" s="0" t="n">
        <f aca="false">multiple_regression!$R$5+multiple_regression!$R$6*dummy_variables!E274+multiple_regression!$R$7*dummy_variables!F274+multiple_regression!$R$8*dummy_variables!G274+multiple_regression!$R$9*dummy_variables!I274+multiple_regression!$R$10*dummy_variables!J274+multiple_regression!$R$11*dummy_variables!K274+multiple_regression!$R$12*dummy_variables!L274+multiple_regression!$R$13*dummy_variables!O274+multiple_regression!$R$14*dummy_variables!P274+multiple_regression!$R$15*dummy_variables!Q274+multiple_regression!$R$16*dummy_variables!R274+multiple_regression!$R$17*dummy_variables!S274+multiple_regression!$R$18*dummy_variables!T274</f>
        <v>635778.908994274</v>
      </c>
      <c r="G276" s="0" t="n">
        <f aca="false">E276-F276</f>
        <v>9261.06100572588</v>
      </c>
      <c r="H276" s="0" t="n">
        <f aca="false">ABS(G276)</f>
        <v>9261.06100572588</v>
      </c>
    </row>
    <row r="277" customFormat="false" ht="15" hidden="false" customHeight="false" outlineLevel="0" collapsed="false">
      <c r="A277" s="0" t="str">
        <f aca="false">dummy_variables!A275</f>
        <v>STR-1069</v>
      </c>
      <c r="B277" s="0" t="str">
        <f aca="false">dummy_variables!B275</f>
        <v>2025-02-01</v>
      </c>
      <c r="C277" s="0" t="str">
        <f aca="false">dummy_variables!C275</f>
        <v>West</v>
      </c>
      <c r="D277" s="0" t="str">
        <f aca="false">dummy_variables!D275</f>
        <v>High Street</v>
      </c>
      <c r="E277" s="0" t="n">
        <f aca="false">dummy_variables!M275</f>
        <v>561597.33</v>
      </c>
      <c r="F277" s="0" t="n">
        <f aca="false">multiple_regression!$R$5+multiple_regression!$R$6*dummy_variables!E275+multiple_regression!$R$7*dummy_variables!F275+multiple_regression!$R$8*dummy_variables!G275+multiple_regression!$R$9*dummy_variables!I275+multiple_regression!$R$10*dummy_variables!J275+multiple_regression!$R$11*dummy_variables!K275+multiple_regression!$R$12*dummy_variables!L275+multiple_regression!$R$13*dummy_variables!O275+multiple_regression!$R$14*dummy_variables!P275+multiple_regression!$R$15*dummy_variables!Q275+multiple_regression!$R$16*dummy_variables!R275+multiple_regression!$R$17*dummy_variables!S275+multiple_regression!$R$18*dummy_variables!T275</f>
        <v>534556.870244389</v>
      </c>
      <c r="G277" s="0" t="n">
        <f aca="false">E277-F277</f>
        <v>27040.4597556106</v>
      </c>
      <c r="H277" s="0" t="n">
        <f aca="false">ABS(G277)</f>
        <v>27040.4597556106</v>
      </c>
    </row>
    <row r="278" customFormat="false" ht="15" hidden="false" customHeight="false" outlineLevel="0" collapsed="false">
      <c r="A278" s="0" t="str">
        <f aca="false">dummy_variables!A276</f>
        <v>STR-1069</v>
      </c>
      <c r="B278" s="0" t="str">
        <f aca="false">dummy_variables!B276</f>
        <v>2025-03-01</v>
      </c>
      <c r="C278" s="0" t="str">
        <f aca="false">dummy_variables!C276</f>
        <v>West</v>
      </c>
      <c r="D278" s="0" t="str">
        <f aca="false">dummy_variables!D276</f>
        <v>High Street</v>
      </c>
      <c r="E278" s="0" t="n">
        <f aca="false">dummy_variables!M276</f>
        <v>635837.74</v>
      </c>
      <c r="F278" s="0" t="n">
        <f aca="false">multiple_regression!$R$5+multiple_regression!$R$6*dummy_variables!E276+multiple_regression!$R$7*dummy_variables!F276+multiple_regression!$R$8*dummy_variables!G276+multiple_regression!$R$9*dummy_variables!I276+multiple_regression!$R$10*dummy_variables!J276+multiple_regression!$R$11*dummy_variables!K276+multiple_regression!$R$12*dummy_variables!L276+multiple_regression!$R$13*dummy_variables!O276+multiple_regression!$R$14*dummy_variables!P276+multiple_regression!$R$15*dummy_variables!Q276+multiple_regression!$R$16*dummy_variables!R276+multiple_regression!$R$17*dummy_variables!S276+multiple_regression!$R$18*dummy_variables!T276</f>
        <v>656846.862526245</v>
      </c>
      <c r="G278" s="0" t="n">
        <f aca="false">E278-F278</f>
        <v>-21009.1225262447</v>
      </c>
      <c r="H278" s="0" t="n">
        <f aca="false">ABS(G278)</f>
        <v>21009.1225262447</v>
      </c>
    </row>
    <row r="279" customFormat="false" ht="15" hidden="false" customHeight="false" outlineLevel="0" collapsed="false">
      <c r="A279" s="0" t="str">
        <f aca="false">dummy_variables!A277</f>
        <v>STR-1069</v>
      </c>
      <c r="B279" s="0" t="str">
        <f aca="false">dummy_variables!B277</f>
        <v>2025-04-01</v>
      </c>
      <c r="C279" s="0" t="str">
        <f aca="false">dummy_variables!C277</f>
        <v>West</v>
      </c>
      <c r="D279" s="0" t="str">
        <f aca="false">dummy_variables!D277</f>
        <v>High Street</v>
      </c>
      <c r="E279" s="0" t="n">
        <f aca="false">dummy_variables!M277</f>
        <v>686737.87</v>
      </c>
      <c r="F279" s="0" t="n">
        <f aca="false">multiple_regression!$R$5+multiple_regression!$R$6*dummy_variables!E277+multiple_regression!$R$7*dummy_variables!F277+multiple_regression!$R$8*dummy_variables!G277+multiple_regression!$R$9*dummy_variables!I277+multiple_regression!$R$10*dummy_variables!J277+multiple_regression!$R$11*dummy_variables!K277+multiple_regression!$R$12*dummy_variables!L277+multiple_regression!$R$13*dummy_variables!O277+multiple_regression!$R$14*dummy_variables!P277+multiple_regression!$R$15*dummy_variables!Q277+multiple_regression!$R$16*dummy_variables!R277+multiple_regression!$R$17*dummy_variables!S277+multiple_regression!$R$18*dummy_variables!T277</f>
        <v>604088.946491202</v>
      </c>
      <c r="G279" s="0" t="n">
        <f aca="false">E279-F279</f>
        <v>82648.9235087981</v>
      </c>
      <c r="H279" s="0" t="n">
        <f aca="false">ABS(G279)</f>
        <v>82648.9235087981</v>
      </c>
    </row>
    <row r="280" customFormat="false" ht="15" hidden="false" customHeight="false" outlineLevel="0" collapsed="false">
      <c r="A280" s="0" t="str">
        <f aca="false">dummy_variables!A278</f>
        <v>STR-1070</v>
      </c>
      <c r="B280" s="0" t="str">
        <f aca="false">dummy_variables!B278</f>
        <v>2025-01-01</v>
      </c>
      <c r="C280" s="0" t="str">
        <f aca="false">dummy_variables!C278</f>
        <v>South</v>
      </c>
      <c r="D280" s="0" t="str">
        <f aca="false">dummy_variables!D278</f>
        <v>Residential</v>
      </c>
      <c r="E280" s="0" t="n">
        <f aca="false">dummy_variables!M278</f>
        <v>673076.34</v>
      </c>
      <c r="F280" s="0" t="n">
        <f aca="false">multiple_regression!$R$5+multiple_regression!$R$6*dummy_variables!E278+multiple_regression!$R$7*dummy_variables!F278+multiple_regression!$R$8*dummy_variables!G278+multiple_regression!$R$9*dummy_variables!I278+multiple_regression!$R$10*dummy_variables!J278+multiple_regression!$R$11*dummy_variables!K278+multiple_regression!$R$12*dummy_variables!L278+multiple_regression!$R$13*dummy_variables!O278+multiple_regression!$R$14*dummy_variables!P278+multiple_regression!$R$15*dummy_variables!Q278+multiple_regression!$R$16*dummy_variables!R278+multiple_regression!$R$17*dummy_variables!S278+multiple_regression!$R$18*dummy_variables!T278</f>
        <v>700284.572516381</v>
      </c>
      <c r="G280" s="0" t="n">
        <f aca="false">E280-F280</f>
        <v>-27208.2325163812</v>
      </c>
      <c r="H280" s="0" t="n">
        <f aca="false">ABS(G280)</f>
        <v>27208.2325163812</v>
      </c>
    </row>
    <row r="281" customFormat="false" ht="15" hidden="false" customHeight="false" outlineLevel="0" collapsed="false">
      <c r="A281" s="0" t="str">
        <f aca="false">dummy_variables!A279</f>
        <v>STR-1070</v>
      </c>
      <c r="B281" s="0" t="str">
        <f aca="false">dummy_variables!B279</f>
        <v>2025-02-01</v>
      </c>
      <c r="C281" s="0" t="str">
        <f aca="false">dummy_variables!C279</f>
        <v>South</v>
      </c>
      <c r="D281" s="0" t="str">
        <f aca="false">dummy_variables!D279</f>
        <v>Residential</v>
      </c>
      <c r="E281" s="0" t="n">
        <f aca="false">dummy_variables!M279</f>
        <v>738548.42</v>
      </c>
      <c r="F281" s="0" t="n">
        <f aca="false">multiple_regression!$R$5+multiple_regression!$R$6*dummy_variables!E279+multiple_regression!$R$7*dummy_variables!F279+multiple_regression!$R$8*dummy_variables!G279+multiple_regression!$R$9*dummy_variables!I279+multiple_regression!$R$10*dummy_variables!J279+multiple_regression!$R$11*dummy_variables!K279+multiple_regression!$R$12*dummy_variables!L279+multiple_regression!$R$13*dummy_variables!O279+multiple_regression!$R$14*dummy_variables!P279+multiple_regression!$R$15*dummy_variables!Q279+multiple_regression!$R$16*dummy_variables!R279+multiple_regression!$R$17*dummy_variables!S279+multiple_regression!$R$18*dummy_variables!T279</f>
        <v>702067.587733171</v>
      </c>
      <c r="G281" s="0" t="n">
        <f aca="false">E281-F281</f>
        <v>36480.8322668293</v>
      </c>
      <c r="H281" s="0" t="n">
        <f aca="false">ABS(G281)</f>
        <v>36480.8322668293</v>
      </c>
    </row>
    <row r="282" customFormat="false" ht="15" hidden="false" customHeight="false" outlineLevel="0" collapsed="false">
      <c r="A282" s="0" t="str">
        <f aca="false">dummy_variables!A280</f>
        <v>STR-1070</v>
      </c>
      <c r="B282" s="0" t="str">
        <f aca="false">dummy_variables!B280</f>
        <v>2025-03-01</v>
      </c>
      <c r="C282" s="0" t="str">
        <f aca="false">dummy_variables!C280</f>
        <v>South</v>
      </c>
      <c r="D282" s="0" t="str">
        <f aca="false">dummy_variables!D280</f>
        <v>Residential</v>
      </c>
      <c r="E282" s="0" t="n">
        <f aca="false">dummy_variables!M280</f>
        <v>756619.77</v>
      </c>
      <c r="F282" s="0" t="n">
        <f aca="false">multiple_regression!$R$5+multiple_regression!$R$6*dummy_variables!E280+multiple_regression!$R$7*dummy_variables!F280+multiple_regression!$R$8*dummy_variables!G280+multiple_regression!$R$9*dummy_variables!I280+multiple_regression!$R$10*dummy_variables!J280+multiple_regression!$R$11*dummy_variables!K280+multiple_regression!$R$12*dummy_variables!L280+multiple_regression!$R$13*dummy_variables!O280+multiple_regression!$R$14*dummy_variables!P280+multiple_regression!$R$15*dummy_variables!Q280+multiple_regression!$R$16*dummy_variables!R280+multiple_regression!$R$17*dummy_variables!S280+multiple_regression!$R$18*dummy_variables!T280</f>
        <v>751917.200709415</v>
      </c>
      <c r="G282" s="0" t="n">
        <f aca="false">E282-F282</f>
        <v>4702.56929058547</v>
      </c>
      <c r="H282" s="0" t="n">
        <f aca="false">ABS(G282)</f>
        <v>4702.56929058547</v>
      </c>
    </row>
    <row r="283" customFormat="false" ht="15" hidden="false" customHeight="false" outlineLevel="0" collapsed="false">
      <c r="A283" s="0" t="str">
        <f aca="false">dummy_variables!A281</f>
        <v>STR-1070</v>
      </c>
      <c r="B283" s="0" t="str">
        <f aca="false">dummy_variables!B281</f>
        <v>2025-04-01</v>
      </c>
      <c r="C283" s="0" t="str">
        <f aca="false">dummy_variables!C281</f>
        <v>South</v>
      </c>
      <c r="D283" s="0" t="str">
        <f aca="false">dummy_variables!D281</f>
        <v>Residential</v>
      </c>
      <c r="E283" s="0" t="n">
        <f aca="false">dummy_variables!M281</f>
        <v>761122.42</v>
      </c>
      <c r="F283" s="0" t="n">
        <f aca="false">multiple_regression!$R$5+multiple_regression!$R$6*dummy_variables!E281+multiple_regression!$R$7*dummy_variables!F281+multiple_regression!$R$8*dummy_variables!G281+multiple_regression!$R$9*dummy_variables!I281+multiple_regression!$R$10*dummy_variables!J281+multiple_regression!$R$11*dummy_variables!K281+multiple_regression!$R$12*dummy_variables!L281+multiple_regression!$R$13*dummy_variables!O281+multiple_regression!$R$14*dummy_variables!P281+multiple_regression!$R$15*dummy_variables!Q281+multiple_regression!$R$16*dummy_variables!R281+multiple_regression!$R$17*dummy_variables!S281+multiple_regression!$R$18*dummy_variables!T281</f>
        <v>770756.70289766</v>
      </c>
      <c r="G283" s="0" t="n">
        <f aca="false">E283-F283</f>
        <v>-9634.28289765993</v>
      </c>
      <c r="H283" s="0" t="n">
        <f aca="false">ABS(G283)</f>
        <v>9634.28289765993</v>
      </c>
    </row>
    <row r="284" customFormat="false" ht="15" hidden="false" customHeight="false" outlineLevel="0" collapsed="false">
      <c r="A284" s="0" t="str">
        <f aca="false">dummy_variables!A282</f>
        <v>STR-1071</v>
      </c>
      <c r="B284" s="0" t="str">
        <f aca="false">dummy_variables!B282</f>
        <v>2025-01-01</v>
      </c>
      <c r="C284" s="0" t="str">
        <f aca="false">dummy_variables!C282</f>
        <v>South</v>
      </c>
      <c r="D284" s="0" t="str">
        <f aca="false">dummy_variables!D282</f>
        <v>High Street</v>
      </c>
      <c r="E284" s="0" t="n">
        <f aca="false">dummy_variables!M282</f>
        <v>524899.57</v>
      </c>
      <c r="F284" s="0" t="n">
        <f aca="false">multiple_regression!$R$5+multiple_regression!$R$6*dummy_variables!E282+multiple_regression!$R$7*dummy_variables!F282+multiple_regression!$R$8*dummy_variables!G282+multiple_regression!$R$9*dummy_variables!I282+multiple_regression!$R$10*dummy_variables!J282+multiple_regression!$R$11*dummy_variables!K282+multiple_regression!$R$12*dummy_variables!L282+multiple_regression!$R$13*dummy_variables!O282+multiple_regression!$R$14*dummy_variables!P282+multiple_regression!$R$15*dummy_variables!Q282+multiple_regression!$R$16*dummy_variables!R282+multiple_regression!$R$17*dummy_variables!S282+multiple_regression!$R$18*dummy_variables!T282</f>
        <v>597680.102766778</v>
      </c>
      <c r="G284" s="0" t="n">
        <f aca="false">E284-F284</f>
        <v>-72780.5327667776</v>
      </c>
      <c r="H284" s="0" t="n">
        <f aca="false">ABS(G284)</f>
        <v>72780.5327667776</v>
      </c>
    </row>
    <row r="285" customFormat="false" ht="15" hidden="false" customHeight="false" outlineLevel="0" collapsed="false">
      <c r="A285" s="0" t="str">
        <f aca="false">dummy_variables!A283</f>
        <v>STR-1071</v>
      </c>
      <c r="B285" s="0" t="str">
        <f aca="false">dummy_variables!B283</f>
        <v>2025-02-01</v>
      </c>
      <c r="C285" s="0" t="str">
        <f aca="false">dummy_variables!C283</f>
        <v>South</v>
      </c>
      <c r="D285" s="0" t="str">
        <f aca="false">dummy_variables!D283</f>
        <v>High Street</v>
      </c>
      <c r="E285" s="0" t="n">
        <f aca="false">dummy_variables!M283</f>
        <v>555557.77</v>
      </c>
      <c r="F285" s="0" t="n">
        <f aca="false">multiple_regression!$R$5+multiple_regression!$R$6*dummy_variables!E283+multiple_regression!$R$7*dummy_variables!F283+multiple_regression!$R$8*dummy_variables!G283+multiple_regression!$R$9*dummy_variables!I283+multiple_regression!$R$10*dummy_variables!J283+multiple_regression!$R$11*dummy_variables!K283+multiple_regression!$R$12*dummy_variables!L283+multiple_regression!$R$13*dummy_variables!O283+multiple_regression!$R$14*dummy_variables!P283+multiple_regression!$R$15*dummy_variables!Q283+multiple_regression!$R$16*dummy_variables!R283+multiple_regression!$R$17*dummy_variables!S283+multiple_regression!$R$18*dummy_variables!T283</f>
        <v>592521.707248809</v>
      </c>
      <c r="G285" s="0" t="n">
        <f aca="false">E285-F285</f>
        <v>-36963.9372488088</v>
      </c>
      <c r="H285" s="0" t="n">
        <f aca="false">ABS(G285)</f>
        <v>36963.9372488088</v>
      </c>
    </row>
    <row r="286" customFormat="false" ht="15" hidden="false" customHeight="false" outlineLevel="0" collapsed="false">
      <c r="A286" s="0" t="str">
        <f aca="false">dummy_variables!A284</f>
        <v>STR-1071</v>
      </c>
      <c r="B286" s="0" t="str">
        <f aca="false">dummy_variables!B284</f>
        <v>2025-03-01</v>
      </c>
      <c r="C286" s="0" t="str">
        <f aca="false">dummy_variables!C284</f>
        <v>South</v>
      </c>
      <c r="D286" s="0" t="str">
        <f aca="false">dummy_variables!D284</f>
        <v>High Street</v>
      </c>
      <c r="E286" s="0" t="n">
        <f aca="false">dummy_variables!M284</f>
        <v>714083.68</v>
      </c>
      <c r="F286" s="0" t="n">
        <f aca="false">multiple_regression!$R$5+multiple_regression!$R$6*dummy_variables!E284+multiple_regression!$R$7*dummy_variables!F284+multiple_regression!$R$8*dummy_variables!G284+multiple_regression!$R$9*dummy_variables!I284+multiple_regression!$R$10*dummy_variables!J284+multiple_regression!$R$11*dummy_variables!K284+multiple_regression!$R$12*dummy_variables!L284+multiple_regression!$R$13*dummy_variables!O284+multiple_regression!$R$14*dummy_variables!P284+multiple_regression!$R$15*dummy_variables!Q284+multiple_regression!$R$16*dummy_variables!R284+multiple_regression!$R$17*dummy_variables!S284+multiple_regression!$R$18*dummy_variables!T284</f>
        <v>700652.847800366</v>
      </c>
      <c r="G286" s="0" t="n">
        <f aca="false">E286-F286</f>
        <v>13430.8321996343</v>
      </c>
      <c r="H286" s="0" t="n">
        <f aca="false">ABS(G286)</f>
        <v>13430.8321996343</v>
      </c>
    </row>
    <row r="287" customFormat="false" ht="15" hidden="false" customHeight="false" outlineLevel="0" collapsed="false">
      <c r="A287" s="0" t="str">
        <f aca="false">dummy_variables!A285</f>
        <v>STR-1071</v>
      </c>
      <c r="B287" s="0" t="str">
        <f aca="false">dummy_variables!B285</f>
        <v>2025-04-01</v>
      </c>
      <c r="C287" s="0" t="str">
        <f aca="false">dummy_variables!C285</f>
        <v>South</v>
      </c>
      <c r="D287" s="0" t="str">
        <f aca="false">dummy_variables!D285</f>
        <v>High Street</v>
      </c>
      <c r="E287" s="0" t="n">
        <f aca="false">dummy_variables!M285</f>
        <v>497439.82</v>
      </c>
      <c r="F287" s="0" t="n">
        <f aca="false">multiple_regression!$R$5+multiple_regression!$R$6*dummy_variables!E285+multiple_regression!$R$7*dummy_variables!F285+multiple_regression!$R$8*dummy_variables!G285+multiple_regression!$R$9*dummy_variables!I285+multiple_regression!$R$10*dummy_variables!J285+multiple_regression!$R$11*dummy_variables!K285+multiple_regression!$R$12*dummy_variables!L285+multiple_regression!$R$13*dummy_variables!O285+multiple_regression!$R$14*dummy_variables!P285+multiple_regression!$R$15*dummy_variables!Q285+multiple_regression!$R$16*dummy_variables!R285+multiple_regression!$R$17*dummy_variables!S285+multiple_regression!$R$18*dummy_variables!T285</f>
        <v>495349.917978182</v>
      </c>
      <c r="G287" s="0" t="n">
        <f aca="false">E287-F287</f>
        <v>2089.9020218181</v>
      </c>
      <c r="H287" s="0" t="n">
        <f aca="false">ABS(G287)</f>
        <v>2089.9020218181</v>
      </c>
    </row>
    <row r="288" customFormat="false" ht="15" hidden="false" customHeight="false" outlineLevel="0" collapsed="false">
      <c r="A288" s="0" t="str">
        <f aca="false">dummy_variables!A286</f>
        <v>STR-1072</v>
      </c>
      <c r="B288" s="0" t="str">
        <f aca="false">dummy_variables!B286</f>
        <v>2025-01-01</v>
      </c>
      <c r="C288" s="0" t="str">
        <f aca="false">dummy_variables!C286</f>
        <v>West</v>
      </c>
      <c r="D288" s="0" t="str">
        <f aca="false">dummy_variables!D286</f>
        <v>Residential</v>
      </c>
      <c r="E288" s="0" t="n">
        <f aca="false">dummy_variables!M286</f>
        <v>636775.66</v>
      </c>
      <c r="F288" s="0" t="n">
        <f aca="false">multiple_regression!$R$5+multiple_regression!$R$6*dummy_variables!E286+multiple_regression!$R$7*dummy_variables!F286+multiple_regression!$R$8*dummy_variables!G286+multiple_regression!$R$9*dummy_variables!I286+multiple_regression!$R$10*dummy_variables!J286+multiple_regression!$R$11*dummy_variables!K286+multiple_regression!$R$12*dummy_variables!L286+multiple_regression!$R$13*dummy_variables!O286+multiple_regression!$R$14*dummy_variables!P286+multiple_regression!$R$15*dummy_variables!Q286+multiple_regression!$R$16*dummy_variables!R286+multiple_regression!$R$17*dummy_variables!S286+multiple_regression!$R$18*dummy_variables!T286</f>
        <v>676758.062194386</v>
      </c>
      <c r="G288" s="0" t="n">
        <f aca="false">E288-F288</f>
        <v>-39982.4021943855</v>
      </c>
      <c r="H288" s="0" t="n">
        <f aca="false">ABS(G288)</f>
        <v>39982.4021943855</v>
      </c>
    </row>
    <row r="289" customFormat="false" ht="15" hidden="false" customHeight="false" outlineLevel="0" collapsed="false">
      <c r="A289" s="0" t="str">
        <f aca="false">dummy_variables!A287</f>
        <v>STR-1072</v>
      </c>
      <c r="B289" s="0" t="str">
        <f aca="false">dummy_variables!B287</f>
        <v>2025-02-01</v>
      </c>
      <c r="C289" s="0" t="str">
        <f aca="false">dummy_variables!C287</f>
        <v>West</v>
      </c>
      <c r="D289" s="0" t="str">
        <f aca="false">dummy_variables!D287</f>
        <v>Residential</v>
      </c>
      <c r="E289" s="0" t="n">
        <f aca="false">dummy_variables!M287</f>
        <v>633009.53</v>
      </c>
      <c r="F289" s="0" t="n">
        <f aca="false">multiple_regression!$R$5+multiple_regression!$R$6*dummy_variables!E287+multiple_regression!$R$7*dummy_variables!F287+multiple_regression!$R$8*dummy_variables!G287+multiple_regression!$R$9*dummy_variables!I287+multiple_regression!$R$10*dummy_variables!J287+multiple_regression!$R$11*dummy_variables!K287+multiple_regression!$R$12*dummy_variables!L287+multiple_regression!$R$13*dummy_variables!O287+multiple_regression!$R$14*dummy_variables!P287+multiple_regression!$R$15*dummy_variables!Q287+multiple_regression!$R$16*dummy_variables!R287+multiple_regression!$R$17*dummy_variables!S287+multiple_regression!$R$18*dummy_variables!T287</f>
        <v>650141.030878375</v>
      </c>
      <c r="G289" s="0" t="n">
        <f aca="false">E289-F289</f>
        <v>-17131.500878375</v>
      </c>
      <c r="H289" s="0" t="n">
        <f aca="false">ABS(G289)</f>
        <v>17131.500878375</v>
      </c>
    </row>
    <row r="290" customFormat="false" ht="15" hidden="false" customHeight="false" outlineLevel="0" collapsed="false">
      <c r="A290" s="0" t="str">
        <f aca="false">dummy_variables!A288</f>
        <v>STR-1072</v>
      </c>
      <c r="B290" s="0" t="str">
        <f aca="false">dummy_variables!B288</f>
        <v>2025-03-01</v>
      </c>
      <c r="C290" s="0" t="str">
        <f aca="false">dummy_variables!C288</f>
        <v>West</v>
      </c>
      <c r="D290" s="0" t="str">
        <f aca="false">dummy_variables!D288</f>
        <v>Residential</v>
      </c>
      <c r="E290" s="0" t="n">
        <f aca="false">dummy_variables!M288</f>
        <v>609949</v>
      </c>
      <c r="F290" s="0" t="n">
        <f aca="false">multiple_regression!$R$5+multiple_regression!$R$6*dummy_variables!E288+multiple_regression!$R$7*dummy_variables!F288+multiple_regression!$R$8*dummy_variables!G288+multiple_regression!$R$9*dummy_variables!I288+multiple_regression!$R$10*dummy_variables!J288+multiple_regression!$R$11*dummy_variables!K288+multiple_regression!$R$12*dummy_variables!L288+multiple_regression!$R$13*dummy_variables!O288+multiple_regression!$R$14*dummy_variables!P288+multiple_regression!$R$15*dummy_variables!Q288+multiple_regression!$R$16*dummy_variables!R288+multiple_regression!$R$17*dummy_variables!S288+multiple_regression!$R$18*dummy_variables!T288</f>
        <v>630782.712633425</v>
      </c>
      <c r="G290" s="0" t="n">
        <f aca="false">E290-F290</f>
        <v>-20833.7126334249</v>
      </c>
      <c r="H290" s="0" t="n">
        <f aca="false">ABS(G290)</f>
        <v>20833.7126334249</v>
      </c>
    </row>
    <row r="291" customFormat="false" ht="15" hidden="false" customHeight="false" outlineLevel="0" collapsed="false">
      <c r="A291" s="0" t="str">
        <f aca="false">dummy_variables!A289</f>
        <v>STR-1072</v>
      </c>
      <c r="B291" s="0" t="str">
        <f aca="false">dummy_variables!B289</f>
        <v>2025-04-01</v>
      </c>
      <c r="C291" s="0" t="str">
        <f aca="false">dummy_variables!C289</f>
        <v>West</v>
      </c>
      <c r="D291" s="0" t="str">
        <f aca="false">dummy_variables!D289</f>
        <v>Residential</v>
      </c>
      <c r="E291" s="0" t="n">
        <f aca="false">dummy_variables!M289</f>
        <v>548103.7</v>
      </c>
      <c r="F291" s="0" t="n">
        <f aca="false">multiple_regression!$R$5+multiple_regression!$R$6*dummy_variables!E289+multiple_regression!$R$7*dummy_variables!F289+multiple_regression!$R$8*dummy_variables!G289+multiple_regression!$R$9*dummy_variables!I289+multiple_regression!$R$10*dummy_variables!J289+multiple_regression!$R$11*dummy_variables!K289+multiple_regression!$R$12*dummy_variables!L289+multiple_regression!$R$13*dummy_variables!O289+multiple_regression!$R$14*dummy_variables!P289+multiple_regression!$R$15*dummy_variables!Q289+multiple_regression!$R$16*dummy_variables!R289+multiple_regression!$R$17*dummy_variables!S289+multiple_regression!$R$18*dummy_variables!T289</f>
        <v>571293.806734542</v>
      </c>
      <c r="G291" s="0" t="n">
        <f aca="false">E291-F291</f>
        <v>-23190.1067345421</v>
      </c>
      <c r="H291" s="0" t="n">
        <f aca="false">ABS(G291)</f>
        <v>23190.1067345421</v>
      </c>
    </row>
    <row r="292" customFormat="false" ht="15" hidden="false" customHeight="false" outlineLevel="0" collapsed="false">
      <c r="A292" s="0" t="str">
        <f aca="false">dummy_variables!A290</f>
        <v>STR-1073</v>
      </c>
      <c r="B292" s="0" t="str">
        <f aca="false">dummy_variables!B290</f>
        <v>2025-01-01</v>
      </c>
      <c r="C292" s="0" t="str">
        <f aca="false">dummy_variables!C290</f>
        <v>East</v>
      </c>
      <c r="D292" s="0" t="str">
        <f aca="false">dummy_variables!D290</f>
        <v>Residential</v>
      </c>
      <c r="E292" s="0" t="n">
        <f aca="false">dummy_variables!M290</f>
        <v>729424.42</v>
      </c>
      <c r="F292" s="0" t="n">
        <f aca="false">multiple_regression!$R$5+multiple_regression!$R$6*dummy_variables!E290+multiple_regression!$R$7*dummy_variables!F290+multiple_regression!$R$8*dummy_variables!G290+multiple_regression!$R$9*dummy_variables!I290+multiple_regression!$R$10*dummy_variables!J290+multiple_regression!$R$11*dummy_variables!K290+multiple_regression!$R$12*dummy_variables!L290+multiple_regression!$R$13*dummy_variables!O290+multiple_regression!$R$14*dummy_variables!P290+multiple_regression!$R$15*dummy_variables!Q290+multiple_regression!$R$16*dummy_variables!R290+multiple_regression!$R$17*dummy_variables!S290+multiple_regression!$R$18*dummy_variables!T290</f>
        <v>677654.699143038</v>
      </c>
      <c r="G292" s="0" t="n">
        <f aca="false">E292-F292</f>
        <v>51769.7208569617</v>
      </c>
      <c r="H292" s="0" t="n">
        <f aca="false">ABS(G292)</f>
        <v>51769.7208569617</v>
      </c>
    </row>
    <row r="293" customFormat="false" ht="15" hidden="false" customHeight="false" outlineLevel="0" collapsed="false">
      <c r="A293" s="0" t="str">
        <f aca="false">dummy_variables!A291</f>
        <v>STR-1073</v>
      </c>
      <c r="B293" s="0" t="str">
        <f aca="false">dummy_variables!B291</f>
        <v>2025-02-01</v>
      </c>
      <c r="C293" s="0" t="str">
        <f aca="false">dummy_variables!C291</f>
        <v>East</v>
      </c>
      <c r="D293" s="0" t="str">
        <f aca="false">dummy_variables!D291</f>
        <v>Residential</v>
      </c>
      <c r="E293" s="0" t="n">
        <f aca="false">dummy_variables!M291</f>
        <v>696261.49</v>
      </c>
      <c r="F293" s="0" t="n">
        <f aca="false">multiple_regression!$R$5+multiple_regression!$R$6*dummy_variables!E291+multiple_regression!$R$7*dummy_variables!F291+multiple_regression!$R$8*dummy_variables!G291+multiple_regression!$R$9*dummy_variables!I291+multiple_regression!$R$10*dummy_variables!J291+multiple_regression!$R$11*dummy_variables!K291+multiple_regression!$R$12*dummy_variables!L291+multiple_regression!$R$13*dummy_variables!O291+multiple_regression!$R$14*dummy_variables!P291+multiple_regression!$R$15*dummy_variables!Q291+multiple_regression!$R$16*dummy_variables!R291+multiple_regression!$R$17*dummy_variables!S291+multiple_regression!$R$18*dummy_variables!T291</f>
        <v>714759.679709735</v>
      </c>
      <c r="G293" s="0" t="n">
        <f aca="false">E293-F293</f>
        <v>-18498.1897097355</v>
      </c>
      <c r="H293" s="0" t="n">
        <f aca="false">ABS(G293)</f>
        <v>18498.1897097355</v>
      </c>
    </row>
    <row r="294" customFormat="false" ht="15" hidden="false" customHeight="false" outlineLevel="0" collapsed="false">
      <c r="A294" s="0" t="str">
        <f aca="false">dummy_variables!A292</f>
        <v>STR-1073</v>
      </c>
      <c r="B294" s="0" t="str">
        <f aca="false">dummy_variables!B292</f>
        <v>2025-03-01</v>
      </c>
      <c r="C294" s="0" t="str">
        <f aca="false">dummy_variables!C292</f>
        <v>East</v>
      </c>
      <c r="D294" s="0" t="str">
        <f aca="false">dummy_variables!D292</f>
        <v>Residential</v>
      </c>
      <c r="E294" s="0" t="n">
        <f aca="false">dummy_variables!M292</f>
        <v>813316.71</v>
      </c>
      <c r="F294" s="0" t="n">
        <f aca="false">multiple_regression!$R$5+multiple_regression!$R$6*dummy_variables!E292+multiple_regression!$R$7*dummy_variables!F292+multiple_regression!$R$8*dummy_variables!G292+multiple_regression!$R$9*dummy_variables!I292+multiple_regression!$R$10*dummy_variables!J292+multiple_regression!$R$11*dummy_variables!K292+multiple_regression!$R$12*dummy_variables!L292+multiple_regression!$R$13*dummy_variables!O292+multiple_regression!$R$14*dummy_variables!P292+multiple_regression!$R$15*dummy_variables!Q292+multiple_regression!$R$16*dummy_variables!R292+multiple_regression!$R$17*dummy_variables!S292+multiple_regression!$R$18*dummy_variables!T292</f>
        <v>716077.940370638</v>
      </c>
      <c r="G294" s="0" t="n">
        <f aca="false">E294-F294</f>
        <v>97238.7696293623</v>
      </c>
      <c r="H294" s="0" t="n">
        <f aca="false">ABS(G294)</f>
        <v>97238.7696293623</v>
      </c>
    </row>
    <row r="295" customFormat="false" ht="15" hidden="false" customHeight="false" outlineLevel="0" collapsed="false">
      <c r="A295" s="0" t="str">
        <f aca="false">dummy_variables!A293</f>
        <v>STR-1073</v>
      </c>
      <c r="B295" s="0" t="str">
        <f aca="false">dummy_variables!B293</f>
        <v>2025-04-01</v>
      </c>
      <c r="C295" s="0" t="str">
        <f aca="false">dummy_variables!C293</f>
        <v>East</v>
      </c>
      <c r="D295" s="0" t="str">
        <f aca="false">dummy_variables!D293</f>
        <v>Residential</v>
      </c>
      <c r="E295" s="0" t="n">
        <f aca="false">dummy_variables!M293</f>
        <v>702068.92</v>
      </c>
      <c r="F295" s="0" t="n">
        <f aca="false">multiple_regression!$R$5+multiple_regression!$R$6*dummy_variables!E293+multiple_regression!$R$7*dummy_variables!F293+multiple_regression!$R$8*dummy_variables!G293+multiple_regression!$R$9*dummy_variables!I293+multiple_regression!$R$10*dummy_variables!J293+multiple_regression!$R$11*dummy_variables!K293+multiple_regression!$R$12*dummy_variables!L293+multiple_regression!$R$13*dummy_variables!O293+multiple_regression!$R$14*dummy_variables!P293+multiple_regression!$R$15*dummy_variables!Q293+multiple_regression!$R$16*dummy_variables!R293+multiple_regression!$R$17*dummy_variables!S293+multiple_regression!$R$18*dummy_variables!T293</f>
        <v>691583.832897989</v>
      </c>
      <c r="G295" s="0" t="n">
        <f aca="false">E295-F295</f>
        <v>10485.0871020107</v>
      </c>
      <c r="H295" s="0" t="n">
        <f aca="false">ABS(G295)</f>
        <v>10485.0871020107</v>
      </c>
    </row>
    <row r="296" customFormat="false" ht="15" hidden="false" customHeight="false" outlineLevel="0" collapsed="false">
      <c r="A296" s="0" t="str">
        <f aca="false">dummy_variables!A294</f>
        <v>STR-1074</v>
      </c>
      <c r="B296" s="0" t="str">
        <f aca="false">dummy_variables!B294</f>
        <v>2025-01-01</v>
      </c>
      <c r="C296" s="0" t="str">
        <f aca="false">dummy_variables!C294</f>
        <v>West</v>
      </c>
      <c r="D296" s="0" t="str">
        <f aca="false">dummy_variables!D294</f>
        <v>High Street</v>
      </c>
      <c r="E296" s="0" t="n">
        <f aca="false">dummy_variables!M294</f>
        <v>546223.7</v>
      </c>
      <c r="F296" s="0" t="n">
        <f aca="false">multiple_regression!$R$5+multiple_regression!$R$6*dummy_variables!E294+multiple_regression!$R$7*dummy_variables!F294+multiple_regression!$R$8*dummy_variables!G294+multiple_regression!$R$9*dummy_variables!I294+multiple_regression!$R$10*dummy_variables!J294+multiple_regression!$R$11*dummy_variables!K294+multiple_regression!$R$12*dummy_variables!L294+multiple_regression!$R$13*dummy_variables!O294+multiple_regression!$R$14*dummy_variables!P294+multiple_regression!$R$15*dummy_variables!Q294+multiple_regression!$R$16*dummy_variables!R294+multiple_regression!$R$17*dummy_variables!S294+multiple_regression!$R$18*dummy_variables!T294</f>
        <v>591700.52171954</v>
      </c>
      <c r="G296" s="0" t="n">
        <f aca="false">E296-F296</f>
        <v>-45476.8217195397</v>
      </c>
      <c r="H296" s="0" t="n">
        <f aca="false">ABS(G296)</f>
        <v>45476.8217195397</v>
      </c>
    </row>
    <row r="297" customFormat="false" ht="15" hidden="false" customHeight="false" outlineLevel="0" collapsed="false">
      <c r="A297" s="0" t="str">
        <f aca="false">dummy_variables!A295</f>
        <v>STR-1074</v>
      </c>
      <c r="B297" s="0" t="str">
        <f aca="false">dummy_variables!B295</f>
        <v>2025-02-01</v>
      </c>
      <c r="C297" s="0" t="str">
        <f aca="false">dummy_variables!C295</f>
        <v>West</v>
      </c>
      <c r="D297" s="0" t="str">
        <f aca="false">dummy_variables!D295</f>
        <v>High Street</v>
      </c>
      <c r="E297" s="0" t="n">
        <f aca="false">dummy_variables!M295</f>
        <v>533121.26</v>
      </c>
      <c r="F297" s="0" t="n">
        <f aca="false">multiple_regression!$R$5+multiple_regression!$R$6*dummy_variables!E295+multiple_regression!$R$7*dummy_variables!F295+multiple_regression!$R$8*dummy_variables!G295+multiple_regression!$R$9*dummy_variables!I295+multiple_regression!$R$10*dummy_variables!J295+multiple_regression!$R$11*dummy_variables!K295+multiple_regression!$R$12*dummy_variables!L295+multiple_regression!$R$13*dummy_variables!O295+multiple_regression!$R$14*dummy_variables!P295+multiple_regression!$R$15*dummy_variables!Q295+multiple_regression!$R$16*dummy_variables!R295+multiple_regression!$R$17*dummy_variables!S295+multiple_regression!$R$18*dummy_variables!T295</f>
        <v>543919.446359036</v>
      </c>
      <c r="G297" s="0" t="n">
        <f aca="false">E297-F297</f>
        <v>-10798.1863590356</v>
      </c>
      <c r="H297" s="0" t="n">
        <f aca="false">ABS(G297)</f>
        <v>10798.1863590356</v>
      </c>
    </row>
    <row r="298" customFormat="false" ht="15" hidden="false" customHeight="false" outlineLevel="0" collapsed="false">
      <c r="A298" s="0" t="str">
        <f aca="false">dummy_variables!A296</f>
        <v>STR-1074</v>
      </c>
      <c r="B298" s="0" t="str">
        <f aca="false">dummy_variables!B296</f>
        <v>2025-03-01</v>
      </c>
      <c r="C298" s="0" t="str">
        <f aca="false">dummy_variables!C296</f>
        <v>West</v>
      </c>
      <c r="D298" s="0" t="str">
        <f aca="false">dummy_variables!D296</f>
        <v>High Street</v>
      </c>
      <c r="E298" s="0" t="n">
        <f aca="false">dummy_variables!M296</f>
        <v>498970.32</v>
      </c>
      <c r="F298" s="0" t="n">
        <f aca="false">multiple_regression!$R$5+multiple_regression!$R$6*dummy_variables!E296+multiple_regression!$R$7*dummy_variables!F296+multiple_regression!$R$8*dummy_variables!G296+multiple_regression!$R$9*dummy_variables!I296+multiple_regression!$R$10*dummy_variables!J296+multiple_regression!$R$11*dummy_variables!K296+multiple_regression!$R$12*dummy_variables!L296+multiple_regression!$R$13*dummy_variables!O296+multiple_regression!$R$14*dummy_variables!P296+multiple_regression!$R$15*dummy_variables!Q296+multiple_regression!$R$16*dummy_variables!R296+multiple_regression!$R$17*dummy_variables!S296+multiple_regression!$R$18*dummy_variables!T296</f>
        <v>496092.367831646</v>
      </c>
      <c r="G298" s="0" t="n">
        <f aca="false">E298-F298</f>
        <v>2877.95216835447</v>
      </c>
      <c r="H298" s="0" t="n">
        <f aca="false">ABS(G298)</f>
        <v>2877.95216835447</v>
      </c>
    </row>
    <row r="299" customFormat="false" ht="15" hidden="false" customHeight="false" outlineLevel="0" collapsed="false">
      <c r="A299" s="0" t="str">
        <f aca="false">dummy_variables!A297</f>
        <v>STR-1074</v>
      </c>
      <c r="B299" s="0" t="str">
        <f aca="false">dummy_variables!B297</f>
        <v>2025-04-01</v>
      </c>
      <c r="C299" s="0" t="str">
        <f aca="false">dummy_variables!C297</f>
        <v>West</v>
      </c>
      <c r="D299" s="0" t="str">
        <f aca="false">dummy_variables!D297</f>
        <v>High Street</v>
      </c>
      <c r="E299" s="0" t="n">
        <f aca="false">dummy_variables!M297</f>
        <v>487738.26</v>
      </c>
      <c r="F299" s="0" t="n">
        <f aca="false">multiple_regression!$R$5+multiple_regression!$R$6*dummy_variables!E297+multiple_regression!$R$7*dummy_variables!F297+multiple_regression!$R$8*dummy_variables!G297+multiple_regression!$R$9*dummy_variables!I297+multiple_regression!$R$10*dummy_variables!J297+multiple_regression!$R$11*dummy_variables!K297+multiple_regression!$R$12*dummy_variables!L297+multiple_regression!$R$13*dummy_variables!O297+multiple_regression!$R$14*dummy_variables!P297+multiple_regression!$R$15*dummy_variables!Q297+multiple_regression!$R$16*dummy_variables!R297+multiple_regression!$R$17*dummy_variables!S297+multiple_regression!$R$18*dummy_variables!T297</f>
        <v>489506.545826869</v>
      </c>
      <c r="G299" s="0" t="n">
        <f aca="false">E299-F299</f>
        <v>-1768.28582686937</v>
      </c>
      <c r="H299" s="0" t="n">
        <f aca="false">ABS(G299)</f>
        <v>1768.28582686937</v>
      </c>
    </row>
    <row r="300" customFormat="false" ht="15" hidden="false" customHeight="false" outlineLevel="0" collapsed="false">
      <c r="A300" s="0" t="str">
        <f aca="false">dummy_variables!A298</f>
        <v>STR-1075</v>
      </c>
      <c r="B300" s="0" t="str">
        <f aca="false">dummy_variables!B298</f>
        <v>2025-01-01</v>
      </c>
      <c r="C300" s="0" t="str">
        <f aca="false">dummy_variables!C298</f>
        <v>West</v>
      </c>
      <c r="D300" s="0" t="str">
        <f aca="false">dummy_variables!D298</f>
        <v>High Street</v>
      </c>
      <c r="E300" s="0" t="n">
        <f aca="false">dummy_variables!M298</f>
        <v>668459.37</v>
      </c>
      <c r="F300" s="0" t="n">
        <f aca="false">multiple_regression!$R$5+multiple_regression!$R$6*dummy_variables!E298+multiple_regression!$R$7*dummy_variables!F298+multiple_regression!$R$8*dummy_variables!G298+multiple_regression!$R$9*dummy_variables!I298+multiple_regression!$R$10*dummy_variables!J298+multiple_regression!$R$11*dummy_variables!K298+multiple_regression!$R$12*dummy_variables!L298+multiple_regression!$R$13*dummy_variables!O298+multiple_regression!$R$14*dummy_variables!P298+multiple_regression!$R$15*dummy_variables!Q298+multiple_regression!$R$16*dummy_variables!R298+multiple_regression!$R$17*dummy_variables!S298+multiple_regression!$R$18*dummy_variables!T298</f>
        <v>672452.379925093</v>
      </c>
      <c r="G300" s="0" t="n">
        <f aca="false">E300-F300</f>
        <v>-3993.00992509257</v>
      </c>
      <c r="H300" s="0" t="n">
        <f aca="false">ABS(G300)</f>
        <v>3993.00992509257</v>
      </c>
    </row>
    <row r="301" customFormat="false" ht="15" hidden="false" customHeight="false" outlineLevel="0" collapsed="false">
      <c r="A301" s="0" t="str">
        <f aca="false">dummy_variables!A299</f>
        <v>STR-1075</v>
      </c>
      <c r="B301" s="0" t="str">
        <f aca="false">dummy_variables!B299</f>
        <v>2025-02-01</v>
      </c>
      <c r="C301" s="0" t="str">
        <f aca="false">dummy_variables!C299</f>
        <v>West</v>
      </c>
      <c r="D301" s="0" t="str">
        <f aca="false">dummy_variables!D299</f>
        <v>High Street</v>
      </c>
      <c r="E301" s="0" t="n">
        <f aca="false">dummy_variables!M299</f>
        <v>763162.45</v>
      </c>
      <c r="F301" s="0" t="n">
        <f aca="false">multiple_regression!$R$5+multiple_regression!$R$6*dummy_variables!E299+multiple_regression!$R$7*dummy_variables!F299+multiple_regression!$R$8*dummy_variables!G299+multiple_regression!$R$9*dummy_variables!I299+multiple_regression!$R$10*dummy_variables!J299+multiple_regression!$R$11*dummy_variables!K299+multiple_regression!$R$12*dummy_variables!L299+multiple_regression!$R$13*dummy_variables!O299+multiple_regression!$R$14*dummy_variables!P299+multiple_regression!$R$15*dummy_variables!Q299+multiple_regression!$R$16*dummy_variables!R299+multiple_regression!$R$17*dummy_variables!S299+multiple_regression!$R$18*dummy_variables!T299</f>
        <v>695293.563175469</v>
      </c>
      <c r="G301" s="0" t="n">
        <f aca="false">E301-F301</f>
        <v>67868.8868245306</v>
      </c>
      <c r="H301" s="0" t="n">
        <f aca="false">ABS(G301)</f>
        <v>67868.8868245306</v>
      </c>
    </row>
    <row r="302" customFormat="false" ht="15" hidden="false" customHeight="false" outlineLevel="0" collapsed="false">
      <c r="A302" s="0" t="str">
        <f aca="false">dummy_variables!A300</f>
        <v>STR-1075</v>
      </c>
      <c r="B302" s="0" t="str">
        <f aca="false">dummy_variables!B300</f>
        <v>2025-03-01</v>
      </c>
      <c r="C302" s="0" t="str">
        <f aca="false">dummy_variables!C300</f>
        <v>West</v>
      </c>
      <c r="D302" s="0" t="str">
        <f aca="false">dummy_variables!D300</f>
        <v>High Street</v>
      </c>
      <c r="E302" s="0" t="n">
        <f aca="false">dummy_variables!M300</f>
        <v>599017.33</v>
      </c>
      <c r="F302" s="0" t="n">
        <f aca="false">multiple_regression!$R$5+multiple_regression!$R$6*dummy_variables!E300+multiple_regression!$R$7*dummy_variables!F300+multiple_regression!$R$8*dummy_variables!G300+multiple_regression!$R$9*dummy_variables!I300+multiple_regression!$R$10*dummy_variables!J300+multiple_regression!$R$11*dummy_variables!K300+multiple_regression!$R$12*dummy_variables!L300+multiple_regression!$R$13*dummy_variables!O300+multiple_regression!$R$14*dummy_variables!P300+multiple_regression!$R$15*dummy_variables!Q300+multiple_regression!$R$16*dummy_variables!R300+multiple_regression!$R$17*dummy_variables!S300+multiple_regression!$R$18*dummy_variables!T300</f>
        <v>625786.117417127</v>
      </c>
      <c r="G302" s="0" t="n">
        <f aca="false">E302-F302</f>
        <v>-26768.7874171267</v>
      </c>
      <c r="H302" s="0" t="n">
        <f aca="false">ABS(G302)</f>
        <v>26768.7874171267</v>
      </c>
    </row>
    <row r="303" customFormat="false" ht="15" hidden="false" customHeight="false" outlineLevel="0" collapsed="false">
      <c r="A303" s="0" t="str">
        <f aca="false">dummy_variables!A301</f>
        <v>STR-1075</v>
      </c>
      <c r="B303" s="0" t="str">
        <f aca="false">dummy_variables!B301</f>
        <v>2025-04-01</v>
      </c>
      <c r="C303" s="0" t="str">
        <f aca="false">dummy_variables!C301</f>
        <v>West</v>
      </c>
      <c r="D303" s="0" t="str">
        <f aca="false">dummy_variables!D301</f>
        <v>High Street</v>
      </c>
      <c r="E303" s="0" t="n">
        <f aca="false">dummy_variables!M301</f>
        <v>401582.58</v>
      </c>
      <c r="F303" s="0" t="n">
        <f aca="false">multiple_regression!$R$5+multiple_regression!$R$6*dummy_variables!E301+multiple_regression!$R$7*dummy_variables!F301+multiple_regression!$R$8*dummy_variables!G301+multiple_regression!$R$9*dummy_variables!I301+multiple_regression!$R$10*dummy_variables!J301+multiple_regression!$R$11*dummy_variables!K301+multiple_regression!$R$12*dummy_variables!L301+multiple_regression!$R$13*dummy_variables!O301+multiple_regression!$R$14*dummy_variables!P301+multiple_regression!$R$15*dummy_variables!Q301+multiple_regression!$R$16*dummy_variables!R301+multiple_regression!$R$17*dummy_variables!S301+multiple_regression!$R$18*dummy_variables!T301</f>
        <v>439059.716381058</v>
      </c>
      <c r="G303" s="0" t="n">
        <f aca="false">E303-F303</f>
        <v>-37477.1363810579</v>
      </c>
      <c r="H303" s="0" t="n">
        <f aca="false">ABS(G303)</f>
        <v>37477.1363810579</v>
      </c>
    </row>
    <row r="304" customFormat="false" ht="15" hidden="false" customHeight="false" outlineLevel="0" collapsed="false">
      <c r="A304" s="0" t="str">
        <f aca="false">dummy_variables!A302</f>
        <v>STR-1076</v>
      </c>
      <c r="B304" s="0" t="str">
        <f aca="false">dummy_variables!B302</f>
        <v>2025-01-01</v>
      </c>
      <c r="C304" s="0" t="str">
        <f aca="false">dummy_variables!C302</f>
        <v>North</v>
      </c>
      <c r="D304" s="0" t="str">
        <f aca="false">dummy_variables!D302</f>
        <v>Mall</v>
      </c>
      <c r="E304" s="0" t="n">
        <f aca="false">dummy_variables!M302</f>
        <v>703812.99</v>
      </c>
      <c r="F304" s="0" t="n">
        <f aca="false">multiple_regression!$R$5+multiple_regression!$R$6*dummy_variables!E302+multiple_regression!$R$7*dummy_variables!F302+multiple_regression!$R$8*dummy_variables!G302+multiple_regression!$R$9*dummy_variables!I302+multiple_regression!$R$10*dummy_variables!J302+multiple_regression!$R$11*dummy_variables!K302+multiple_regression!$R$12*dummy_variables!L302+multiple_regression!$R$13*dummy_variables!O302+multiple_regression!$R$14*dummy_variables!P302+multiple_regression!$R$15*dummy_variables!Q302+multiple_regression!$R$16*dummy_variables!R302+multiple_regression!$R$17*dummy_variables!S302+multiple_regression!$R$18*dummy_variables!T302</f>
        <v>740552.958266624</v>
      </c>
      <c r="G304" s="0" t="n">
        <f aca="false">E304-F304</f>
        <v>-36739.9682666243</v>
      </c>
      <c r="H304" s="0" t="n">
        <f aca="false">ABS(G304)</f>
        <v>36739.9682666243</v>
      </c>
    </row>
    <row r="305" customFormat="false" ht="15" hidden="false" customHeight="false" outlineLevel="0" collapsed="false">
      <c r="A305" s="0" t="str">
        <f aca="false">dummy_variables!A303</f>
        <v>STR-1076</v>
      </c>
      <c r="B305" s="0" t="str">
        <f aca="false">dummy_variables!B303</f>
        <v>2025-02-01</v>
      </c>
      <c r="C305" s="0" t="str">
        <f aca="false">dummy_variables!C303</f>
        <v>North</v>
      </c>
      <c r="D305" s="0" t="str">
        <f aca="false">dummy_variables!D303</f>
        <v>Mall</v>
      </c>
      <c r="E305" s="0" t="n">
        <f aca="false">dummy_variables!M303</f>
        <v>724346.73</v>
      </c>
      <c r="F305" s="0" t="n">
        <f aca="false">multiple_regression!$R$5+multiple_regression!$R$6*dummy_variables!E303+multiple_regression!$R$7*dummy_variables!F303+multiple_regression!$R$8*dummy_variables!G303+multiple_regression!$R$9*dummy_variables!I303+multiple_regression!$R$10*dummy_variables!J303+multiple_regression!$R$11*dummy_variables!K303+multiple_regression!$R$12*dummy_variables!L303+multiple_regression!$R$13*dummy_variables!O303+multiple_regression!$R$14*dummy_variables!P303+multiple_regression!$R$15*dummy_variables!Q303+multiple_regression!$R$16*dummy_variables!R303+multiple_regression!$R$17*dummy_variables!S303+multiple_regression!$R$18*dummy_variables!T303</f>
        <v>734132.844831558</v>
      </c>
      <c r="G305" s="0" t="n">
        <f aca="false">E305-F305</f>
        <v>-9786.11483155785</v>
      </c>
      <c r="H305" s="0" t="n">
        <f aca="false">ABS(G305)</f>
        <v>9786.11483155785</v>
      </c>
    </row>
    <row r="306" customFormat="false" ht="15" hidden="false" customHeight="false" outlineLevel="0" collapsed="false">
      <c r="A306" s="0" t="str">
        <f aca="false">dummy_variables!A304</f>
        <v>STR-1076</v>
      </c>
      <c r="B306" s="0" t="str">
        <f aca="false">dummy_variables!B304</f>
        <v>2025-03-01</v>
      </c>
      <c r="C306" s="0" t="str">
        <f aca="false">dummy_variables!C304</f>
        <v>North</v>
      </c>
      <c r="D306" s="0" t="str">
        <f aca="false">dummy_variables!D304</f>
        <v>Mall</v>
      </c>
      <c r="E306" s="0" t="n">
        <f aca="false">dummy_variables!M304</f>
        <v>730890.01</v>
      </c>
      <c r="F306" s="0" t="n">
        <f aca="false">multiple_regression!$R$5+multiple_regression!$R$6*dummy_variables!E304+multiple_regression!$R$7*dummy_variables!F304+multiple_regression!$R$8*dummy_variables!G304+multiple_regression!$R$9*dummy_variables!I304+multiple_regression!$R$10*dummy_variables!J304+multiple_regression!$R$11*dummy_variables!K304+multiple_regression!$R$12*dummy_variables!L304+multiple_regression!$R$13*dummy_variables!O304+multiple_regression!$R$14*dummy_variables!P304+multiple_regression!$R$15*dummy_variables!Q304+multiple_regression!$R$16*dummy_variables!R304+multiple_regression!$R$17*dummy_variables!S304+multiple_regression!$R$18*dummy_variables!T304</f>
        <v>762909.952234071</v>
      </c>
      <c r="G306" s="0" t="n">
        <f aca="false">E306-F306</f>
        <v>-32019.9422340712</v>
      </c>
      <c r="H306" s="0" t="n">
        <f aca="false">ABS(G306)</f>
        <v>32019.9422340712</v>
      </c>
    </row>
    <row r="307" customFormat="false" ht="15" hidden="false" customHeight="false" outlineLevel="0" collapsed="false">
      <c r="A307" s="0" t="str">
        <f aca="false">dummy_variables!A305</f>
        <v>STR-1076</v>
      </c>
      <c r="B307" s="0" t="str">
        <f aca="false">dummy_variables!B305</f>
        <v>2025-04-01</v>
      </c>
      <c r="C307" s="0" t="str">
        <f aca="false">dummy_variables!C305</f>
        <v>North</v>
      </c>
      <c r="D307" s="0" t="str">
        <f aca="false">dummy_variables!D305</f>
        <v>Mall</v>
      </c>
      <c r="E307" s="0" t="n">
        <f aca="false">dummy_variables!M305</f>
        <v>780580.95</v>
      </c>
      <c r="F307" s="0" t="n">
        <f aca="false">multiple_regression!$R$5+multiple_regression!$R$6*dummy_variables!E305+multiple_regression!$R$7*dummy_variables!F305+multiple_regression!$R$8*dummy_variables!G305+multiple_regression!$R$9*dummy_variables!I305+multiple_regression!$R$10*dummy_variables!J305+multiple_regression!$R$11*dummy_variables!K305+multiple_regression!$R$12*dummy_variables!L305+multiple_regression!$R$13*dummy_variables!O305+multiple_regression!$R$14*dummy_variables!P305+multiple_regression!$R$15*dummy_variables!Q305+multiple_regression!$R$16*dummy_variables!R305+multiple_regression!$R$17*dummy_variables!S305+multiple_regression!$R$18*dummy_variables!T305</f>
        <v>734605.216810232</v>
      </c>
      <c r="G307" s="0" t="n">
        <f aca="false">E307-F307</f>
        <v>45975.7331897677</v>
      </c>
      <c r="H307" s="0" t="n">
        <f aca="false">ABS(G307)</f>
        <v>45975.7331897677</v>
      </c>
    </row>
    <row r="308" customFormat="false" ht="15" hidden="false" customHeight="false" outlineLevel="0" collapsed="false">
      <c r="A308" s="0" t="str">
        <f aca="false">dummy_variables!A306</f>
        <v>STR-1077</v>
      </c>
      <c r="B308" s="0" t="str">
        <f aca="false">dummy_variables!B306</f>
        <v>2025-01-01</v>
      </c>
      <c r="C308" s="0" t="str">
        <f aca="false">dummy_variables!C306</f>
        <v>South</v>
      </c>
      <c r="D308" s="0" t="str">
        <f aca="false">dummy_variables!D306</f>
        <v>Residential</v>
      </c>
      <c r="E308" s="0" t="n">
        <f aca="false">dummy_variables!M306</f>
        <v>727957.48</v>
      </c>
      <c r="F308" s="0" t="n">
        <f aca="false">multiple_regression!$R$5+multiple_regression!$R$6*dummy_variables!E306+multiple_regression!$R$7*dummy_variables!F306+multiple_regression!$R$8*dummy_variables!G306+multiple_regression!$R$9*dummy_variables!I306+multiple_regression!$R$10*dummy_variables!J306+multiple_regression!$R$11*dummy_variables!K306+multiple_regression!$R$12*dummy_variables!L306+multiple_regression!$R$13*dummy_variables!O306+multiple_regression!$R$14*dummy_variables!P306+multiple_regression!$R$15*dummy_variables!Q306+multiple_regression!$R$16*dummy_variables!R306+multiple_regression!$R$17*dummy_variables!S306+multiple_regression!$R$18*dummy_variables!T306</f>
        <v>691691.123808117</v>
      </c>
      <c r="G308" s="0" t="n">
        <f aca="false">E308-F308</f>
        <v>36266.3561918833</v>
      </c>
      <c r="H308" s="0" t="n">
        <f aca="false">ABS(G308)</f>
        <v>36266.3561918833</v>
      </c>
    </row>
    <row r="309" customFormat="false" ht="15" hidden="false" customHeight="false" outlineLevel="0" collapsed="false">
      <c r="A309" s="0" t="str">
        <f aca="false">dummy_variables!A307</f>
        <v>STR-1077</v>
      </c>
      <c r="B309" s="0" t="str">
        <f aca="false">dummy_variables!B307</f>
        <v>2025-02-01</v>
      </c>
      <c r="C309" s="0" t="str">
        <f aca="false">dummy_variables!C307</f>
        <v>South</v>
      </c>
      <c r="D309" s="0" t="str">
        <f aca="false">dummy_variables!D307</f>
        <v>Residential</v>
      </c>
      <c r="E309" s="0" t="n">
        <f aca="false">dummy_variables!M307</f>
        <v>538376</v>
      </c>
      <c r="F309" s="0" t="n">
        <f aca="false">multiple_regression!$R$5+multiple_regression!$R$6*dummy_variables!E307+multiple_regression!$R$7*dummy_variables!F307+multiple_regression!$R$8*dummy_variables!G307+multiple_regression!$R$9*dummy_variables!I307+multiple_regression!$R$10*dummy_variables!J307+multiple_regression!$R$11*dummy_variables!K307+multiple_regression!$R$12*dummy_variables!L307+multiple_regression!$R$13*dummy_variables!O307+multiple_regression!$R$14*dummy_variables!P307+multiple_regression!$R$15*dummy_variables!Q307+multiple_regression!$R$16*dummy_variables!R307+multiple_regression!$R$17*dummy_variables!S307+multiple_regression!$R$18*dummy_variables!T307</f>
        <v>588114.353188834</v>
      </c>
      <c r="G309" s="0" t="n">
        <f aca="false">E309-F309</f>
        <v>-49738.3531888338</v>
      </c>
      <c r="H309" s="0" t="n">
        <f aca="false">ABS(G309)</f>
        <v>49738.3531888338</v>
      </c>
    </row>
    <row r="310" customFormat="false" ht="15" hidden="false" customHeight="false" outlineLevel="0" collapsed="false">
      <c r="A310" s="0" t="str">
        <f aca="false">dummy_variables!A308</f>
        <v>STR-1077</v>
      </c>
      <c r="B310" s="0" t="str">
        <f aca="false">dummy_variables!B308</f>
        <v>2025-03-01</v>
      </c>
      <c r="C310" s="0" t="str">
        <f aca="false">dummy_variables!C308</f>
        <v>South</v>
      </c>
      <c r="D310" s="0" t="str">
        <f aca="false">dummy_variables!D308</f>
        <v>Residential</v>
      </c>
      <c r="E310" s="0" t="n">
        <f aca="false">dummy_variables!M308</f>
        <v>665342.49</v>
      </c>
      <c r="F310" s="0" t="n">
        <f aca="false">multiple_regression!$R$5+multiple_regression!$R$6*dummy_variables!E308+multiple_regression!$R$7*dummy_variables!F308+multiple_regression!$R$8*dummy_variables!G308+multiple_regression!$R$9*dummy_variables!I308+multiple_regression!$R$10*dummy_variables!J308+multiple_regression!$R$11*dummy_variables!K308+multiple_regression!$R$12*dummy_variables!L308+multiple_regression!$R$13*dummy_variables!O308+multiple_regression!$R$14*dummy_variables!P308+multiple_regression!$R$15*dummy_variables!Q308+multiple_regression!$R$16*dummy_variables!R308+multiple_regression!$R$17*dummy_variables!S308+multiple_regression!$R$18*dummy_variables!T308</f>
        <v>631299.333540788</v>
      </c>
      <c r="G310" s="0" t="n">
        <f aca="false">E310-F310</f>
        <v>34043.1564592122</v>
      </c>
      <c r="H310" s="0" t="n">
        <f aca="false">ABS(G310)</f>
        <v>34043.1564592122</v>
      </c>
    </row>
    <row r="311" customFormat="false" ht="15" hidden="false" customHeight="false" outlineLevel="0" collapsed="false">
      <c r="A311" s="0" t="str">
        <f aca="false">dummy_variables!A309</f>
        <v>STR-1077</v>
      </c>
      <c r="B311" s="0" t="str">
        <f aca="false">dummy_variables!B309</f>
        <v>2025-04-01</v>
      </c>
      <c r="C311" s="0" t="str">
        <f aca="false">dummy_variables!C309</f>
        <v>South</v>
      </c>
      <c r="D311" s="0" t="str">
        <f aca="false">dummy_variables!D309</f>
        <v>Residential</v>
      </c>
      <c r="E311" s="0" t="n">
        <f aca="false">dummy_variables!M309</f>
        <v>651164.18</v>
      </c>
      <c r="F311" s="0" t="n">
        <f aca="false">multiple_regression!$R$5+multiple_regression!$R$6*dummy_variables!E309+multiple_regression!$R$7*dummy_variables!F309+multiple_regression!$R$8*dummy_variables!G309+multiple_regression!$R$9*dummy_variables!I309+multiple_regression!$R$10*dummy_variables!J309+multiple_regression!$R$11*dummy_variables!K309+multiple_regression!$R$12*dummy_variables!L309+multiple_regression!$R$13*dummy_variables!O309+multiple_regression!$R$14*dummy_variables!P309+multiple_regression!$R$15*dummy_variables!Q309+multiple_regression!$R$16*dummy_variables!R309+multiple_regression!$R$17*dummy_variables!S309+multiple_regression!$R$18*dummy_variables!T309</f>
        <v>698174.220573388</v>
      </c>
      <c r="G311" s="0" t="n">
        <f aca="false">E311-F311</f>
        <v>-47010.0405733875</v>
      </c>
      <c r="H311" s="0" t="n">
        <f aca="false">ABS(G311)</f>
        <v>47010.0405733875</v>
      </c>
    </row>
    <row r="312" customFormat="false" ht="15" hidden="false" customHeight="false" outlineLevel="0" collapsed="false">
      <c r="A312" s="0" t="str">
        <f aca="false">dummy_variables!A310</f>
        <v>STR-1078</v>
      </c>
      <c r="B312" s="0" t="str">
        <f aca="false">dummy_variables!B310</f>
        <v>2025-01-01</v>
      </c>
      <c r="C312" s="0" t="str">
        <f aca="false">dummy_variables!C310</f>
        <v>South</v>
      </c>
      <c r="D312" s="0" t="str">
        <f aca="false">dummy_variables!D310</f>
        <v>High Street</v>
      </c>
      <c r="E312" s="0" t="n">
        <f aca="false">dummy_variables!M310</f>
        <v>628538.3</v>
      </c>
      <c r="F312" s="0" t="n">
        <f aca="false">multiple_regression!$R$5+multiple_regression!$R$6*dummy_variables!E310+multiple_regression!$R$7*dummy_variables!F310+multiple_regression!$R$8*dummy_variables!G310+multiple_regression!$R$9*dummy_variables!I310+multiple_regression!$R$10*dummy_variables!J310+multiple_regression!$R$11*dummy_variables!K310+multiple_regression!$R$12*dummy_variables!L310+multiple_regression!$R$13*dummy_variables!O310+multiple_regression!$R$14*dummy_variables!P310+multiple_regression!$R$15*dummy_variables!Q310+multiple_regression!$R$16*dummy_variables!R310+multiple_regression!$R$17*dummy_variables!S310+multiple_regression!$R$18*dummy_variables!T310</f>
        <v>648050.084471116</v>
      </c>
      <c r="G312" s="0" t="n">
        <f aca="false">E312-F312</f>
        <v>-19511.7844711159</v>
      </c>
      <c r="H312" s="0" t="n">
        <f aca="false">ABS(G312)</f>
        <v>19511.7844711159</v>
      </c>
    </row>
    <row r="313" customFormat="false" ht="15" hidden="false" customHeight="false" outlineLevel="0" collapsed="false">
      <c r="A313" s="0" t="str">
        <f aca="false">dummy_variables!A311</f>
        <v>STR-1078</v>
      </c>
      <c r="B313" s="0" t="str">
        <f aca="false">dummy_variables!B311</f>
        <v>2025-02-01</v>
      </c>
      <c r="C313" s="0" t="str">
        <f aca="false">dummy_variables!C311</f>
        <v>South</v>
      </c>
      <c r="D313" s="0" t="str">
        <f aca="false">dummy_variables!D311</f>
        <v>High Street</v>
      </c>
      <c r="E313" s="0" t="n">
        <f aca="false">dummy_variables!M311</f>
        <v>536524.84</v>
      </c>
      <c r="F313" s="0" t="n">
        <f aca="false">multiple_regression!$R$5+multiple_regression!$R$6*dummy_variables!E311+multiple_regression!$R$7*dummy_variables!F311+multiple_regression!$R$8*dummy_variables!G311+multiple_regression!$R$9*dummy_variables!I311+multiple_regression!$R$10*dummy_variables!J311+multiple_regression!$R$11*dummy_variables!K311+multiple_regression!$R$12*dummy_variables!L311+multiple_regression!$R$13*dummy_variables!O311+multiple_regression!$R$14*dummy_variables!P311+multiple_regression!$R$15*dummy_variables!Q311+multiple_regression!$R$16*dummy_variables!R311+multiple_regression!$R$17*dummy_variables!S311+multiple_regression!$R$18*dummy_variables!T311</f>
        <v>591552.595568168</v>
      </c>
      <c r="G313" s="0" t="n">
        <f aca="false">E313-F313</f>
        <v>-55027.7555681677</v>
      </c>
      <c r="H313" s="0" t="n">
        <f aca="false">ABS(G313)</f>
        <v>55027.7555681677</v>
      </c>
    </row>
    <row r="314" customFormat="false" ht="15" hidden="false" customHeight="false" outlineLevel="0" collapsed="false">
      <c r="A314" s="0" t="str">
        <f aca="false">dummy_variables!A312</f>
        <v>STR-1078</v>
      </c>
      <c r="B314" s="0" t="str">
        <f aca="false">dummy_variables!B312</f>
        <v>2025-03-01</v>
      </c>
      <c r="C314" s="0" t="str">
        <f aca="false">dummy_variables!C312</f>
        <v>South</v>
      </c>
      <c r="D314" s="0" t="str">
        <f aca="false">dummy_variables!D312</f>
        <v>High Street</v>
      </c>
      <c r="E314" s="0" t="n">
        <f aca="false">dummy_variables!M312</f>
        <v>621677.3</v>
      </c>
      <c r="F314" s="0" t="n">
        <f aca="false">multiple_regression!$R$5+multiple_regression!$R$6*dummy_variables!E312+multiple_regression!$R$7*dummy_variables!F312+multiple_regression!$R$8*dummy_variables!G312+multiple_regression!$R$9*dummy_variables!I312+multiple_regression!$R$10*dummy_variables!J312+multiple_regression!$R$11*dummy_variables!K312+multiple_regression!$R$12*dummy_variables!L312+multiple_regression!$R$13*dummy_variables!O312+multiple_regression!$R$14*dummy_variables!P312+multiple_regression!$R$15*dummy_variables!Q312+multiple_regression!$R$16*dummy_variables!R312+multiple_regression!$R$17*dummy_variables!S312+multiple_regression!$R$18*dummy_variables!T312</f>
        <v>617802.006068319</v>
      </c>
      <c r="G314" s="0" t="n">
        <f aca="false">E314-F314</f>
        <v>3875.29393168108</v>
      </c>
      <c r="H314" s="0" t="n">
        <f aca="false">ABS(G314)</f>
        <v>3875.29393168108</v>
      </c>
    </row>
    <row r="315" customFormat="false" ht="15" hidden="false" customHeight="false" outlineLevel="0" collapsed="false">
      <c r="A315" s="0" t="str">
        <f aca="false">dummy_variables!A313</f>
        <v>STR-1078</v>
      </c>
      <c r="B315" s="0" t="str">
        <f aca="false">dummy_variables!B313</f>
        <v>2025-04-01</v>
      </c>
      <c r="C315" s="0" t="str">
        <f aca="false">dummy_variables!C313</f>
        <v>South</v>
      </c>
      <c r="D315" s="0" t="str">
        <f aca="false">dummy_variables!D313</f>
        <v>High Street</v>
      </c>
      <c r="E315" s="0" t="n">
        <f aca="false">dummy_variables!M313</f>
        <v>771129.07</v>
      </c>
      <c r="F315" s="0" t="n">
        <f aca="false">multiple_regression!$R$5+multiple_regression!$R$6*dummy_variables!E313+multiple_regression!$R$7*dummy_variables!F313+multiple_regression!$R$8*dummy_variables!G313+multiple_regression!$R$9*dummy_variables!I313+multiple_regression!$R$10*dummy_variables!J313+multiple_regression!$R$11*dummy_variables!K313+multiple_regression!$R$12*dummy_variables!L313+multiple_regression!$R$13*dummy_variables!O313+multiple_regression!$R$14*dummy_variables!P313+multiple_regression!$R$15*dummy_variables!Q313+multiple_regression!$R$16*dummy_variables!R313+multiple_regression!$R$17*dummy_variables!S313+multiple_regression!$R$18*dummy_variables!T313</f>
        <v>766779.863439224</v>
      </c>
      <c r="G315" s="0" t="n">
        <f aca="false">E315-F315</f>
        <v>4349.20656077599</v>
      </c>
      <c r="H315" s="0" t="n">
        <f aca="false">ABS(G315)</f>
        <v>4349.20656077599</v>
      </c>
    </row>
    <row r="316" customFormat="false" ht="15" hidden="false" customHeight="false" outlineLevel="0" collapsed="false">
      <c r="A316" s="0" t="str">
        <f aca="false">dummy_variables!A314</f>
        <v>STR-1079</v>
      </c>
      <c r="B316" s="0" t="str">
        <f aca="false">dummy_variables!B314</f>
        <v>2025-01-01</v>
      </c>
      <c r="C316" s="0" t="str">
        <f aca="false">dummy_variables!C314</f>
        <v>North</v>
      </c>
      <c r="D316" s="0" t="str">
        <f aca="false">dummy_variables!D314</f>
        <v>Residential</v>
      </c>
      <c r="E316" s="0" t="n">
        <f aca="false">dummy_variables!M314</f>
        <v>702052.47</v>
      </c>
      <c r="F316" s="0" t="n">
        <f aca="false">multiple_regression!$R$5+multiple_regression!$R$6*dummy_variables!E314+multiple_regression!$R$7*dummy_variables!F314+multiple_regression!$R$8*dummy_variables!G314+multiple_regression!$R$9*dummy_variables!I314+multiple_regression!$R$10*dummy_variables!J314+multiple_regression!$R$11*dummy_variables!K314+multiple_regression!$R$12*dummy_variables!L314+multiple_regression!$R$13*dummy_variables!O314+multiple_regression!$R$14*dummy_variables!P314+multiple_regression!$R$15*dummy_variables!Q314+multiple_regression!$R$16*dummy_variables!R314+multiple_regression!$R$17*dummy_variables!S314+multiple_regression!$R$18*dummy_variables!T314</f>
        <v>675677.265165228</v>
      </c>
      <c r="G316" s="0" t="n">
        <f aca="false">E316-F316</f>
        <v>26375.2048347716</v>
      </c>
      <c r="H316" s="0" t="n">
        <f aca="false">ABS(G316)</f>
        <v>26375.2048347716</v>
      </c>
    </row>
    <row r="317" customFormat="false" ht="15" hidden="false" customHeight="false" outlineLevel="0" collapsed="false">
      <c r="A317" s="0" t="str">
        <f aca="false">dummy_variables!A315</f>
        <v>STR-1079</v>
      </c>
      <c r="B317" s="0" t="str">
        <f aca="false">dummy_variables!B315</f>
        <v>2025-02-01</v>
      </c>
      <c r="C317" s="0" t="str">
        <f aca="false">dummy_variables!C315</f>
        <v>North</v>
      </c>
      <c r="D317" s="0" t="str">
        <f aca="false">dummy_variables!D315</f>
        <v>Residential</v>
      </c>
      <c r="E317" s="0" t="n">
        <f aca="false">dummy_variables!M315</f>
        <v>688368.46</v>
      </c>
      <c r="F317" s="0" t="n">
        <f aca="false">multiple_regression!$R$5+multiple_regression!$R$6*dummy_variables!E315+multiple_regression!$R$7*dummy_variables!F315+multiple_regression!$R$8*dummy_variables!G315+multiple_regression!$R$9*dummy_variables!I315+multiple_regression!$R$10*dummy_variables!J315+multiple_regression!$R$11*dummy_variables!K315+multiple_regression!$R$12*dummy_variables!L315+multiple_regression!$R$13*dummy_variables!O315+multiple_regression!$R$14*dummy_variables!P315+multiple_regression!$R$15*dummy_variables!Q315+multiple_regression!$R$16*dummy_variables!R315+multiple_regression!$R$17*dummy_variables!S315+multiple_regression!$R$18*dummy_variables!T315</f>
        <v>709885.951749728</v>
      </c>
      <c r="G317" s="0" t="n">
        <f aca="false">E317-F317</f>
        <v>-21517.4917497282</v>
      </c>
      <c r="H317" s="0" t="n">
        <f aca="false">ABS(G317)</f>
        <v>21517.4917497282</v>
      </c>
    </row>
    <row r="318" customFormat="false" ht="15" hidden="false" customHeight="false" outlineLevel="0" collapsed="false">
      <c r="A318" s="0" t="str">
        <f aca="false">dummy_variables!A316</f>
        <v>STR-1079</v>
      </c>
      <c r="B318" s="0" t="str">
        <f aca="false">dummy_variables!B316</f>
        <v>2025-03-01</v>
      </c>
      <c r="C318" s="0" t="str">
        <f aca="false">dummy_variables!C316</f>
        <v>North</v>
      </c>
      <c r="D318" s="0" t="str">
        <f aca="false">dummy_variables!D316</f>
        <v>Residential</v>
      </c>
      <c r="E318" s="0" t="n">
        <f aca="false">dummy_variables!M316</f>
        <v>712375.77</v>
      </c>
      <c r="F318" s="0" t="n">
        <f aca="false">multiple_regression!$R$5+multiple_regression!$R$6*dummy_variables!E316+multiple_regression!$R$7*dummy_variables!F316+multiple_regression!$R$8*dummy_variables!G316+multiple_regression!$R$9*dummy_variables!I316+multiple_regression!$R$10*dummy_variables!J316+multiple_regression!$R$11*dummy_variables!K316+multiple_regression!$R$12*dummy_variables!L316+multiple_regression!$R$13*dummy_variables!O316+multiple_regression!$R$14*dummy_variables!P316+multiple_regression!$R$15*dummy_variables!Q316+multiple_regression!$R$16*dummy_variables!R316+multiple_regression!$R$17*dummy_variables!S316+multiple_regression!$R$18*dummy_variables!T316</f>
        <v>691566.093211127</v>
      </c>
      <c r="G318" s="0" t="n">
        <f aca="false">E318-F318</f>
        <v>20809.676788873</v>
      </c>
      <c r="H318" s="0" t="n">
        <f aca="false">ABS(G318)</f>
        <v>20809.676788873</v>
      </c>
    </row>
    <row r="319" customFormat="false" ht="15" hidden="false" customHeight="false" outlineLevel="0" collapsed="false">
      <c r="A319" s="0" t="str">
        <f aca="false">dummy_variables!A317</f>
        <v>STR-1079</v>
      </c>
      <c r="B319" s="0" t="str">
        <f aca="false">dummy_variables!B317</f>
        <v>2025-04-01</v>
      </c>
      <c r="C319" s="0" t="str">
        <f aca="false">dummy_variables!C317</f>
        <v>North</v>
      </c>
      <c r="D319" s="0" t="str">
        <f aca="false">dummy_variables!D317</f>
        <v>Residential</v>
      </c>
      <c r="E319" s="0" t="n">
        <f aca="false">dummy_variables!M317</f>
        <v>844710.67</v>
      </c>
      <c r="F319" s="0" t="n">
        <f aca="false">multiple_regression!$R$5+multiple_regression!$R$6*dummy_variables!E317+multiple_regression!$R$7*dummy_variables!F317+multiple_regression!$R$8*dummy_variables!G317+multiple_regression!$R$9*dummy_variables!I317+multiple_regression!$R$10*dummy_variables!J317+multiple_regression!$R$11*dummy_variables!K317+multiple_regression!$R$12*dummy_variables!L317+multiple_regression!$R$13*dummy_variables!O317+multiple_regression!$R$14*dummy_variables!P317+multiple_regression!$R$15*dummy_variables!Q317+multiple_regression!$R$16*dummy_variables!R317+multiple_regression!$R$17*dummy_variables!S317+multiple_regression!$R$18*dummy_variables!T317</f>
        <v>807924.107422561</v>
      </c>
      <c r="G319" s="0" t="n">
        <f aca="false">E319-F319</f>
        <v>36786.562577439</v>
      </c>
      <c r="H319" s="0" t="n">
        <f aca="false">ABS(G319)</f>
        <v>36786.562577439</v>
      </c>
    </row>
    <row r="320" customFormat="false" ht="15" hidden="false" customHeight="false" outlineLevel="0" collapsed="false">
      <c r="A320" s="0" t="str">
        <f aca="false">dummy_variables!A318</f>
        <v>STR-1080</v>
      </c>
      <c r="B320" s="0" t="str">
        <f aca="false">dummy_variables!B318</f>
        <v>2025-01-01</v>
      </c>
      <c r="C320" s="0" t="str">
        <f aca="false">dummy_variables!C318</f>
        <v>East</v>
      </c>
      <c r="D320" s="0" t="str">
        <f aca="false">dummy_variables!D318</f>
        <v>Residential</v>
      </c>
      <c r="E320" s="0" t="n">
        <f aca="false">dummy_variables!M318</f>
        <v>620264.2</v>
      </c>
      <c r="F320" s="0" t="n">
        <f aca="false">multiple_regression!$R$5+multiple_regression!$R$6*dummy_variables!E318+multiple_regression!$R$7*dummy_variables!F318+multiple_regression!$R$8*dummy_variables!G318+multiple_regression!$R$9*dummy_variables!I318+multiple_regression!$R$10*dummy_variables!J318+multiple_regression!$R$11*dummy_variables!K318+multiple_regression!$R$12*dummy_variables!L318+multiple_regression!$R$13*dummy_variables!O318+multiple_regression!$R$14*dummy_variables!P318+multiple_regression!$R$15*dummy_variables!Q318+multiple_regression!$R$16*dummy_variables!R318+multiple_regression!$R$17*dummy_variables!S318+multiple_regression!$R$18*dummy_variables!T318</f>
        <v>679317.405391145</v>
      </c>
      <c r="G320" s="0" t="n">
        <f aca="false">E320-F320</f>
        <v>-59053.2053911452</v>
      </c>
      <c r="H320" s="0" t="n">
        <f aca="false">ABS(G320)</f>
        <v>59053.2053911452</v>
      </c>
    </row>
    <row r="321" customFormat="false" ht="15" hidden="false" customHeight="false" outlineLevel="0" collapsed="false">
      <c r="A321" s="0" t="str">
        <f aca="false">dummy_variables!A319</f>
        <v>STR-1080</v>
      </c>
      <c r="B321" s="0" t="str">
        <f aca="false">dummy_variables!B319</f>
        <v>2025-02-01</v>
      </c>
      <c r="C321" s="0" t="str">
        <f aca="false">dummy_variables!C319</f>
        <v>East</v>
      </c>
      <c r="D321" s="0" t="str">
        <f aca="false">dummy_variables!D319</f>
        <v>Residential</v>
      </c>
      <c r="E321" s="0" t="n">
        <f aca="false">dummy_variables!M319</f>
        <v>536845.42</v>
      </c>
      <c r="F321" s="0" t="n">
        <f aca="false">multiple_regression!$R$5+multiple_regression!$R$6*dummy_variables!E319+multiple_regression!$R$7*dummy_variables!F319+multiple_regression!$R$8*dummy_variables!G319+multiple_regression!$R$9*dummy_variables!I319+multiple_regression!$R$10*dummy_variables!J319+multiple_regression!$R$11*dummy_variables!K319+multiple_regression!$R$12*dummy_variables!L319+multiple_regression!$R$13*dummy_variables!O319+multiple_regression!$R$14*dummy_variables!P319+multiple_regression!$R$15*dummy_variables!Q319+multiple_regression!$R$16*dummy_variables!R319+multiple_regression!$R$17*dummy_variables!S319+multiple_regression!$R$18*dummy_variables!T319</f>
        <v>519581.568768601</v>
      </c>
      <c r="G321" s="0" t="n">
        <f aca="false">E321-F321</f>
        <v>17263.8512313992</v>
      </c>
      <c r="H321" s="0" t="n">
        <f aca="false">ABS(G321)</f>
        <v>17263.8512313992</v>
      </c>
    </row>
    <row r="322" customFormat="false" ht="15" hidden="false" customHeight="false" outlineLevel="0" collapsed="false">
      <c r="A322" s="0" t="str">
        <f aca="false">dummy_variables!A320</f>
        <v>STR-1080</v>
      </c>
      <c r="B322" s="0" t="str">
        <f aca="false">dummy_variables!B320</f>
        <v>2025-03-01</v>
      </c>
      <c r="C322" s="0" t="str">
        <f aca="false">dummy_variables!C320</f>
        <v>East</v>
      </c>
      <c r="D322" s="0" t="str">
        <f aca="false">dummy_variables!D320</f>
        <v>Residential</v>
      </c>
      <c r="E322" s="0" t="n">
        <f aca="false">dummy_variables!M320</f>
        <v>726776.22</v>
      </c>
      <c r="F322" s="0" t="n">
        <f aca="false">multiple_regression!$R$5+multiple_regression!$R$6*dummy_variables!E320+multiple_regression!$R$7*dummy_variables!F320+multiple_regression!$R$8*dummy_variables!G320+multiple_regression!$R$9*dummy_variables!I320+multiple_regression!$R$10*dummy_variables!J320+multiple_regression!$R$11*dummy_variables!K320+multiple_regression!$R$12*dummy_variables!L320+multiple_regression!$R$13*dummy_variables!O320+multiple_regression!$R$14*dummy_variables!P320+multiple_regression!$R$15*dummy_variables!Q320+multiple_regression!$R$16*dummy_variables!R320+multiple_regression!$R$17*dummy_variables!S320+multiple_regression!$R$18*dummy_variables!T320</f>
        <v>722424.907690756</v>
      </c>
      <c r="G322" s="0" t="n">
        <f aca="false">E322-F322</f>
        <v>4351.31230924418</v>
      </c>
      <c r="H322" s="0" t="n">
        <f aca="false">ABS(G322)</f>
        <v>4351.31230924418</v>
      </c>
    </row>
    <row r="323" customFormat="false" ht="15" hidden="false" customHeight="false" outlineLevel="0" collapsed="false">
      <c r="A323" s="0" t="str">
        <f aca="false">dummy_variables!A321</f>
        <v>STR-1080</v>
      </c>
      <c r="B323" s="0" t="str">
        <f aca="false">dummy_variables!B321</f>
        <v>2025-04-01</v>
      </c>
      <c r="C323" s="0" t="str">
        <f aca="false">dummy_variables!C321</f>
        <v>East</v>
      </c>
      <c r="D323" s="0" t="str">
        <f aca="false">dummy_variables!D321</f>
        <v>Residential</v>
      </c>
      <c r="E323" s="0" t="n">
        <f aca="false">dummy_variables!M321</f>
        <v>559660.84</v>
      </c>
      <c r="F323" s="0" t="n">
        <f aca="false">multiple_regression!$R$5+multiple_regression!$R$6*dummy_variables!E321+multiple_regression!$R$7*dummy_variables!F321+multiple_regression!$R$8*dummy_variables!G321+multiple_regression!$R$9*dummy_variables!I321+multiple_regression!$R$10*dummy_variables!J321+multiple_regression!$R$11*dummy_variables!K321+multiple_regression!$R$12*dummy_variables!L321+multiple_regression!$R$13*dummy_variables!O321+multiple_regression!$R$14*dummy_variables!P321+multiple_regression!$R$15*dummy_variables!Q321+multiple_regression!$R$16*dummy_variables!R321+multiple_regression!$R$17*dummy_variables!S321+multiple_regression!$R$18*dummy_variables!T321</f>
        <v>549317.191195136</v>
      </c>
      <c r="G323" s="0" t="n">
        <f aca="false">E323-F323</f>
        <v>10343.6488048645</v>
      </c>
      <c r="H323" s="0" t="n">
        <f aca="false">ABS(G323)</f>
        <v>10343.6488048645</v>
      </c>
    </row>
    <row r="326" customFormat="false" ht="15" hidden="false" customHeight="false" outlineLevel="0" collapsed="false">
      <c r="A326" s="8" t="s">
        <v>153</v>
      </c>
      <c r="B326" s="8"/>
      <c r="C326" s="8"/>
      <c r="D326" s="8"/>
      <c r="E326" s="8"/>
      <c r="F326" s="8"/>
      <c r="G326" s="8"/>
      <c r="H326" s="8"/>
    </row>
    <row r="327" customFormat="false" ht="15" hidden="false" customHeight="false" outlineLevel="0" collapsed="false">
      <c r="A327" s="1" t="s">
        <v>154</v>
      </c>
      <c r="B327" s="1" t="s">
        <v>0</v>
      </c>
      <c r="C327" s="1" t="s">
        <v>1</v>
      </c>
      <c r="D327" s="1" t="s">
        <v>2</v>
      </c>
      <c r="E327" s="1" t="s">
        <v>3</v>
      </c>
      <c r="F327" s="1" t="s">
        <v>155</v>
      </c>
      <c r="G327" s="1" t="s">
        <v>156</v>
      </c>
      <c r="H327" s="1" t="s">
        <v>157</v>
      </c>
    </row>
    <row r="328" customFormat="false" ht="15" hidden="false" customHeight="false" outlineLevel="0" collapsed="false">
      <c r="A328" s="0" t="n">
        <v>1</v>
      </c>
      <c r="B328" s="0" t="str">
        <f aca="false">INDEX($A$4:$A$323,MATCH(H328,$G$4:$G$323,0))</f>
        <v>STR-1058</v>
      </c>
      <c r="C328" s="0" t="str">
        <f aca="false">INDEX($B$4:$B$323,MATCH(H328,$G$4:$G$323,0))</f>
        <v>2025-02-01</v>
      </c>
      <c r="D328" s="0" t="str">
        <f aca="false">INDEX($C$4:$C$323,MATCH(H328,$G$4:$G$323,0))</f>
        <v>East</v>
      </c>
      <c r="E328" s="0" t="str">
        <f aca="false">INDEX($D$4:$D$323,MATCH(H328,$G$4:$G$323,0))</f>
        <v>High Street</v>
      </c>
      <c r="F328" s="0" t="n">
        <f aca="false">INDEX($E$4:$E$323,MATCH(H328,$G$4:$G$323,0))</f>
        <v>870937.4</v>
      </c>
      <c r="G328" s="0" t="n">
        <f aca="false">INDEX($F$4:$F$323,MATCH(H328,$G$4:$G$323,0))</f>
        <v>751096.059908744</v>
      </c>
      <c r="H328" s="0" t="n">
        <f aca="false">LARGE($G$4:$G$323,1)</f>
        <v>119841.340091257</v>
      </c>
    </row>
    <row r="329" customFormat="false" ht="15" hidden="false" customHeight="false" outlineLevel="0" collapsed="false">
      <c r="A329" s="0" t="n">
        <v>2</v>
      </c>
      <c r="B329" s="0" t="str">
        <f aca="false">INDEX($A$4:$A$323,MATCH(H329,$G$4:$G$323,0))</f>
        <v>STR-1028</v>
      </c>
      <c r="C329" s="0" t="str">
        <f aca="false">INDEX($B$4:$B$323,MATCH(H329,$G$4:$G$323,0))</f>
        <v>2025-04-01</v>
      </c>
      <c r="D329" s="0" t="str">
        <f aca="false">INDEX($C$4:$C$323,MATCH(H329,$G$4:$G$323,0))</f>
        <v>East</v>
      </c>
      <c r="E329" s="0" t="str">
        <f aca="false">INDEX($D$4:$D$323,MATCH(H329,$G$4:$G$323,0))</f>
        <v>Mall</v>
      </c>
      <c r="F329" s="0" t="n">
        <f aca="false">INDEX($E$4:$E$323,MATCH(H329,$G$4:$G$323,0))</f>
        <v>713611.16</v>
      </c>
      <c r="G329" s="0" t="n">
        <f aca="false">INDEX($F$4:$F$323,MATCH(H329,$G$4:$G$323,0))</f>
        <v>609752.006471394</v>
      </c>
      <c r="H329" s="0" t="n">
        <f aca="false">LARGE($G$4:$G$323,2)</f>
        <v>103859.153528606</v>
      </c>
    </row>
    <row r="330" customFormat="false" ht="15" hidden="false" customHeight="false" outlineLevel="0" collapsed="false">
      <c r="A330" s="0" t="n">
        <v>3</v>
      </c>
      <c r="B330" s="0" t="str">
        <f aca="false">INDEX($A$4:$A$323,MATCH(H330,$G$4:$G$323,0))</f>
        <v>STR-1073</v>
      </c>
      <c r="C330" s="0" t="str">
        <f aca="false">INDEX($B$4:$B$323,MATCH(H330,$G$4:$G$323,0))</f>
        <v>2025-03-01</v>
      </c>
      <c r="D330" s="0" t="str">
        <f aca="false">INDEX($C$4:$C$323,MATCH(H330,$G$4:$G$323,0))</f>
        <v>East</v>
      </c>
      <c r="E330" s="0" t="str">
        <f aca="false">INDEX($D$4:$D$323,MATCH(H330,$G$4:$G$323,0))</f>
        <v>Residential</v>
      </c>
      <c r="F330" s="0" t="n">
        <f aca="false">INDEX($E$4:$E$323,MATCH(H330,$G$4:$G$323,0))</f>
        <v>813316.71</v>
      </c>
      <c r="G330" s="0" t="n">
        <f aca="false">INDEX($F$4:$F$323,MATCH(H330,$G$4:$G$323,0))</f>
        <v>716077.940370638</v>
      </c>
      <c r="H330" s="0" t="n">
        <f aca="false">LARGE($G$4:$G$323,3)</f>
        <v>97238.7696293623</v>
      </c>
    </row>
    <row r="331" customFormat="false" ht="15" hidden="false" customHeight="false" outlineLevel="0" collapsed="false">
      <c r="A331" s="0" t="n">
        <v>4</v>
      </c>
      <c r="B331" s="0" t="str">
        <f aca="false">INDEX($A$4:$A$323,MATCH(H331,$G$4:$G$323,0))</f>
        <v>STR-1050</v>
      </c>
      <c r="C331" s="0" t="str">
        <f aca="false">INDEX($B$4:$B$323,MATCH(H331,$G$4:$G$323,0))</f>
        <v>2025-04-01</v>
      </c>
      <c r="D331" s="0" t="str">
        <f aca="false">INDEX($C$4:$C$323,MATCH(H331,$G$4:$G$323,0))</f>
        <v>North</v>
      </c>
      <c r="E331" s="0" t="str">
        <f aca="false">INDEX($D$4:$D$323,MATCH(H331,$G$4:$G$323,0))</f>
        <v>Residential</v>
      </c>
      <c r="F331" s="0" t="n">
        <f aca="false">INDEX($E$4:$E$323,MATCH(H331,$G$4:$G$323,0))</f>
        <v>735786.64</v>
      </c>
      <c r="G331" s="0" t="n">
        <f aca="false">INDEX($F$4:$F$323,MATCH(H331,$G$4:$G$323,0))</f>
        <v>652811.4953904</v>
      </c>
      <c r="H331" s="0" t="n">
        <f aca="false">LARGE($G$4:$G$323,4)</f>
        <v>82975.1446095998</v>
      </c>
    </row>
    <row r="332" customFormat="false" ht="15" hidden="false" customHeight="false" outlineLevel="0" collapsed="false">
      <c r="A332" s="0" t="n">
        <v>5</v>
      </c>
      <c r="B332" s="0" t="str">
        <f aca="false">INDEX($A$4:$A$323,MATCH(H332,$G$4:$G$323,0))</f>
        <v>STR-1069</v>
      </c>
      <c r="C332" s="0" t="str">
        <f aca="false">INDEX($B$4:$B$323,MATCH(H332,$G$4:$G$323,0))</f>
        <v>2025-04-01</v>
      </c>
      <c r="D332" s="0" t="str">
        <f aca="false">INDEX($C$4:$C$323,MATCH(H332,$G$4:$G$323,0))</f>
        <v>West</v>
      </c>
      <c r="E332" s="0" t="str">
        <f aca="false">INDEX($D$4:$D$323,MATCH(H332,$G$4:$G$323,0))</f>
        <v>High Street</v>
      </c>
      <c r="F332" s="0" t="n">
        <f aca="false">INDEX($E$4:$E$323,MATCH(H332,$G$4:$G$323,0))</f>
        <v>686737.87</v>
      </c>
      <c r="G332" s="0" t="n">
        <f aca="false">INDEX($F$4:$F$323,MATCH(H332,$G$4:$G$323,0))</f>
        <v>604088.946491202</v>
      </c>
      <c r="H332" s="0" t="n">
        <f aca="false">LARGE($G$4:$G$323,5)</f>
        <v>82648.9235087981</v>
      </c>
    </row>
    <row r="335" customFormat="false" ht="15" hidden="false" customHeight="false" outlineLevel="0" collapsed="false">
      <c r="A335" s="8" t="s">
        <v>158</v>
      </c>
      <c r="B335" s="8"/>
      <c r="C335" s="8"/>
      <c r="D335" s="8"/>
      <c r="E335" s="8"/>
      <c r="F335" s="8"/>
      <c r="G335" s="8"/>
      <c r="H335" s="8"/>
    </row>
    <row r="336" customFormat="false" ht="15" hidden="false" customHeight="false" outlineLevel="0" collapsed="false">
      <c r="A336" s="1" t="s">
        <v>154</v>
      </c>
      <c r="B336" s="1" t="s">
        <v>0</v>
      </c>
      <c r="C336" s="1" t="s">
        <v>1</v>
      </c>
      <c r="D336" s="1" t="s">
        <v>2</v>
      </c>
      <c r="E336" s="1" t="s">
        <v>3</v>
      </c>
      <c r="F336" s="1" t="s">
        <v>155</v>
      </c>
      <c r="G336" s="1" t="s">
        <v>156</v>
      </c>
      <c r="H336" s="1" t="s">
        <v>157</v>
      </c>
    </row>
    <row r="337" customFormat="false" ht="15" hidden="false" customHeight="false" outlineLevel="0" collapsed="false">
      <c r="A337" s="0" t="n">
        <v>1</v>
      </c>
      <c r="B337" s="0" t="str">
        <f aca="false">INDEX($A$4:$A$323,MATCH(H337,$G$4:$G$323,0))</f>
        <v>STR-1023</v>
      </c>
      <c r="C337" s="0" t="str">
        <f aca="false">INDEX($B$4:$B$323,MATCH(H337,$G$4:$G$323,0))</f>
        <v>2025-02-01</v>
      </c>
      <c r="D337" s="0" t="str">
        <f aca="false">INDEX($C$4:$C$323,MATCH(H337,$G$4:$G$323,0))</f>
        <v>South</v>
      </c>
      <c r="E337" s="0" t="str">
        <f aca="false">INDEX($D$4:$D$323,MATCH(H337,$G$4:$G$323,0))</f>
        <v>Mall</v>
      </c>
      <c r="F337" s="0" t="n">
        <f aca="false">INDEX($E$4:$E$323,MATCH(H337,$G$4:$G$323,0))</f>
        <v>627171.9</v>
      </c>
      <c r="G337" s="0" t="n">
        <f aca="false">INDEX($F$4:$F$323,MATCH(H337,$G$4:$G$323,0))</f>
        <v>772338.553111166</v>
      </c>
      <c r="H337" s="0" t="n">
        <f aca="false">SMALL($G$4:$G$323,1)</f>
        <v>-145166.653111166</v>
      </c>
    </row>
    <row r="338" customFormat="false" ht="15" hidden="false" customHeight="false" outlineLevel="0" collapsed="false">
      <c r="A338" s="0" t="n">
        <v>2</v>
      </c>
      <c r="B338" s="0" t="str">
        <f aca="false">INDEX($A$4:$A$323,MATCH(H338,$G$4:$G$323,0))</f>
        <v>STR-1017</v>
      </c>
      <c r="C338" s="0" t="str">
        <f aca="false">INDEX($B$4:$B$323,MATCH(H338,$G$4:$G$323,0))</f>
        <v>2025-03-01</v>
      </c>
      <c r="D338" s="0" t="str">
        <f aca="false">INDEX($C$4:$C$323,MATCH(H338,$G$4:$G$323,0))</f>
        <v>West</v>
      </c>
      <c r="E338" s="0" t="str">
        <f aca="false">INDEX($D$4:$D$323,MATCH(H338,$G$4:$G$323,0))</f>
        <v>High Street</v>
      </c>
      <c r="F338" s="0" t="n">
        <f aca="false">INDEX($E$4:$E$323,MATCH(H338,$G$4:$G$323,0))</f>
        <v>685379.08</v>
      </c>
      <c r="G338" s="0" t="n">
        <f aca="false">INDEX($F$4:$F$323,MATCH(H338,$G$4:$G$323,0))</f>
        <v>812195.897891121</v>
      </c>
      <c r="H338" s="0" t="n">
        <f aca="false">SMALL($G$4:$G$323,2)</f>
        <v>-126816.817891121</v>
      </c>
    </row>
    <row r="339" customFormat="false" ht="15" hidden="false" customHeight="false" outlineLevel="0" collapsed="false">
      <c r="A339" s="0" t="n">
        <v>3</v>
      </c>
      <c r="B339" s="0" t="str">
        <f aca="false">INDEX($A$4:$A$323,MATCH(H339,$G$4:$G$323,0))</f>
        <v>STR-1007</v>
      </c>
      <c r="C339" s="0" t="str">
        <f aca="false">INDEX($B$4:$B$323,MATCH(H339,$G$4:$G$323,0))</f>
        <v>2025-02-01</v>
      </c>
      <c r="D339" s="0" t="str">
        <f aca="false">INDEX($C$4:$C$323,MATCH(H339,$G$4:$G$323,0))</f>
        <v>West</v>
      </c>
      <c r="E339" s="0" t="str">
        <f aca="false">INDEX($D$4:$D$323,MATCH(H339,$G$4:$G$323,0))</f>
        <v>Mall</v>
      </c>
      <c r="F339" s="0" t="n">
        <f aca="false">INDEX($E$4:$E$323,MATCH(H339,$G$4:$G$323,0))</f>
        <v>800451.94</v>
      </c>
      <c r="G339" s="0" t="n">
        <f aca="false">INDEX($F$4:$F$323,MATCH(H339,$G$4:$G$323,0))</f>
        <v>910234.425602157</v>
      </c>
      <c r="H339" s="0" t="n">
        <f aca="false">SMALL($G$4:$G$323,3)</f>
        <v>-109782.485602157</v>
      </c>
    </row>
    <row r="340" customFormat="false" ht="15" hidden="false" customHeight="false" outlineLevel="0" collapsed="false">
      <c r="A340" s="0" t="n">
        <v>4</v>
      </c>
      <c r="B340" s="0" t="str">
        <f aca="false">INDEX($A$4:$A$323,MATCH(H340,$G$4:$G$323,0))</f>
        <v>STR-1012</v>
      </c>
      <c r="C340" s="0" t="str">
        <f aca="false">INDEX($B$4:$B$323,MATCH(H340,$G$4:$G$323,0))</f>
        <v>2025-01-01</v>
      </c>
      <c r="D340" s="0" t="str">
        <f aca="false">INDEX($C$4:$C$323,MATCH(H340,$G$4:$G$323,0))</f>
        <v>West</v>
      </c>
      <c r="E340" s="0" t="str">
        <f aca="false">INDEX($D$4:$D$323,MATCH(H340,$G$4:$G$323,0))</f>
        <v>Residential</v>
      </c>
      <c r="F340" s="0" t="n">
        <f aca="false">INDEX($E$4:$E$323,MATCH(H340,$G$4:$G$323,0))</f>
        <v>595467.6</v>
      </c>
      <c r="G340" s="0" t="n">
        <f aca="false">INDEX($F$4:$F$323,MATCH(H340,$G$4:$G$323,0))</f>
        <v>701898.329022993</v>
      </c>
      <c r="H340" s="0" t="n">
        <f aca="false">SMALL($G$4:$G$323,4)</f>
        <v>-106430.729022993</v>
      </c>
    </row>
    <row r="341" customFormat="false" ht="15" hidden="false" customHeight="false" outlineLevel="0" collapsed="false">
      <c r="A341" s="0" t="n">
        <v>5</v>
      </c>
      <c r="B341" s="0" t="str">
        <f aca="false">INDEX($A$4:$A$323,MATCH(H341,$G$4:$G$323,0))</f>
        <v>STR-1068</v>
      </c>
      <c r="C341" s="0" t="str">
        <f aca="false">INDEX($B$4:$B$323,MATCH(H341,$G$4:$G$323,0))</f>
        <v>2025-01-01</v>
      </c>
      <c r="D341" s="0" t="str">
        <f aca="false">INDEX($C$4:$C$323,MATCH(H341,$G$4:$G$323,0))</f>
        <v>East</v>
      </c>
      <c r="E341" s="0" t="str">
        <f aca="false">INDEX($D$4:$D$323,MATCH(H341,$G$4:$G$323,0))</f>
        <v>Mall</v>
      </c>
      <c r="F341" s="0" t="n">
        <f aca="false">INDEX($E$4:$E$323,MATCH(H341,$G$4:$G$323,0))</f>
        <v>660633.99</v>
      </c>
      <c r="G341" s="0" t="n">
        <f aca="false">INDEX($F$4:$F$323,MATCH(H341,$G$4:$G$323,0))</f>
        <v>749072.943616436</v>
      </c>
      <c r="H341" s="0" t="n">
        <f aca="false">SMALL($G$4:$G$323,5)</f>
        <v>-88438.953616436</v>
      </c>
    </row>
  </sheetData>
  <mergeCells count="3">
    <mergeCell ref="A1:H1"/>
    <mergeCell ref="A326:H326"/>
    <mergeCell ref="A335:H3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8"/>
    <col collapsed="false" customWidth="true" hidden="false" outlineLevel="0" max="5" min="5" style="0" width="45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3" t="s">
        <v>159</v>
      </c>
      <c r="B1" s="3"/>
      <c r="C1" s="3"/>
      <c r="D1" s="3"/>
      <c r="E1" s="3"/>
      <c r="F1" s="3"/>
    </row>
    <row r="3" customFormat="false" ht="15" hidden="false" customHeight="false" outlineLevel="0" collapsed="false">
      <c r="A3" s="1" t="s">
        <v>160</v>
      </c>
      <c r="B3" s="1" t="s">
        <v>161</v>
      </c>
      <c r="C3" s="1" t="s">
        <v>120</v>
      </c>
      <c r="D3" s="1" t="s">
        <v>162</v>
      </c>
      <c r="E3" s="1" t="s">
        <v>163</v>
      </c>
      <c r="F3" s="1" t="s">
        <v>164</v>
      </c>
    </row>
    <row r="4" customFormat="false" ht="45" hidden="false" customHeight="true" outlineLevel="0" collapsed="false">
      <c r="A4" s="9" t="s">
        <v>165</v>
      </c>
      <c r="B4" s="9" t="s">
        <v>166</v>
      </c>
      <c r="C4" s="9" t="n">
        <f aca="false">simple_regression!B6</f>
        <v>0.736285340003311</v>
      </c>
      <c r="D4" s="9" t="s">
        <v>167</v>
      </c>
      <c r="E4" s="9" t="s">
        <v>168</v>
      </c>
      <c r="F4" s="9" t="s">
        <v>169</v>
      </c>
    </row>
    <row r="5" customFormat="false" ht="45" hidden="false" customHeight="true" outlineLevel="0" collapsed="false">
      <c r="A5" s="9" t="s">
        <v>170</v>
      </c>
      <c r="B5" s="9" t="s">
        <v>171</v>
      </c>
      <c r="C5" s="9" t="n">
        <f aca="false">simple_regression!B18</f>
        <v>0.16724469112487</v>
      </c>
      <c r="D5" s="9" t="s">
        <v>172</v>
      </c>
      <c r="E5" s="9" t="s">
        <v>173</v>
      </c>
      <c r="F5" s="9" t="s">
        <v>174</v>
      </c>
    </row>
    <row r="6" customFormat="false" ht="45" hidden="false" customHeight="true" outlineLevel="0" collapsed="false">
      <c r="A6" s="9" t="s">
        <v>175</v>
      </c>
      <c r="B6" s="9" t="s">
        <v>176</v>
      </c>
      <c r="C6" s="9" t="n">
        <f aca="false">simple_regression!B30</f>
        <v>0.0131150159644044</v>
      </c>
      <c r="D6" s="9" t="s">
        <v>177</v>
      </c>
      <c r="E6" s="9" t="s">
        <v>178</v>
      </c>
      <c r="F6" s="9" t="s">
        <v>179</v>
      </c>
    </row>
    <row r="7" customFormat="false" ht="45" hidden="false" customHeight="true" outlineLevel="0" collapsed="false">
      <c r="A7" s="9" t="s">
        <v>180</v>
      </c>
      <c r="B7" s="9" t="s">
        <v>181</v>
      </c>
      <c r="C7" s="9" t="n">
        <f aca="false">simple_regression!B42</f>
        <v>0.00829050302440034</v>
      </c>
      <c r="D7" s="9" t="s">
        <v>182</v>
      </c>
      <c r="E7" s="9" t="s">
        <v>183</v>
      </c>
      <c r="F7" s="9" t="s">
        <v>184</v>
      </c>
    </row>
    <row r="8" customFormat="false" ht="45" hidden="false" customHeight="true" outlineLevel="0" collapsed="false">
      <c r="A8" s="9" t="s">
        <v>185</v>
      </c>
      <c r="B8" s="9" t="s">
        <v>186</v>
      </c>
      <c r="C8" s="9" t="n">
        <f aca="false">simple_regression!B54</f>
        <v>0.000698452655965146</v>
      </c>
      <c r="D8" s="9" t="s">
        <v>187</v>
      </c>
      <c r="E8" s="9" t="s">
        <v>188</v>
      </c>
      <c r="F8" s="9" t="s">
        <v>189</v>
      </c>
    </row>
    <row r="9" customFormat="false" ht="60" hidden="false" customHeight="true" outlineLevel="0" collapsed="false">
      <c r="A9" s="9" t="s">
        <v>190</v>
      </c>
      <c r="B9" s="9" t="s">
        <v>191</v>
      </c>
      <c r="C9" s="9" t="n">
        <f aca="false">multiple_regression!$R$20</f>
        <v>0.852711513926901</v>
      </c>
      <c r="D9" s="9" t="s">
        <v>192</v>
      </c>
      <c r="E9" s="9" t="s">
        <v>193</v>
      </c>
      <c r="F9" s="9" t="s">
        <v>194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2026-06-27T13:24:39Z</dcterms:created>
  <dc:creator>openpyxl</dc:creator>
  <dc:description/>
  <dc:language>en-US</dc:language>
  <cp:lastModifiedBy/>
  <dcterms:modified xsi:type="dcterms:W3CDTF">2026-06-27T13:24:39Z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